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isaxjy\Desktop\data analysis\project\market analysis\"/>
    </mc:Choice>
  </mc:AlternateContent>
  <xr:revisionPtr revIDLastSave="0" documentId="13_ncr:1_{122FA323-0925-4E72-B4FC-C0CD801A087A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10Percent Output" sheetId="1" r:id="rId1"/>
    <sheet name="pivot table" sheetId="2" r:id="rId2"/>
    <sheet name="10%+90%" sheetId="3" r:id="rId3"/>
  </sheets>
  <definedNames>
    <definedName name="_xlnm._FilterDatabase" localSheetId="0" hidden="1">'10Percent Output'!$A$1:$N$1</definedName>
  </definedNames>
  <calcPr calcId="191029"/>
  <pivotCaches>
    <pivotCache cacheId="0" r:id="rId4"/>
  </pivotCaches>
</workbook>
</file>

<file path=xl/calcChain.xml><?xml version="1.0" encoding="utf-8"?>
<calcChain xmlns="http://schemas.openxmlformats.org/spreadsheetml/2006/main">
  <c r="E4" i="3" l="1"/>
  <c r="D4" i="3"/>
  <c r="C4" i="3"/>
  <c r="B4" i="3"/>
  <c r="G4" i="3" s="1"/>
  <c r="E3" i="3"/>
  <c r="D3" i="3"/>
  <c r="C3" i="3"/>
  <c r="B3" i="3"/>
  <c r="G3" i="3" s="1"/>
  <c r="E2" i="3"/>
  <c r="D2" i="3"/>
  <c r="K4" i="2"/>
  <c r="K5" i="2"/>
  <c r="K6" i="2"/>
  <c r="K7" i="2"/>
  <c r="K8" i="2"/>
  <c r="K9" i="2"/>
  <c r="K10" i="2"/>
  <c r="K11" i="2"/>
  <c r="K12" i="2"/>
  <c r="K3" i="2"/>
  <c r="G5" i="2"/>
  <c r="G6" i="2"/>
  <c r="G7" i="2"/>
  <c r="G8" i="2"/>
  <c r="G9" i="2"/>
  <c r="G10" i="2"/>
  <c r="G11" i="2"/>
  <c r="G12" i="2"/>
  <c r="G4" i="2"/>
  <c r="F4" i="3"/>
  <c r="C2" i="3"/>
  <c r="F3" i="3"/>
  <c r="F3" i="2"/>
  <c r="I4" i="2"/>
  <c r="I5" i="2"/>
  <c r="I6" i="2"/>
  <c r="I7" i="2"/>
  <c r="I8" i="2"/>
  <c r="I10" i="2"/>
  <c r="I11" i="2"/>
  <c r="I12" i="2"/>
  <c r="I9" i="2"/>
  <c r="I3" i="2"/>
  <c r="G3" i="2"/>
  <c r="F5" i="2"/>
  <c r="F12" i="2"/>
  <c r="F11" i="2"/>
  <c r="F10" i="2"/>
  <c r="F9" i="2"/>
  <c r="F8" i="2"/>
  <c r="F7" i="2"/>
  <c r="F6" i="2"/>
  <c r="F4" i="2"/>
  <c r="J3" i="2"/>
  <c r="H4" i="2"/>
  <c r="H3" i="2"/>
  <c r="H5" i="2"/>
  <c r="J4" i="2"/>
  <c r="H6" i="2"/>
  <c r="J5" i="2"/>
  <c r="H7" i="2"/>
  <c r="H8" i="2"/>
  <c r="H9" i="2"/>
  <c r="H10" i="2"/>
  <c r="H11" i="2"/>
  <c r="H12" i="2"/>
  <c r="G2" i="3" l="1"/>
  <c r="J12" i="2"/>
  <c r="L12" i="2"/>
  <c r="J11" i="2"/>
  <c r="L11" i="2" s="1"/>
  <c r="J10" i="2"/>
  <c r="L10" i="2" s="1"/>
  <c r="J9" i="2"/>
  <c r="L9" i="2" s="1"/>
  <c r="J8" i="2"/>
  <c r="L8" i="2" s="1"/>
  <c r="J7" i="2"/>
  <c r="L7" i="2" s="1"/>
  <c r="J6" i="2"/>
  <c r="L6" i="2" s="1"/>
  <c r="L5" i="2"/>
  <c r="L3" i="2"/>
  <c r="L4" i="2"/>
</calcChain>
</file>

<file path=xl/sharedStrings.xml><?xml version="1.0" encoding="utf-8"?>
<sst xmlns="http://schemas.openxmlformats.org/spreadsheetml/2006/main" count="31" uniqueCount="29">
  <si>
    <t>actual_outcome</t>
  </si>
  <si>
    <t>prob_0</t>
  </si>
  <si>
    <t>prob_1</t>
  </si>
  <si>
    <t>Decile</t>
  </si>
  <si>
    <t>Grand Total</t>
  </si>
  <si>
    <t>Correct Prediction</t>
  </si>
  <si>
    <t>Prob Threshold</t>
  </si>
  <si>
    <t>Total</t>
  </si>
  <si>
    <t>%Correct</t>
  </si>
  <si>
    <t>revenue from a successful customer</t>
  </si>
  <si>
    <t>Profit</t>
  </si>
  <si>
    <t>profit maximisation</t>
  </si>
  <si>
    <t>market penetration</t>
  </si>
  <si>
    <t>Cumm Correct</t>
  </si>
  <si>
    <t>Cumm Wrong</t>
  </si>
  <si>
    <t>Cumm Total</t>
  </si>
  <si>
    <t>% Cumm Correct</t>
  </si>
  <si>
    <t>% Cumm Wrong</t>
  </si>
  <si>
    <t>Strategic Option</t>
  </si>
  <si>
    <t>Participants Covered</t>
  </si>
  <si>
    <t>% Total Non Buyers Avoided</t>
  </si>
  <si>
    <t>Probability Threshold</t>
  </si>
  <si>
    <t>All 100%</t>
  </si>
  <si>
    <t>Top 40%</t>
  </si>
  <si>
    <t>Top 30%</t>
  </si>
  <si>
    <t>%Proportion of correct prediction</t>
  </si>
  <si>
    <t>% Total Buyers Reached</t>
  </si>
  <si>
    <t>cost of a promotional sample kit</t>
  </si>
  <si>
    <t>Number of cummulative correct prediction×revenue from a successful customer - Number of cummulative customers× cost of promotional sample 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</si>
</sst>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10" fontId="1" fillId="0" borderId="1" xfId="0" applyNumberFormat="1" applyFont="1" applyBorder="1" applyAlignment="1">
      <alignment horizontal="center" vertical="top"/>
    </xf>
    <xf numFmtId="10" fontId="0" fillId="0" borderId="0" xfId="0" applyNumberFormat="1"/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10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10" fontId="0" fillId="3" borderId="0" xfId="0" applyNumberFormat="1" applyFill="1" applyAlignment="1">
      <alignment horizontal="center"/>
    </xf>
    <xf numFmtId="0" fontId="0" fillId="2" borderId="0" xfId="0" applyFill="1"/>
    <xf numFmtId="0" fontId="0" fillId="3" borderId="0" xfId="0" applyFill="1"/>
    <xf numFmtId="0" fontId="2" fillId="0" borderId="0" xfId="1" applyAlignment="1">
      <alignment horizontal="center"/>
    </xf>
  </cellXfs>
  <cellStyles count="2">
    <cellStyle name="Hyperlink" xfId="1" builtinId="8"/>
    <cellStyle name="Normal" xfId="0" builtinId="0"/>
  </cellStyles>
  <dxfs count="14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saxjy" refreshedDate="45071.836964467591" createdVersion="8" refreshedVersion="8" minRefreshableVersion="3" recordCount="4445" xr:uid="{0083DE65-4FF6-4CEC-B7C1-275995F0851C}">
  <cacheSource type="worksheet">
    <worksheetSource ref="B1:N4446" sheet="10Percent Output"/>
  </cacheSource>
  <cacheFields count="13">
    <cacheField name="0" numFmtId="0">
      <sharedItems containsSemiMixedTypes="0" containsString="0" containsNumber="1" containsInteger="1" minValue="0" maxValue="31"/>
    </cacheField>
    <cacheField name="1" numFmtId="0">
      <sharedItems containsSemiMixedTypes="0" containsString="0" containsNumber="1" containsInteger="1" minValue="18" maxValue="79"/>
    </cacheField>
    <cacheField name="2" numFmtId="0">
      <sharedItems containsSemiMixedTypes="0" containsString="0" containsNumber="1" containsInteger="1" minValue="0" maxValue="6"/>
    </cacheField>
    <cacheField name="3" numFmtId="0">
      <sharedItems containsSemiMixedTypes="0" containsString="0" containsNumber="1" containsInteger="1" minValue="0" maxValue="2"/>
    </cacheField>
    <cacheField name="4" numFmtId="0">
      <sharedItems containsSemiMixedTypes="0" containsString="0" containsNumber="1" containsInteger="1" minValue="0" maxValue="4"/>
    </cacheField>
    <cacheField name="5" numFmtId="0">
      <sharedItems containsSemiMixedTypes="0" containsString="0" containsNumber="1" containsInteger="1" minValue="0" maxValue="12"/>
    </cacheField>
    <cacheField name="6" numFmtId="0">
      <sharedItems containsSemiMixedTypes="0" containsString="0" containsNumber="1" containsInteger="1" minValue="0" maxValue="3"/>
    </cacheField>
    <cacheField name="7" numFmtId="0">
      <sharedItems containsSemiMixedTypes="0" containsString="0" containsNumber="1" minValue="0.01" maxValue="100000"/>
    </cacheField>
    <cacheField name="8" numFmtId="0">
      <sharedItems containsSemiMixedTypes="0" containsString="0" containsNumber="1" containsInteger="1" minValue="0" maxValue="36"/>
    </cacheField>
    <cacheField name="actual_outcome" numFmtId="0">
      <sharedItems containsSemiMixedTypes="0" containsString="0" containsNumber="1" containsInteger="1" minValue="0" maxValue="1"/>
    </cacheField>
    <cacheField name="prob_0" numFmtId="10">
      <sharedItems containsSemiMixedTypes="0" containsString="0" containsNumber="1" minValue="5.6099595884860909E-3" maxValue="0.99199206417367114"/>
    </cacheField>
    <cacheField name="prob_1" numFmtId="10">
      <sharedItems containsSemiMixedTypes="0" containsString="0" containsNumber="1" minValue="8.0079358263288568E-3" maxValue="0.99439004041151391"/>
    </cacheField>
    <cacheField name="Decile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45">
  <r>
    <n v="29"/>
    <n v="29"/>
    <n v="2"/>
    <n v="0"/>
    <n v="3"/>
    <n v="3"/>
    <n v="0"/>
    <n v="13500"/>
    <n v="2"/>
    <n v="1"/>
    <n v="5.6099595884860909E-3"/>
    <n v="0.99439004041151391"/>
    <x v="0"/>
  </r>
  <r>
    <n v="31"/>
    <n v="35"/>
    <n v="5"/>
    <n v="1"/>
    <n v="1"/>
    <n v="7"/>
    <n v="2"/>
    <n v="300"/>
    <n v="8"/>
    <n v="1"/>
    <n v="7.6687378830971884E-3"/>
    <n v="0.99233126211690281"/>
    <x v="0"/>
  </r>
  <r>
    <n v="30"/>
    <n v="38"/>
    <n v="4"/>
    <n v="0"/>
    <n v="2"/>
    <n v="1"/>
    <n v="2"/>
    <n v="1000"/>
    <n v="2"/>
    <n v="1"/>
    <n v="8.5065561564671155E-3"/>
    <n v="0.99149344384353288"/>
    <x v="0"/>
  </r>
  <r>
    <n v="28"/>
    <n v="33"/>
    <n v="5"/>
    <n v="0"/>
    <n v="0"/>
    <n v="11"/>
    <n v="3"/>
    <n v="0.01"/>
    <n v="8"/>
    <n v="1"/>
    <n v="1.088364196636382E-2"/>
    <n v="0.98911635803363618"/>
    <x v="0"/>
  </r>
  <r>
    <n v="25"/>
    <n v="29"/>
    <n v="0"/>
    <n v="1"/>
    <n v="0"/>
    <n v="4"/>
    <n v="0"/>
    <n v="6000"/>
    <n v="2"/>
    <n v="1"/>
    <n v="1.7505982545286462E-2"/>
    <n v="0.98249401745471354"/>
    <x v="0"/>
  </r>
  <r>
    <n v="25"/>
    <n v="38"/>
    <n v="2"/>
    <n v="0"/>
    <n v="0"/>
    <n v="4"/>
    <n v="2"/>
    <n v="2000"/>
    <n v="4"/>
    <n v="1"/>
    <n v="2.5656628607103941E-2"/>
    <n v="0.97434337139289606"/>
    <x v="0"/>
  </r>
  <r>
    <n v="24"/>
    <n v="35"/>
    <n v="2"/>
    <n v="0"/>
    <n v="1"/>
    <n v="7"/>
    <n v="2"/>
    <n v="1000"/>
    <n v="5"/>
    <n v="1"/>
    <n v="2.8510798912387281E-2"/>
    <n v="0.97148920108761272"/>
    <x v="0"/>
  </r>
  <r>
    <n v="23"/>
    <n v="34"/>
    <n v="3"/>
    <n v="0"/>
    <n v="0"/>
    <n v="11"/>
    <n v="2"/>
    <n v="1000"/>
    <n v="2"/>
    <n v="1"/>
    <n v="3.4847190365598801E-2"/>
    <n v="0.9651528096344012"/>
    <x v="0"/>
  </r>
  <r>
    <n v="20"/>
    <n v="30"/>
    <n v="2"/>
    <n v="0"/>
    <n v="1"/>
    <n v="7"/>
    <n v="2"/>
    <n v="600"/>
    <n v="4"/>
    <n v="1"/>
    <n v="5.4545986491610909E-2"/>
    <n v="0.94545401350838909"/>
    <x v="0"/>
  </r>
  <r>
    <n v="24"/>
    <n v="46"/>
    <n v="5"/>
    <n v="0"/>
    <n v="0"/>
    <n v="4"/>
    <n v="2"/>
    <n v="2000"/>
    <n v="4"/>
    <n v="1"/>
    <n v="5.5569402813627322E-2"/>
    <n v="0.94443059718637268"/>
    <x v="0"/>
  </r>
  <r>
    <n v="21"/>
    <n v="36"/>
    <n v="2"/>
    <n v="0"/>
    <n v="4"/>
    <n v="9"/>
    <n v="0"/>
    <n v="20000"/>
    <n v="1"/>
    <n v="1"/>
    <n v="5.9834793779859452E-2"/>
    <n v="0.94016520622014055"/>
    <x v="0"/>
  </r>
  <r>
    <n v="22"/>
    <n v="41"/>
    <n v="3"/>
    <n v="0"/>
    <n v="0"/>
    <n v="11"/>
    <n v="0"/>
    <n v="6000"/>
    <n v="1"/>
    <n v="1"/>
    <n v="6.0020241977632893E-2"/>
    <n v="0.93997975802236711"/>
    <x v="0"/>
  </r>
  <r>
    <n v="20"/>
    <n v="33"/>
    <n v="1"/>
    <n v="0"/>
    <n v="3"/>
    <n v="8"/>
    <n v="2"/>
    <n v="50"/>
    <n v="11"/>
    <n v="1"/>
    <n v="6.6349053072172426E-2"/>
    <n v="0.93365094692782757"/>
    <x v="0"/>
  </r>
  <r>
    <n v="21"/>
    <n v="36"/>
    <n v="5"/>
    <n v="0"/>
    <n v="1"/>
    <n v="12"/>
    <n v="3"/>
    <n v="0.01"/>
    <n v="8"/>
    <n v="1"/>
    <n v="6.9843026242164652E-2"/>
    <n v="0.93015697375783535"/>
    <x v="0"/>
  </r>
  <r>
    <n v="24"/>
    <n v="51"/>
    <n v="3"/>
    <n v="0"/>
    <n v="3"/>
    <n v="8"/>
    <n v="0"/>
    <n v="11500"/>
    <n v="1"/>
    <n v="1"/>
    <n v="7.0638082681981462E-2"/>
    <n v="0.92936191731801854"/>
    <x v="0"/>
  </r>
  <r>
    <n v="20"/>
    <n v="34"/>
    <n v="4"/>
    <n v="0"/>
    <n v="0"/>
    <n v="4"/>
    <n v="3"/>
    <n v="0.01"/>
    <n v="5"/>
    <n v="1"/>
    <n v="7.172279344394572E-2"/>
    <n v="0.92827720655605428"/>
    <x v="0"/>
  </r>
  <r>
    <n v="21"/>
    <n v="37"/>
    <n v="4"/>
    <n v="0"/>
    <n v="3"/>
    <n v="3"/>
    <n v="3"/>
    <n v="0.01"/>
    <n v="10"/>
    <n v="1"/>
    <n v="7.2402452792847849E-2"/>
    <n v="0.92759754720715215"/>
    <x v="0"/>
  </r>
  <r>
    <n v="19"/>
    <n v="30"/>
    <n v="2"/>
    <n v="0"/>
    <n v="3"/>
    <n v="3"/>
    <n v="3"/>
    <n v="0.01"/>
    <n v="4"/>
    <n v="1"/>
    <n v="7.3847600225237953E-2"/>
    <n v="0.92615239977476205"/>
    <x v="0"/>
  </r>
  <r>
    <n v="17"/>
    <n v="23"/>
    <n v="2"/>
    <n v="0"/>
    <n v="3"/>
    <n v="3"/>
    <n v="2"/>
    <n v="800"/>
    <n v="1"/>
    <n v="1"/>
    <n v="7.5559841834290653E-2"/>
    <n v="0.92444015816570935"/>
    <x v="0"/>
  </r>
  <r>
    <n v="20"/>
    <n v="34"/>
    <n v="5"/>
    <n v="0"/>
    <n v="3"/>
    <n v="3"/>
    <n v="2"/>
    <n v="50"/>
    <n v="5"/>
    <n v="1"/>
    <n v="7.5961536585210654E-2"/>
    <n v="0.92403846341478935"/>
    <x v="0"/>
  </r>
  <r>
    <n v="20"/>
    <n v="35"/>
    <n v="5"/>
    <n v="0"/>
    <n v="0"/>
    <n v="2"/>
    <n v="3"/>
    <n v="0.01"/>
    <n v="5"/>
    <n v="1"/>
    <n v="7.6914699259015062E-2"/>
    <n v="0.92308530074098494"/>
    <x v="0"/>
  </r>
  <r>
    <n v="21"/>
    <n v="39"/>
    <n v="2"/>
    <n v="0"/>
    <n v="1"/>
    <n v="12"/>
    <n v="3"/>
    <n v="0.01"/>
    <n v="5"/>
    <n v="1"/>
    <n v="7.701345207959065E-2"/>
    <n v="0.92298654792040935"/>
    <x v="0"/>
  </r>
  <r>
    <n v="20"/>
    <n v="36"/>
    <n v="0"/>
    <n v="0"/>
    <n v="3"/>
    <n v="8"/>
    <n v="2"/>
    <n v="420"/>
    <n v="4"/>
    <n v="1"/>
    <n v="7.7161361078387003E-2"/>
    <n v="0.922838638921613"/>
    <x v="0"/>
  </r>
  <r>
    <n v="19"/>
    <n v="32"/>
    <n v="2"/>
    <n v="0"/>
    <n v="2"/>
    <n v="1"/>
    <n v="3"/>
    <n v="0.01"/>
    <n v="4"/>
    <n v="1"/>
    <n v="7.957821161088785E-2"/>
    <n v="0.92042178838911215"/>
    <x v="0"/>
  </r>
  <r>
    <n v="19"/>
    <n v="32"/>
    <n v="3"/>
    <n v="0"/>
    <n v="3"/>
    <n v="3"/>
    <n v="2"/>
    <n v="2701.27"/>
    <n v="11"/>
    <n v="1"/>
    <n v="8.019173492416265E-2"/>
    <n v="0.91980826507583735"/>
    <x v="0"/>
  </r>
  <r>
    <n v="20"/>
    <n v="33"/>
    <n v="0"/>
    <n v="1"/>
    <n v="3"/>
    <n v="3"/>
    <n v="2"/>
    <n v="1750"/>
    <n v="9"/>
    <n v="1"/>
    <n v="8.2973375464543753E-2"/>
    <n v="0.91702662453545625"/>
    <x v="0"/>
  </r>
  <r>
    <n v="19"/>
    <n v="31"/>
    <n v="5"/>
    <n v="0"/>
    <n v="3"/>
    <n v="3"/>
    <n v="3"/>
    <n v="0.01"/>
    <n v="5"/>
    <n v="1"/>
    <n v="8.3843185225845218E-2"/>
    <n v="0.91615681477415478"/>
    <x v="0"/>
  </r>
  <r>
    <n v="24"/>
    <n v="54"/>
    <n v="2"/>
    <n v="0"/>
    <n v="1"/>
    <n v="7"/>
    <n v="2"/>
    <n v="1000"/>
    <n v="5"/>
    <n v="1"/>
    <n v="8.4304485690103514E-2"/>
    <n v="0.91569551430989649"/>
    <x v="0"/>
  </r>
  <r>
    <n v="24"/>
    <n v="54"/>
    <n v="2"/>
    <n v="0"/>
    <n v="2"/>
    <n v="6"/>
    <n v="2"/>
    <n v="3000"/>
    <n v="7"/>
    <n v="1"/>
    <n v="8.5637315888211329E-2"/>
    <n v="0.91436268411178867"/>
    <x v="0"/>
  </r>
  <r>
    <n v="19"/>
    <n v="34"/>
    <n v="2"/>
    <n v="0"/>
    <n v="2"/>
    <n v="1"/>
    <n v="3"/>
    <n v="0.01"/>
    <n v="4"/>
    <n v="1"/>
    <n v="8.8851091674684746E-2"/>
    <n v="0.91114890832531525"/>
    <x v="0"/>
  </r>
  <r>
    <n v="21"/>
    <n v="37"/>
    <n v="3"/>
    <n v="1"/>
    <n v="3"/>
    <n v="3"/>
    <n v="2"/>
    <n v="600"/>
    <n v="1"/>
    <n v="1"/>
    <n v="8.9921184954368627E-2"/>
    <n v="0.91007881504563137"/>
    <x v="0"/>
  </r>
  <r>
    <n v="19"/>
    <n v="35"/>
    <n v="2"/>
    <n v="0"/>
    <n v="0"/>
    <n v="4"/>
    <n v="3"/>
    <n v="0.01"/>
    <n v="5"/>
    <n v="1"/>
    <n v="9.0360839831293838E-2"/>
    <n v="0.90963916016870616"/>
    <x v="0"/>
  </r>
  <r>
    <n v="20"/>
    <n v="36"/>
    <n v="5"/>
    <n v="0"/>
    <n v="4"/>
    <n v="9"/>
    <n v="3"/>
    <n v="0.01"/>
    <n v="5"/>
    <n v="1"/>
    <n v="9.3407108664922633E-2"/>
    <n v="0.90659289133507737"/>
    <x v="0"/>
  </r>
  <r>
    <n v="19"/>
    <n v="35"/>
    <n v="5"/>
    <n v="0"/>
    <n v="1"/>
    <n v="12"/>
    <n v="2"/>
    <n v="2500"/>
    <n v="5"/>
    <n v="1"/>
    <n v="9.9210413369224759E-2"/>
    <n v="0.90078958663077524"/>
    <x v="0"/>
  </r>
  <r>
    <n v="19"/>
    <n v="39"/>
    <n v="0"/>
    <n v="0"/>
    <n v="3"/>
    <n v="3"/>
    <n v="0"/>
    <n v="16517.580000000002"/>
    <n v="3"/>
    <n v="1"/>
    <n v="9.9980553165524788E-2"/>
    <n v="0.90001944683447521"/>
    <x v="0"/>
  </r>
  <r>
    <n v="20"/>
    <n v="41"/>
    <n v="3"/>
    <n v="0"/>
    <n v="0"/>
    <n v="4"/>
    <n v="3"/>
    <n v="0.01"/>
    <n v="8"/>
    <n v="1"/>
    <n v="0.1025263192307235"/>
    <n v="0.89747368076927647"/>
    <x v="0"/>
  </r>
  <r>
    <n v="19"/>
    <n v="34"/>
    <n v="4"/>
    <n v="1"/>
    <n v="0"/>
    <n v="11"/>
    <n v="0"/>
    <n v="5050"/>
    <n v="2"/>
    <n v="1"/>
    <n v="0.1072427264424721"/>
    <n v="0.89275727355752788"/>
    <x v="0"/>
  </r>
  <r>
    <n v="20"/>
    <n v="44"/>
    <n v="4"/>
    <n v="0"/>
    <n v="0"/>
    <n v="2"/>
    <n v="0"/>
    <n v="6000"/>
    <n v="5"/>
    <n v="1"/>
    <n v="0.1079873479915755"/>
    <n v="0.8920126520084245"/>
    <x v="0"/>
  </r>
  <r>
    <n v="18"/>
    <n v="35"/>
    <n v="5"/>
    <n v="0"/>
    <n v="2"/>
    <n v="6"/>
    <n v="0"/>
    <n v="7000"/>
    <n v="10"/>
    <n v="1"/>
    <n v="0.1121940517854214"/>
    <n v="0.88780594821457859"/>
    <x v="0"/>
  </r>
  <r>
    <n v="18"/>
    <n v="35"/>
    <n v="2"/>
    <n v="0"/>
    <n v="3"/>
    <n v="3"/>
    <n v="2"/>
    <n v="1000"/>
    <n v="5"/>
    <n v="1"/>
    <n v="0.1159495653802731"/>
    <n v="0.88405043461972688"/>
    <x v="0"/>
  </r>
  <r>
    <n v="19"/>
    <n v="40"/>
    <n v="2"/>
    <n v="0"/>
    <n v="2"/>
    <n v="0"/>
    <n v="2"/>
    <n v="5000"/>
    <n v="3"/>
    <n v="1"/>
    <n v="0.1168117349877658"/>
    <n v="0.88318826501223424"/>
    <x v="0"/>
  </r>
  <r>
    <n v="17"/>
    <n v="31"/>
    <n v="5"/>
    <n v="0"/>
    <n v="0"/>
    <n v="4"/>
    <n v="3"/>
    <n v="0.01"/>
    <n v="4"/>
    <n v="1"/>
    <n v="0.1210731616905233"/>
    <n v="0.87892683830947671"/>
    <x v="0"/>
  </r>
  <r>
    <n v="23"/>
    <n v="53"/>
    <n v="3"/>
    <n v="1"/>
    <n v="3"/>
    <n v="3"/>
    <n v="0"/>
    <n v="17553.349999999999"/>
    <n v="16"/>
    <n v="1"/>
    <n v="0.1219741486889262"/>
    <n v="0.8780258513110738"/>
    <x v="0"/>
  </r>
  <r>
    <n v="14"/>
    <n v="21"/>
    <n v="0"/>
    <n v="0"/>
    <n v="3"/>
    <n v="3"/>
    <n v="2"/>
    <n v="3000"/>
    <n v="3"/>
    <n v="1"/>
    <n v="0.1243156336556259"/>
    <n v="0.87568436634437408"/>
    <x v="0"/>
  </r>
  <r>
    <n v="18"/>
    <n v="37"/>
    <n v="2"/>
    <n v="0"/>
    <n v="3"/>
    <n v="3"/>
    <n v="2"/>
    <n v="50"/>
    <n v="9"/>
    <n v="1"/>
    <n v="0.12846257850666301"/>
    <n v="0.87153742149333702"/>
    <x v="0"/>
  </r>
  <r>
    <n v="19"/>
    <n v="38"/>
    <n v="5"/>
    <n v="0"/>
    <n v="4"/>
    <n v="9"/>
    <n v="3"/>
    <n v="0.01"/>
    <n v="9"/>
    <n v="1"/>
    <n v="0.12855421332178141"/>
    <n v="0.87144578667821859"/>
    <x v="0"/>
  </r>
  <r>
    <n v="13"/>
    <n v="18"/>
    <n v="2"/>
    <n v="0"/>
    <n v="3"/>
    <n v="8"/>
    <n v="0"/>
    <n v="6000"/>
    <n v="1"/>
    <n v="0"/>
    <n v="0.13019669705788359"/>
    <n v="0.86980330294211639"/>
    <x v="0"/>
  </r>
  <r>
    <n v="18"/>
    <n v="35"/>
    <n v="5"/>
    <n v="0"/>
    <n v="3"/>
    <n v="8"/>
    <n v="3"/>
    <n v="0.01"/>
    <n v="5"/>
    <n v="1"/>
    <n v="0.13245992891958991"/>
    <n v="0.86754007108041009"/>
    <x v="0"/>
  </r>
  <r>
    <n v="15"/>
    <n v="27"/>
    <n v="3"/>
    <n v="0"/>
    <n v="3"/>
    <n v="3"/>
    <n v="0"/>
    <n v="6053.35"/>
    <n v="6"/>
    <n v="1"/>
    <n v="0.13555072861220949"/>
    <n v="0.86444927138779049"/>
    <x v="0"/>
  </r>
  <r>
    <n v="20"/>
    <n v="44"/>
    <n v="5"/>
    <n v="0"/>
    <n v="3"/>
    <n v="3"/>
    <n v="3"/>
    <n v="0.01"/>
    <n v="5"/>
    <n v="1"/>
    <n v="0.13555635329038529"/>
    <n v="0.86444364670961471"/>
    <x v="0"/>
  </r>
  <r>
    <n v="18"/>
    <n v="37"/>
    <n v="5"/>
    <n v="0"/>
    <n v="0"/>
    <n v="11"/>
    <n v="3"/>
    <n v="0.01"/>
    <n v="5"/>
    <n v="1"/>
    <n v="0.13849578226443671"/>
    <n v="0.86150421773556329"/>
    <x v="0"/>
  </r>
  <r>
    <n v="17"/>
    <n v="35"/>
    <n v="2"/>
    <n v="0"/>
    <n v="3"/>
    <n v="3"/>
    <n v="2"/>
    <n v="420.02"/>
    <n v="8"/>
    <n v="1"/>
    <n v="0.1430036687906443"/>
    <n v="0.8569963312093557"/>
    <x v="0"/>
  </r>
  <r>
    <n v="17"/>
    <n v="35"/>
    <n v="2"/>
    <n v="0"/>
    <n v="3"/>
    <n v="3"/>
    <n v="2"/>
    <n v="1620"/>
    <n v="5"/>
    <n v="1"/>
    <n v="0.14323934441459479"/>
    <n v="0.85676065558540515"/>
    <x v="0"/>
  </r>
  <r>
    <n v="15"/>
    <n v="27"/>
    <n v="3"/>
    <n v="0"/>
    <n v="3"/>
    <n v="3"/>
    <n v="2"/>
    <n v="1000"/>
    <n v="1"/>
    <n v="1"/>
    <n v="0.14802746375472969"/>
    <n v="0.85197253624527025"/>
    <x v="0"/>
  </r>
  <r>
    <n v="20"/>
    <n v="48"/>
    <n v="5"/>
    <n v="0"/>
    <n v="3"/>
    <n v="8"/>
    <n v="0"/>
    <n v="6053.35"/>
    <n v="6"/>
    <n v="1"/>
    <n v="0.1508910367242646"/>
    <n v="0.84910896327573537"/>
    <x v="0"/>
  </r>
  <r>
    <n v="20"/>
    <n v="50"/>
    <n v="0"/>
    <n v="0"/>
    <n v="1"/>
    <n v="7"/>
    <n v="2"/>
    <n v="4884.25"/>
    <n v="17"/>
    <n v="1"/>
    <n v="0.15118168937126769"/>
    <n v="0.84881831062873225"/>
    <x v="0"/>
  </r>
  <r>
    <n v="17"/>
    <n v="38"/>
    <n v="1"/>
    <n v="0"/>
    <n v="0"/>
    <n v="11"/>
    <n v="2"/>
    <n v="4000"/>
    <n v="4"/>
    <n v="0"/>
    <n v="0.15731653450806091"/>
    <n v="0.84268346549193907"/>
    <x v="0"/>
  </r>
  <r>
    <n v="21"/>
    <n v="52"/>
    <n v="4"/>
    <n v="0"/>
    <n v="3"/>
    <n v="3"/>
    <n v="3"/>
    <n v="0.01"/>
    <n v="5"/>
    <n v="1"/>
    <n v="0.1622843769677533"/>
    <n v="0.83771562303224667"/>
    <x v="0"/>
  </r>
  <r>
    <n v="16"/>
    <n v="34"/>
    <n v="2"/>
    <n v="0"/>
    <n v="3"/>
    <n v="3"/>
    <n v="2"/>
    <n v="300"/>
    <n v="8"/>
    <n v="1"/>
    <n v="0.16702954902896769"/>
    <n v="0.83297045097103228"/>
    <x v="0"/>
  </r>
  <r>
    <n v="15"/>
    <n v="30"/>
    <n v="3"/>
    <n v="0"/>
    <n v="1"/>
    <n v="5"/>
    <n v="3"/>
    <n v="0.01"/>
    <n v="5"/>
    <n v="1"/>
    <n v="0.1715013851179896"/>
    <n v="0.82849861488201038"/>
    <x v="0"/>
  </r>
  <r>
    <n v="15"/>
    <n v="29"/>
    <n v="5"/>
    <n v="0"/>
    <n v="3"/>
    <n v="3"/>
    <n v="3"/>
    <n v="0.01"/>
    <n v="4"/>
    <n v="1"/>
    <n v="0.17719959213805281"/>
    <n v="0.82280040786194719"/>
    <x v="0"/>
  </r>
  <r>
    <n v="15"/>
    <n v="31"/>
    <n v="2"/>
    <n v="0"/>
    <n v="3"/>
    <n v="3"/>
    <n v="3"/>
    <n v="0.01"/>
    <n v="5"/>
    <n v="1"/>
    <n v="0.18313022289922551"/>
    <n v="0.81686977710077446"/>
    <x v="0"/>
  </r>
  <r>
    <n v="15"/>
    <n v="31"/>
    <n v="5"/>
    <n v="0"/>
    <n v="3"/>
    <n v="3"/>
    <n v="2"/>
    <n v="35"/>
    <n v="2"/>
    <n v="1"/>
    <n v="0.18898983792225291"/>
    <n v="0.81101016207774712"/>
    <x v="0"/>
  </r>
  <r>
    <n v="21"/>
    <n v="58"/>
    <n v="3"/>
    <n v="0"/>
    <n v="3"/>
    <n v="3"/>
    <n v="1"/>
    <n v="29673.439999999999"/>
    <n v="2"/>
    <n v="1"/>
    <n v="0.19176720134325431"/>
    <n v="0.80823279865674569"/>
    <x v="0"/>
  </r>
  <r>
    <n v="19"/>
    <n v="51"/>
    <n v="1"/>
    <n v="0"/>
    <n v="3"/>
    <n v="3"/>
    <n v="0"/>
    <n v="6000"/>
    <n v="8"/>
    <n v="0"/>
    <n v="0.1917724805706896"/>
    <n v="0.80822751942931037"/>
    <x v="0"/>
  </r>
  <r>
    <n v="16"/>
    <n v="39"/>
    <n v="1"/>
    <n v="0"/>
    <n v="3"/>
    <n v="3"/>
    <n v="0"/>
    <n v="10000"/>
    <n v="8"/>
    <n v="0"/>
    <n v="0.1921789358014995"/>
    <n v="0.80782106419850053"/>
    <x v="0"/>
  </r>
  <r>
    <n v="17"/>
    <n v="42"/>
    <n v="0"/>
    <n v="0"/>
    <n v="3"/>
    <n v="3"/>
    <n v="2"/>
    <n v="3000"/>
    <n v="8"/>
    <n v="1"/>
    <n v="0.1937055045731905"/>
    <n v="0.80629449542680953"/>
    <x v="0"/>
  </r>
  <r>
    <n v="16"/>
    <n v="37"/>
    <n v="4"/>
    <n v="0"/>
    <n v="0"/>
    <n v="2"/>
    <n v="3"/>
    <n v="0.01"/>
    <n v="5"/>
    <n v="1"/>
    <n v="0.19527129571919791"/>
    <n v="0.80472870428080212"/>
    <x v="0"/>
  </r>
  <r>
    <n v="15"/>
    <n v="33"/>
    <n v="4"/>
    <n v="0"/>
    <n v="0"/>
    <n v="11"/>
    <n v="2"/>
    <n v="360"/>
    <n v="9"/>
    <n v="1"/>
    <n v="0.1956951660519152"/>
    <n v="0.80430483394808483"/>
    <x v="0"/>
  </r>
  <r>
    <n v="15"/>
    <n v="33"/>
    <n v="3"/>
    <n v="0"/>
    <n v="0"/>
    <n v="11"/>
    <n v="3"/>
    <n v="0.01"/>
    <n v="8"/>
    <n v="1"/>
    <n v="0.1987944450615069"/>
    <n v="0.8012055549384931"/>
    <x v="0"/>
  </r>
  <r>
    <n v="15"/>
    <n v="32"/>
    <n v="4"/>
    <n v="0"/>
    <n v="3"/>
    <n v="3"/>
    <n v="3"/>
    <n v="0.01"/>
    <n v="5"/>
    <n v="1"/>
    <n v="0.20060720387216471"/>
    <n v="0.79939279612783531"/>
    <x v="0"/>
  </r>
  <r>
    <n v="16"/>
    <n v="41"/>
    <n v="2"/>
    <n v="0"/>
    <n v="0"/>
    <n v="2"/>
    <n v="0"/>
    <n v="6000"/>
    <n v="1"/>
    <n v="1"/>
    <n v="0.20349577530322871"/>
    <n v="0.79650422469677129"/>
    <x v="0"/>
  </r>
  <r>
    <n v="15"/>
    <n v="32"/>
    <n v="5"/>
    <n v="0"/>
    <n v="1"/>
    <n v="12"/>
    <n v="3"/>
    <n v="0.01"/>
    <n v="5"/>
    <n v="1"/>
    <n v="0.2036484511642955"/>
    <n v="0.79635154883570447"/>
    <x v="0"/>
  </r>
  <r>
    <n v="13"/>
    <n v="28"/>
    <n v="3"/>
    <n v="0"/>
    <n v="1"/>
    <n v="5"/>
    <n v="0"/>
    <n v="8000"/>
    <n v="1"/>
    <n v="1"/>
    <n v="0.20624296126277761"/>
    <n v="0.79375703873722236"/>
    <x v="0"/>
  </r>
  <r>
    <n v="16"/>
    <n v="37"/>
    <n v="5"/>
    <n v="0"/>
    <n v="0"/>
    <n v="11"/>
    <n v="3"/>
    <n v="0.01"/>
    <n v="5"/>
    <n v="0"/>
    <n v="0.20744300377818151"/>
    <n v="0.79255699622181852"/>
    <x v="0"/>
  </r>
  <r>
    <n v="12"/>
    <n v="23"/>
    <n v="0"/>
    <n v="0"/>
    <n v="3"/>
    <n v="3"/>
    <n v="2"/>
    <n v="1000"/>
    <n v="2"/>
    <n v="1"/>
    <n v="0.2075273385035559"/>
    <n v="0.79247266149644413"/>
    <x v="0"/>
  </r>
  <r>
    <n v="17"/>
    <n v="36"/>
    <n v="4"/>
    <n v="1"/>
    <n v="3"/>
    <n v="3"/>
    <n v="3"/>
    <n v="0.01"/>
    <n v="8"/>
    <n v="1"/>
    <n v="0.20790146714248631"/>
    <n v="0.79209853285751375"/>
    <x v="0"/>
  </r>
  <r>
    <n v="14"/>
    <n v="30"/>
    <n v="3"/>
    <n v="0"/>
    <n v="3"/>
    <n v="3"/>
    <n v="2"/>
    <n v="50.01"/>
    <n v="7"/>
    <n v="1"/>
    <n v="0.20881234033936319"/>
    <n v="0.79118765966063676"/>
    <x v="0"/>
  </r>
  <r>
    <n v="15"/>
    <n v="35"/>
    <n v="1"/>
    <n v="0"/>
    <n v="3"/>
    <n v="3"/>
    <n v="2"/>
    <n v="1000"/>
    <n v="4"/>
    <n v="1"/>
    <n v="0.20994984004858561"/>
    <n v="0.79005015995141437"/>
    <x v="0"/>
  </r>
  <r>
    <n v="15"/>
    <n v="34"/>
    <n v="4"/>
    <n v="0"/>
    <n v="3"/>
    <n v="3"/>
    <n v="2"/>
    <n v="5000"/>
    <n v="10"/>
    <n v="1"/>
    <n v="0.21071028541955991"/>
    <n v="0.78928971458044006"/>
    <x v="0"/>
  </r>
  <r>
    <n v="19"/>
    <n v="51"/>
    <n v="2"/>
    <n v="0"/>
    <n v="3"/>
    <n v="3"/>
    <n v="2"/>
    <n v="3000"/>
    <n v="7"/>
    <n v="0"/>
    <n v="0.21113625291791441"/>
    <n v="0.78886374708208562"/>
    <x v="0"/>
  </r>
  <r>
    <n v="16"/>
    <n v="37"/>
    <n v="5"/>
    <n v="0"/>
    <n v="1"/>
    <n v="12"/>
    <n v="3"/>
    <n v="0.01"/>
    <n v="5"/>
    <n v="1"/>
    <n v="0.21307417608767121"/>
    <n v="0.78692582391232879"/>
    <x v="0"/>
  </r>
  <r>
    <n v="13"/>
    <n v="26"/>
    <n v="4"/>
    <n v="0"/>
    <n v="1"/>
    <n v="12"/>
    <n v="2"/>
    <n v="1250"/>
    <n v="1"/>
    <n v="1"/>
    <n v="0.21341830801310241"/>
    <n v="0.78658169198689765"/>
    <x v="0"/>
  </r>
  <r>
    <n v="16"/>
    <n v="37"/>
    <n v="5"/>
    <n v="0"/>
    <n v="3"/>
    <n v="3"/>
    <n v="3"/>
    <n v="0.01"/>
    <n v="8"/>
    <n v="1"/>
    <n v="0.21367660074148209"/>
    <n v="0.78632339925851791"/>
    <x v="0"/>
  </r>
  <r>
    <n v="15"/>
    <n v="34"/>
    <n v="5"/>
    <n v="0"/>
    <n v="3"/>
    <n v="3"/>
    <n v="2"/>
    <n v="1600"/>
    <n v="0"/>
    <n v="1"/>
    <n v="0.218228808358399"/>
    <n v="0.78177119164160103"/>
    <x v="0"/>
  </r>
  <r>
    <n v="14"/>
    <n v="32"/>
    <n v="2"/>
    <n v="0"/>
    <n v="0"/>
    <n v="4"/>
    <n v="3"/>
    <n v="0.01"/>
    <n v="8"/>
    <n v="0"/>
    <n v="0.21839702357870711"/>
    <n v="0.78160297642129295"/>
    <x v="0"/>
  </r>
  <r>
    <n v="16"/>
    <n v="39"/>
    <n v="2"/>
    <n v="0"/>
    <n v="1"/>
    <n v="12"/>
    <n v="3"/>
    <n v="0.01"/>
    <n v="5"/>
    <n v="1"/>
    <n v="0.22010512606802771"/>
    <n v="0.77989487393197232"/>
    <x v="0"/>
  </r>
  <r>
    <n v="18"/>
    <n v="48"/>
    <n v="3"/>
    <n v="0"/>
    <n v="2"/>
    <n v="0"/>
    <n v="2"/>
    <n v="600"/>
    <n v="2"/>
    <n v="0"/>
    <n v="0.22042473948676761"/>
    <n v="0.77957526051323245"/>
    <x v="0"/>
  </r>
  <r>
    <n v="14"/>
    <n v="29"/>
    <n v="4"/>
    <n v="0"/>
    <n v="4"/>
    <n v="9"/>
    <n v="3"/>
    <n v="0.01"/>
    <n v="7"/>
    <n v="1"/>
    <n v="0.22088490591288709"/>
    <n v="0.77911509408711288"/>
    <x v="0"/>
  </r>
  <r>
    <n v="15"/>
    <n v="36"/>
    <n v="1"/>
    <n v="0"/>
    <n v="3"/>
    <n v="8"/>
    <n v="2"/>
    <n v="4400"/>
    <n v="4"/>
    <n v="1"/>
    <n v="0.22389942771048069"/>
    <n v="0.77610057228951934"/>
    <x v="0"/>
  </r>
  <r>
    <n v="15"/>
    <n v="37"/>
    <n v="0"/>
    <n v="0"/>
    <n v="3"/>
    <n v="3"/>
    <n v="2"/>
    <n v="1500"/>
    <n v="8"/>
    <n v="1"/>
    <n v="0.22493613322146311"/>
    <n v="0.77506386677853689"/>
    <x v="0"/>
  </r>
  <r>
    <n v="16"/>
    <n v="42"/>
    <n v="2"/>
    <n v="0"/>
    <n v="3"/>
    <n v="3"/>
    <n v="0"/>
    <n v="14160.99"/>
    <n v="6"/>
    <n v="1"/>
    <n v="0.22561753401222451"/>
    <n v="0.77438246598777549"/>
    <x v="0"/>
  </r>
  <r>
    <n v="19"/>
    <n v="54"/>
    <n v="5"/>
    <n v="0"/>
    <n v="0"/>
    <n v="4"/>
    <n v="0"/>
    <n v="6053.35"/>
    <n v="5"/>
    <n v="0"/>
    <n v="0.22638825022432771"/>
    <n v="0.77361174977567226"/>
    <x v="0"/>
  </r>
  <r>
    <n v="18"/>
    <n v="39"/>
    <n v="3"/>
    <n v="2"/>
    <n v="1"/>
    <n v="7"/>
    <n v="2"/>
    <n v="600"/>
    <n v="8"/>
    <n v="0"/>
    <n v="0.22943329744123739"/>
    <n v="0.77056670255876258"/>
    <x v="0"/>
  </r>
  <r>
    <n v="14"/>
    <n v="32"/>
    <n v="3"/>
    <n v="0"/>
    <n v="1"/>
    <n v="5"/>
    <n v="3"/>
    <n v="0.01"/>
    <n v="5"/>
    <n v="1"/>
    <n v="0.22953114873002181"/>
    <n v="0.77046885126997822"/>
    <x v="0"/>
  </r>
  <r>
    <n v="15"/>
    <n v="32"/>
    <n v="4"/>
    <n v="1"/>
    <n v="0"/>
    <n v="4"/>
    <n v="2"/>
    <n v="600"/>
    <n v="3"/>
    <n v="1"/>
    <n v="0.2298388940912747"/>
    <n v="0.77016110590872533"/>
    <x v="0"/>
  </r>
  <r>
    <n v="13"/>
    <n v="30"/>
    <n v="5"/>
    <n v="0"/>
    <n v="0"/>
    <n v="4"/>
    <n v="0"/>
    <n v="6000"/>
    <n v="1"/>
    <n v="1"/>
    <n v="0.2305049732854686"/>
    <n v="0.7694950267145314"/>
    <x v="0"/>
  </r>
  <r>
    <n v="14"/>
    <n v="32"/>
    <n v="5"/>
    <n v="0"/>
    <n v="0"/>
    <n v="2"/>
    <n v="3"/>
    <n v="0.01"/>
    <n v="4"/>
    <n v="0"/>
    <n v="0.23112609670840559"/>
    <n v="0.76887390329159444"/>
    <x v="0"/>
  </r>
  <r>
    <n v="15"/>
    <n v="36"/>
    <n v="2"/>
    <n v="0"/>
    <n v="3"/>
    <n v="3"/>
    <n v="3"/>
    <n v="0.01"/>
    <n v="8"/>
    <n v="1"/>
    <n v="0.23178322887115149"/>
    <n v="0.76821677112884845"/>
    <x v="0"/>
  </r>
  <r>
    <n v="15"/>
    <n v="36"/>
    <n v="2"/>
    <n v="0"/>
    <n v="3"/>
    <n v="3"/>
    <n v="3"/>
    <n v="0.01"/>
    <n v="8"/>
    <n v="1"/>
    <n v="0.23178322887115149"/>
    <n v="0.76821677112884845"/>
    <x v="0"/>
  </r>
  <r>
    <n v="14"/>
    <n v="32"/>
    <n v="5"/>
    <n v="0"/>
    <n v="0"/>
    <n v="4"/>
    <n v="3"/>
    <n v="0.01"/>
    <n v="8"/>
    <n v="1"/>
    <n v="0.23216529597232349"/>
    <n v="0.76783470402767651"/>
    <x v="0"/>
  </r>
  <r>
    <n v="15"/>
    <n v="35"/>
    <n v="5"/>
    <n v="0"/>
    <n v="1"/>
    <n v="12"/>
    <n v="3"/>
    <n v="0.01"/>
    <n v="4"/>
    <n v="1"/>
    <n v="0.2347215846972224"/>
    <n v="0.76527841530277763"/>
    <x v="0"/>
  </r>
  <r>
    <n v="16"/>
    <n v="42"/>
    <n v="5"/>
    <n v="0"/>
    <n v="2"/>
    <n v="0"/>
    <n v="0"/>
    <n v="6000"/>
    <n v="2"/>
    <n v="1"/>
    <n v="0.2348866863071519"/>
    <n v="0.76511331369284807"/>
    <x v="0"/>
  </r>
  <r>
    <n v="18"/>
    <n v="51"/>
    <n v="2"/>
    <n v="0"/>
    <n v="1"/>
    <n v="12"/>
    <n v="0"/>
    <n v="11500"/>
    <n v="4"/>
    <n v="0"/>
    <n v="0.23510951515331491"/>
    <n v="0.76489048484668509"/>
    <x v="0"/>
  </r>
  <r>
    <n v="15"/>
    <n v="37"/>
    <n v="4"/>
    <n v="0"/>
    <n v="0"/>
    <n v="11"/>
    <n v="2"/>
    <n v="500"/>
    <n v="13"/>
    <n v="1"/>
    <n v="0.23539550770652809"/>
    <n v="0.76460449229347194"/>
    <x v="0"/>
  </r>
  <r>
    <n v="12"/>
    <n v="25"/>
    <n v="0"/>
    <n v="0"/>
    <n v="3"/>
    <n v="3"/>
    <n v="3"/>
    <n v="0.01"/>
    <n v="5"/>
    <n v="1"/>
    <n v="0.23545153610429231"/>
    <n v="0.76454846389570774"/>
    <x v="0"/>
  </r>
  <r>
    <n v="14"/>
    <n v="32"/>
    <n v="4"/>
    <n v="0"/>
    <n v="2"/>
    <n v="1"/>
    <n v="3"/>
    <n v="0.01"/>
    <n v="4"/>
    <n v="1"/>
    <n v="0.2356089506334971"/>
    <n v="0.76439104936650293"/>
    <x v="0"/>
  </r>
  <r>
    <n v="14"/>
    <n v="35"/>
    <n v="1"/>
    <n v="0"/>
    <n v="3"/>
    <n v="3"/>
    <n v="0"/>
    <n v="5400"/>
    <n v="4"/>
    <n v="1"/>
    <n v="0.23565978008455921"/>
    <n v="0.76434021991544077"/>
    <x v="0"/>
  </r>
  <r>
    <n v="12"/>
    <n v="27"/>
    <n v="1"/>
    <n v="0"/>
    <n v="0"/>
    <n v="2"/>
    <n v="2"/>
    <n v="1320"/>
    <n v="1"/>
    <n v="1"/>
    <n v="0.2381421617962545"/>
    <n v="0.76185783820374553"/>
    <x v="0"/>
  </r>
  <r>
    <n v="15"/>
    <n v="36"/>
    <n v="5"/>
    <n v="0"/>
    <n v="0"/>
    <n v="11"/>
    <n v="3"/>
    <n v="0.01"/>
    <n v="4"/>
    <n v="1"/>
    <n v="0.23947131286565959"/>
    <n v="0.76052868713434041"/>
    <x v="0"/>
  </r>
  <r>
    <n v="13"/>
    <n v="28"/>
    <n v="5"/>
    <n v="0"/>
    <n v="3"/>
    <n v="3"/>
    <n v="2"/>
    <n v="425"/>
    <n v="4"/>
    <n v="0"/>
    <n v="0.23996446014007999"/>
    <n v="0.76003553985992001"/>
    <x v="0"/>
  </r>
  <r>
    <n v="16"/>
    <n v="39"/>
    <n v="2"/>
    <n v="1"/>
    <n v="1"/>
    <n v="7"/>
    <n v="0"/>
    <n v="12105.32"/>
    <n v="7"/>
    <n v="1"/>
    <n v="0.24028187484146421"/>
    <n v="0.75971812515853576"/>
    <x v="0"/>
  </r>
  <r>
    <n v="14"/>
    <n v="34"/>
    <n v="5"/>
    <n v="0"/>
    <n v="0"/>
    <n v="2"/>
    <n v="2"/>
    <n v="2500"/>
    <n v="12"/>
    <n v="1"/>
    <n v="0.2423320596173606"/>
    <n v="0.7576679403826394"/>
    <x v="0"/>
  </r>
  <r>
    <n v="18"/>
    <n v="51"/>
    <n v="1"/>
    <n v="0"/>
    <n v="0"/>
    <n v="11"/>
    <n v="2"/>
    <n v="3000"/>
    <n v="3"/>
    <n v="0"/>
    <n v="0.24289098739721149"/>
    <n v="0.75710901260278851"/>
    <x v="0"/>
  </r>
  <r>
    <n v="13"/>
    <n v="29"/>
    <n v="3"/>
    <n v="0"/>
    <n v="1"/>
    <n v="7"/>
    <n v="3"/>
    <n v="0.01"/>
    <n v="5"/>
    <n v="1"/>
    <n v="0.24291090038291169"/>
    <n v="0.75708909961708826"/>
    <x v="0"/>
  </r>
  <r>
    <n v="15"/>
    <n v="37"/>
    <n v="4"/>
    <n v="0"/>
    <n v="3"/>
    <n v="3"/>
    <n v="2"/>
    <n v="3000"/>
    <n v="8"/>
    <n v="1"/>
    <n v="0.24336181295171039"/>
    <n v="0.75663818704828956"/>
    <x v="0"/>
  </r>
  <r>
    <n v="14"/>
    <n v="33"/>
    <n v="4"/>
    <n v="0"/>
    <n v="3"/>
    <n v="3"/>
    <n v="2"/>
    <n v="2800.02"/>
    <n v="8"/>
    <n v="1"/>
    <n v="0.24397808657703821"/>
    <n v="0.75602191342296177"/>
    <x v="0"/>
  </r>
  <r>
    <n v="13"/>
    <n v="28"/>
    <n v="5"/>
    <n v="0"/>
    <n v="1"/>
    <n v="12"/>
    <n v="3"/>
    <n v="0.01"/>
    <n v="4"/>
    <n v="1"/>
    <n v="0.24682415513236569"/>
    <n v="0.75317584486763434"/>
    <x v="0"/>
  </r>
  <r>
    <n v="14"/>
    <n v="34"/>
    <n v="2"/>
    <n v="0"/>
    <n v="3"/>
    <n v="3"/>
    <n v="2"/>
    <n v="3000"/>
    <n v="1"/>
    <n v="1"/>
    <n v="0.246986386728579"/>
    <n v="0.75301361327142102"/>
    <x v="0"/>
  </r>
  <r>
    <n v="15"/>
    <n v="38"/>
    <n v="4"/>
    <n v="0"/>
    <n v="1"/>
    <n v="7"/>
    <n v="2"/>
    <n v="300"/>
    <n v="11"/>
    <n v="1"/>
    <n v="0.24813968418740079"/>
    <n v="0.75186031581259916"/>
    <x v="0"/>
  </r>
  <r>
    <n v="16"/>
    <n v="44"/>
    <n v="3"/>
    <n v="0"/>
    <n v="1"/>
    <n v="7"/>
    <n v="0"/>
    <n v="7500"/>
    <n v="3"/>
    <n v="1"/>
    <n v="0.24845321052048591"/>
    <n v="0.75154678947951414"/>
    <x v="0"/>
  </r>
  <r>
    <n v="13"/>
    <n v="31"/>
    <n v="2"/>
    <n v="0"/>
    <n v="1"/>
    <n v="5"/>
    <n v="2"/>
    <n v="420"/>
    <n v="5"/>
    <n v="1"/>
    <n v="0.25003821510624119"/>
    <n v="0.74996178489375875"/>
    <x v="0"/>
  </r>
  <r>
    <n v="14"/>
    <n v="33"/>
    <n v="5"/>
    <n v="0"/>
    <n v="3"/>
    <n v="3"/>
    <n v="2"/>
    <n v="41.62"/>
    <n v="2"/>
    <n v="1"/>
    <n v="0.25114128490780269"/>
    <n v="0.74885871509219726"/>
    <x v="0"/>
  </r>
  <r>
    <n v="16"/>
    <n v="37"/>
    <n v="5"/>
    <n v="1"/>
    <n v="1"/>
    <n v="7"/>
    <n v="2"/>
    <n v="0.02"/>
    <n v="5"/>
    <n v="1"/>
    <n v="0.25303752959739811"/>
    <n v="0.74696247040260189"/>
    <x v="0"/>
  </r>
  <r>
    <n v="14"/>
    <n v="37"/>
    <n v="0"/>
    <n v="0"/>
    <n v="3"/>
    <n v="3"/>
    <n v="0"/>
    <n v="6000"/>
    <n v="1"/>
    <n v="1"/>
    <n v="0.25356455623141438"/>
    <n v="0.74643544376858562"/>
    <x v="0"/>
  </r>
  <r>
    <n v="15"/>
    <n v="37"/>
    <n v="2"/>
    <n v="0"/>
    <n v="4"/>
    <n v="9"/>
    <n v="3"/>
    <n v="0.01"/>
    <n v="8"/>
    <n v="1"/>
    <n v="0.2541245091271418"/>
    <n v="0.7458754908728582"/>
    <x v="0"/>
  </r>
  <r>
    <n v="14"/>
    <n v="35"/>
    <n v="1"/>
    <n v="0"/>
    <n v="1"/>
    <n v="7"/>
    <n v="3"/>
    <n v="0.01"/>
    <n v="8"/>
    <n v="1"/>
    <n v="0.25427872469360158"/>
    <n v="0.74572127530639842"/>
    <x v="0"/>
  </r>
  <r>
    <n v="12"/>
    <n v="27"/>
    <n v="5"/>
    <n v="0"/>
    <n v="1"/>
    <n v="12"/>
    <n v="0"/>
    <n v="6107.64"/>
    <n v="5"/>
    <n v="1"/>
    <n v="0.2544078486684398"/>
    <n v="0.7455921513315602"/>
    <x v="0"/>
  </r>
  <r>
    <n v="16"/>
    <n v="43"/>
    <n v="2"/>
    <n v="0"/>
    <n v="3"/>
    <n v="3"/>
    <n v="2"/>
    <n v="3000"/>
    <n v="11"/>
    <n v="1"/>
    <n v="0.25474363887892859"/>
    <n v="0.74525636112107141"/>
    <x v="0"/>
  </r>
  <r>
    <n v="15"/>
    <n v="40"/>
    <n v="2"/>
    <n v="0"/>
    <n v="0"/>
    <n v="11"/>
    <n v="2"/>
    <n v="550"/>
    <n v="9"/>
    <n v="1"/>
    <n v="0.26016405587521568"/>
    <n v="0.73983594412478426"/>
    <x v="0"/>
  </r>
  <r>
    <n v="15"/>
    <n v="40"/>
    <n v="2"/>
    <n v="0"/>
    <n v="1"/>
    <n v="7"/>
    <n v="2"/>
    <n v="1200"/>
    <n v="8"/>
    <n v="0"/>
    <n v="0.26145663060873658"/>
    <n v="0.73854336939126342"/>
    <x v="0"/>
  </r>
  <r>
    <n v="18"/>
    <n v="52"/>
    <n v="1"/>
    <n v="0"/>
    <n v="3"/>
    <n v="3"/>
    <n v="2"/>
    <n v="50.01"/>
    <n v="7"/>
    <n v="1"/>
    <n v="0.26197095826294331"/>
    <n v="0.73802904173705675"/>
    <x v="0"/>
  </r>
  <r>
    <n v="13"/>
    <n v="31"/>
    <n v="1"/>
    <n v="0"/>
    <n v="3"/>
    <n v="3"/>
    <n v="3"/>
    <n v="0.01"/>
    <n v="5"/>
    <n v="1"/>
    <n v="0.26227987042392342"/>
    <n v="0.73772012957607658"/>
    <x v="0"/>
  </r>
  <r>
    <n v="11"/>
    <n v="24"/>
    <n v="3"/>
    <n v="0"/>
    <n v="3"/>
    <n v="8"/>
    <n v="0"/>
    <n v="6053.35"/>
    <n v="6"/>
    <n v="1"/>
    <n v="0.26289887384178529"/>
    <n v="0.73710112615821466"/>
    <x v="0"/>
  </r>
  <r>
    <n v="14"/>
    <n v="37"/>
    <n v="3"/>
    <n v="0"/>
    <n v="1"/>
    <n v="7"/>
    <n v="1"/>
    <n v="24901"/>
    <n v="7"/>
    <n v="1"/>
    <n v="0.26311745954855492"/>
    <n v="0.73688254045144508"/>
    <x v="0"/>
  </r>
  <r>
    <n v="15"/>
    <n v="41"/>
    <n v="4"/>
    <n v="0"/>
    <n v="1"/>
    <n v="7"/>
    <n v="0"/>
    <n v="6107.64"/>
    <n v="6"/>
    <n v="1"/>
    <n v="0.26522362366700841"/>
    <n v="0.73477637633299164"/>
    <x v="0"/>
  </r>
  <r>
    <n v="15"/>
    <n v="40"/>
    <n v="3"/>
    <n v="0"/>
    <n v="1"/>
    <n v="7"/>
    <n v="2"/>
    <n v="360"/>
    <n v="9"/>
    <n v="1"/>
    <n v="0.26658070158324942"/>
    <n v="0.73341929841675058"/>
    <x v="0"/>
  </r>
  <r>
    <n v="14"/>
    <n v="36"/>
    <n v="2"/>
    <n v="0"/>
    <n v="3"/>
    <n v="3"/>
    <n v="2"/>
    <n v="1000"/>
    <n v="8"/>
    <n v="0"/>
    <n v="0.26890685391412977"/>
    <n v="0.73109314608587017"/>
    <x v="0"/>
  </r>
  <r>
    <n v="18"/>
    <n v="51"/>
    <n v="1"/>
    <n v="0"/>
    <n v="4"/>
    <n v="9"/>
    <n v="3"/>
    <n v="0.01"/>
    <n v="8"/>
    <n v="1"/>
    <n v="0.2705656050649542"/>
    <n v="0.7294343949350458"/>
    <x v="0"/>
  </r>
  <r>
    <n v="15"/>
    <n v="34"/>
    <n v="3"/>
    <n v="1"/>
    <n v="3"/>
    <n v="3"/>
    <n v="3"/>
    <n v="0.01"/>
    <n v="4"/>
    <n v="1"/>
    <n v="0.27057668434487459"/>
    <n v="0.72942331565512541"/>
    <x v="0"/>
  </r>
  <r>
    <n v="16"/>
    <n v="44"/>
    <n v="5"/>
    <n v="0"/>
    <n v="0"/>
    <n v="4"/>
    <n v="3"/>
    <n v="0.01"/>
    <n v="9"/>
    <n v="1"/>
    <n v="0.27632613373793652"/>
    <n v="0.72367386626206354"/>
    <x v="0"/>
  </r>
  <r>
    <n v="10"/>
    <n v="19"/>
    <n v="5"/>
    <n v="0"/>
    <n v="3"/>
    <n v="3"/>
    <n v="2"/>
    <n v="1500"/>
    <n v="1"/>
    <n v="0"/>
    <n v="0.27664495235549003"/>
    <n v="0.72335504764450997"/>
    <x v="0"/>
  </r>
  <r>
    <n v="13"/>
    <n v="33"/>
    <n v="5"/>
    <n v="0"/>
    <n v="0"/>
    <n v="2"/>
    <n v="2"/>
    <n v="1575"/>
    <n v="5"/>
    <n v="1"/>
    <n v="0.27970851586661599"/>
    <n v="0.72029148413338395"/>
    <x v="0"/>
  </r>
  <r>
    <n v="16"/>
    <n v="42"/>
    <n v="2"/>
    <n v="1"/>
    <n v="3"/>
    <n v="3"/>
    <n v="0"/>
    <n v="19214.64"/>
    <n v="5"/>
    <n v="0"/>
    <n v="0.27997067274318688"/>
    <n v="0.72002932725681312"/>
    <x v="0"/>
  </r>
  <r>
    <n v="13"/>
    <n v="29"/>
    <n v="1"/>
    <n v="1"/>
    <n v="0"/>
    <n v="11"/>
    <n v="2"/>
    <n v="600"/>
    <n v="1"/>
    <n v="1"/>
    <n v="0.28085575283320319"/>
    <n v="0.71914424716679681"/>
    <x v="0"/>
  </r>
  <r>
    <n v="13"/>
    <n v="33"/>
    <n v="2"/>
    <n v="0"/>
    <n v="3"/>
    <n v="3"/>
    <n v="2"/>
    <n v="3276.91"/>
    <n v="6"/>
    <n v="1"/>
    <n v="0.28128853538719362"/>
    <n v="0.71871146461280644"/>
    <x v="0"/>
  </r>
  <r>
    <n v="17"/>
    <n v="50"/>
    <n v="0"/>
    <n v="0"/>
    <n v="1"/>
    <n v="7"/>
    <n v="3"/>
    <n v="0.01"/>
    <n v="8"/>
    <n v="1"/>
    <n v="0.28276897348118563"/>
    <n v="0.71723102651881443"/>
    <x v="0"/>
  </r>
  <r>
    <n v="14"/>
    <n v="38"/>
    <n v="2"/>
    <n v="0"/>
    <n v="0"/>
    <n v="2"/>
    <n v="3"/>
    <n v="0.01"/>
    <n v="8"/>
    <n v="0"/>
    <n v="0.28394638704509562"/>
    <n v="0.71605361295490444"/>
    <x v="0"/>
  </r>
  <r>
    <n v="14"/>
    <n v="39"/>
    <n v="3"/>
    <n v="0"/>
    <n v="2"/>
    <n v="1"/>
    <n v="0"/>
    <n v="6000"/>
    <n v="4"/>
    <n v="1"/>
    <n v="0.28420563876434107"/>
    <n v="0.71579436123565887"/>
    <x v="0"/>
  </r>
  <r>
    <n v="13"/>
    <n v="32"/>
    <n v="3"/>
    <n v="0"/>
    <n v="3"/>
    <n v="3"/>
    <n v="3"/>
    <n v="0.01"/>
    <n v="5"/>
    <n v="0"/>
    <n v="0.28467804745750053"/>
    <n v="0.71532195254249953"/>
    <x v="0"/>
  </r>
  <r>
    <n v="17"/>
    <n v="39"/>
    <n v="3"/>
    <n v="2"/>
    <n v="1"/>
    <n v="7"/>
    <n v="3"/>
    <n v="0.01"/>
    <n v="5"/>
    <n v="1"/>
    <n v="0.28516893906695701"/>
    <n v="0.71483106093304305"/>
    <x v="0"/>
  </r>
  <r>
    <n v="18"/>
    <n v="53"/>
    <n v="2"/>
    <n v="0"/>
    <n v="3"/>
    <n v="3"/>
    <n v="3"/>
    <n v="0.01"/>
    <n v="8"/>
    <n v="1"/>
    <n v="0.28772342670815088"/>
    <n v="0.71227657329184912"/>
    <x v="0"/>
  </r>
  <r>
    <n v="14"/>
    <n v="37"/>
    <n v="3"/>
    <n v="0"/>
    <n v="0"/>
    <n v="11"/>
    <n v="3"/>
    <n v="0.01"/>
    <n v="5"/>
    <n v="0"/>
    <n v="0.28790506143900152"/>
    <n v="0.71209493856099848"/>
    <x v="0"/>
  </r>
  <r>
    <n v="13"/>
    <n v="33"/>
    <n v="3"/>
    <n v="0"/>
    <n v="0"/>
    <n v="11"/>
    <n v="3"/>
    <n v="0.01"/>
    <n v="5"/>
    <n v="1"/>
    <n v="0.28852496226542318"/>
    <n v="0.71147503773457677"/>
    <x v="0"/>
  </r>
  <r>
    <n v="14"/>
    <n v="37"/>
    <n v="5"/>
    <n v="0"/>
    <n v="0"/>
    <n v="2"/>
    <n v="3"/>
    <n v="0.01"/>
    <n v="5"/>
    <n v="1"/>
    <n v="0.28856152783817979"/>
    <n v="0.71143847216182021"/>
    <x v="0"/>
  </r>
  <r>
    <n v="12"/>
    <n v="30"/>
    <n v="1"/>
    <n v="0"/>
    <n v="3"/>
    <n v="3"/>
    <n v="2"/>
    <n v="10"/>
    <n v="6"/>
    <n v="1"/>
    <n v="0.289889172779632"/>
    <n v="0.710110827220368"/>
    <x v="0"/>
  </r>
  <r>
    <n v="11"/>
    <n v="27"/>
    <n v="2"/>
    <n v="0"/>
    <n v="0"/>
    <n v="2"/>
    <n v="2"/>
    <n v="1500"/>
    <n v="1"/>
    <n v="1"/>
    <n v="0.29045740852047891"/>
    <n v="0.70954259147952115"/>
    <x v="0"/>
  </r>
  <r>
    <n v="14"/>
    <n v="39"/>
    <n v="3"/>
    <n v="0"/>
    <n v="3"/>
    <n v="3"/>
    <n v="0"/>
    <n v="6000"/>
    <n v="7"/>
    <n v="1"/>
    <n v="0.29149248664868349"/>
    <n v="0.70850751335131645"/>
    <x v="0"/>
  </r>
  <r>
    <n v="14"/>
    <n v="39"/>
    <n v="1"/>
    <n v="0"/>
    <n v="0"/>
    <n v="4"/>
    <n v="3"/>
    <n v="0.01"/>
    <n v="9"/>
    <n v="1"/>
    <n v="0.29288679085303743"/>
    <n v="0.70711320914696263"/>
    <x v="0"/>
  </r>
  <r>
    <n v="17"/>
    <n v="51"/>
    <n v="0"/>
    <n v="0"/>
    <n v="3"/>
    <n v="3"/>
    <n v="2"/>
    <n v="3750"/>
    <n v="4"/>
    <n v="1"/>
    <n v="0.29305017455402682"/>
    <n v="0.70694982544597318"/>
    <x v="0"/>
  </r>
  <r>
    <n v="15"/>
    <n v="43"/>
    <n v="1"/>
    <n v="0"/>
    <n v="1"/>
    <n v="7"/>
    <n v="2"/>
    <n v="1000"/>
    <n v="5"/>
    <n v="1"/>
    <n v="0.29317453653078368"/>
    <n v="0.70682546346921626"/>
    <x v="0"/>
  </r>
  <r>
    <n v="18"/>
    <n v="55"/>
    <n v="2"/>
    <n v="0"/>
    <n v="0"/>
    <n v="11"/>
    <n v="2"/>
    <n v="3000"/>
    <n v="7"/>
    <n v="0"/>
    <n v="0.29420710470766159"/>
    <n v="0.70579289529233835"/>
    <x v="0"/>
  </r>
  <r>
    <n v="13"/>
    <n v="32"/>
    <n v="5"/>
    <n v="0"/>
    <n v="3"/>
    <n v="3"/>
    <n v="3"/>
    <n v="0.01"/>
    <n v="4"/>
    <n v="1"/>
    <n v="0.29577813244797901"/>
    <n v="0.70422186755202099"/>
    <x v="0"/>
  </r>
  <r>
    <n v="19"/>
    <n v="57"/>
    <n v="5"/>
    <n v="0"/>
    <n v="2"/>
    <n v="1"/>
    <n v="3"/>
    <n v="0.01"/>
    <n v="6"/>
    <n v="1"/>
    <n v="0.29579259536175201"/>
    <n v="0.70420740463824805"/>
    <x v="0"/>
  </r>
  <r>
    <n v="13"/>
    <n v="34"/>
    <n v="4"/>
    <n v="0"/>
    <n v="0"/>
    <n v="11"/>
    <n v="2"/>
    <n v="5000"/>
    <n v="3"/>
    <n v="1"/>
    <n v="0.29617482370456749"/>
    <n v="0.70382517629543251"/>
    <x v="0"/>
  </r>
  <r>
    <n v="9"/>
    <n v="19"/>
    <n v="0"/>
    <n v="0"/>
    <n v="3"/>
    <n v="3"/>
    <n v="2"/>
    <n v="1000"/>
    <n v="1"/>
    <n v="0"/>
    <n v="0.29981985342603878"/>
    <n v="0.70018014657396122"/>
    <x v="0"/>
  </r>
  <r>
    <n v="14"/>
    <n v="34"/>
    <n v="1"/>
    <n v="1"/>
    <n v="3"/>
    <n v="3"/>
    <n v="2"/>
    <n v="100"/>
    <n v="1"/>
    <n v="0"/>
    <n v="0.30134425918832047"/>
    <n v="0.69865574081167947"/>
    <x v="0"/>
  </r>
  <r>
    <n v="15"/>
    <n v="43"/>
    <n v="5"/>
    <n v="0"/>
    <n v="3"/>
    <n v="3"/>
    <n v="0"/>
    <n v="12000"/>
    <n v="1"/>
    <n v="1"/>
    <n v="0.30142520935549638"/>
    <n v="0.69857479064450356"/>
    <x v="0"/>
  </r>
  <r>
    <n v="13"/>
    <n v="38"/>
    <n v="1"/>
    <n v="0"/>
    <n v="0"/>
    <n v="4"/>
    <n v="0"/>
    <n v="12000"/>
    <n v="2"/>
    <n v="1"/>
    <n v="0.30148515557934819"/>
    <n v="0.69851484442065181"/>
    <x v="0"/>
  </r>
  <r>
    <n v="19"/>
    <n v="51"/>
    <n v="1"/>
    <n v="2"/>
    <n v="3"/>
    <n v="3"/>
    <n v="0"/>
    <n v="6000"/>
    <n v="2"/>
    <n v="0"/>
    <n v="0.30156148198534288"/>
    <n v="0.69843851801465706"/>
    <x v="0"/>
  </r>
  <r>
    <n v="10"/>
    <n v="22"/>
    <n v="2"/>
    <n v="0"/>
    <n v="3"/>
    <n v="8"/>
    <n v="2"/>
    <n v="4257.16"/>
    <n v="1"/>
    <n v="1"/>
    <n v="0.30226251287508582"/>
    <n v="0.69773748712491424"/>
    <x v="0"/>
  </r>
  <r>
    <n v="13"/>
    <n v="35"/>
    <n v="3"/>
    <n v="0"/>
    <n v="0"/>
    <n v="2"/>
    <n v="3"/>
    <n v="0.01"/>
    <n v="8"/>
    <n v="1"/>
    <n v="0.30248933350385349"/>
    <n v="0.69751066649614646"/>
    <x v="0"/>
  </r>
  <r>
    <n v="15"/>
    <n v="38"/>
    <n v="3"/>
    <n v="1"/>
    <n v="0"/>
    <n v="4"/>
    <n v="3"/>
    <n v="0.01"/>
    <n v="4"/>
    <n v="0"/>
    <n v="0.30347827559918439"/>
    <n v="0.69652172440081561"/>
    <x v="0"/>
  </r>
  <r>
    <n v="15"/>
    <n v="38"/>
    <n v="5"/>
    <n v="1"/>
    <n v="0"/>
    <n v="4"/>
    <n v="2"/>
    <n v="50"/>
    <n v="10"/>
    <n v="1"/>
    <n v="0.30364796999658489"/>
    <n v="0.69635203000341506"/>
    <x v="0"/>
  </r>
  <r>
    <n v="17"/>
    <n v="51"/>
    <n v="2"/>
    <n v="0"/>
    <n v="3"/>
    <n v="3"/>
    <n v="2"/>
    <n v="500"/>
    <n v="9"/>
    <n v="0"/>
    <n v="0.30381432063650488"/>
    <n v="0.69618567936349507"/>
    <x v="0"/>
  </r>
  <r>
    <n v="16"/>
    <n v="49"/>
    <n v="1"/>
    <n v="0"/>
    <n v="3"/>
    <n v="3"/>
    <n v="0"/>
    <n v="10000"/>
    <n v="1"/>
    <n v="1"/>
    <n v="0.30466471846232862"/>
    <n v="0.69533528153767143"/>
    <x v="0"/>
  </r>
  <r>
    <n v="15"/>
    <n v="42"/>
    <n v="2"/>
    <n v="0"/>
    <n v="3"/>
    <n v="8"/>
    <n v="3"/>
    <n v="0.01"/>
    <n v="9"/>
    <n v="1"/>
    <n v="0.30766347733738508"/>
    <n v="0.69233652266261492"/>
    <x v="0"/>
  </r>
  <r>
    <n v="14"/>
    <n v="38"/>
    <n v="3"/>
    <n v="0"/>
    <n v="3"/>
    <n v="3"/>
    <n v="3"/>
    <n v="0.01"/>
    <n v="8"/>
    <n v="1"/>
    <n v="0.3083374140748073"/>
    <n v="0.6916625859251927"/>
    <x v="0"/>
  </r>
  <r>
    <n v="15"/>
    <n v="37"/>
    <n v="4"/>
    <n v="1"/>
    <n v="3"/>
    <n v="8"/>
    <n v="2"/>
    <n v="1500"/>
    <n v="4"/>
    <n v="1"/>
    <n v="0.30920120954407859"/>
    <n v="0.69079879045592141"/>
    <x v="0"/>
  </r>
  <r>
    <n v="13"/>
    <n v="34"/>
    <n v="3"/>
    <n v="0"/>
    <n v="3"/>
    <n v="3"/>
    <n v="3"/>
    <n v="0.01"/>
    <n v="6"/>
    <n v="1"/>
    <n v="0.3095312408815718"/>
    <n v="0.6904687591184282"/>
    <x v="0"/>
  </r>
  <r>
    <n v="18"/>
    <n v="51"/>
    <n v="1"/>
    <n v="1"/>
    <n v="3"/>
    <n v="3"/>
    <n v="2"/>
    <n v="50.01"/>
    <n v="8"/>
    <n v="1"/>
    <n v="0.3096549311173431"/>
    <n v="0.6903450688826569"/>
    <x v="0"/>
  </r>
  <r>
    <n v="13"/>
    <n v="36"/>
    <n v="3"/>
    <n v="0"/>
    <n v="3"/>
    <n v="8"/>
    <n v="0"/>
    <n v="6000"/>
    <n v="8"/>
    <n v="1"/>
    <n v="0.31028464748835372"/>
    <n v="0.68971535251164628"/>
    <x v="0"/>
  </r>
  <r>
    <n v="15"/>
    <n v="43"/>
    <n v="3"/>
    <n v="0"/>
    <n v="3"/>
    <n v="3"/>
    <n v="2"/>
    <n v="3000"/>
    <n v="5"/>
    <n v="1"/>
    <n v="0.31093716927785198"/>
    <n v="0.68906283072214802"/>
    <x v="0"/>
  </r>
  <r>
    <n v="15"/>
    <n v="47"/>
    <n v="1"/>
    <n v="0"/>
    <n v="0"/>
    <n v="4"/>
    <n v="0"/>
    <n v="6053.35"/>
    <n v="6"/>
    <n v="1"/>
    <n v="0.31396130772589242"/>
    <n v="0.68603869227410763"/>
    <x v="0"/>
  </r>
  <r>
    <n v="16"/>
    <n v="47"/>
    <n v="3"/>
    <n v="0"/>
    <n v="3"/>
    <n v="8"/>
    <n v="2"/>
    <n v="2790"/>
    <n v="8"/>
    <n v="1"/>
    <n v="0.31543458470736652"/>
    <n v="0.68456541529263348"/>
    <x v="0"/>
  </r>
  <r>
    <n v="11"/>
    <n v="21"/>
    <n v="0"/>
    <n v="2"/>
    <n v="1"/>
    <n v="7"/>
    <n v="0"/>
    <n v="6000"/>
    <n v="2"/>
    <n v="0"/>
    <n v="0.3193965939199428"/>
    <n v="0.6806034060800572"/>
    <x v="0"/>
  </r>
  <r>
    <n v="12"/>
    <n v="32"/>
    <n v="2"/>
    <n v="0"/>
    <n v="3"/>
    <n v="3"/>
    <n v="2"/>
    <n v="300.01"/>
    <n v="9"/>
    <n v="1"/>
    <n v="0.32003844043362251"/>
    <n v="0.67996155956637749"/>
    <x v="0"/>
  </r>
  <r>
    <n v="12"/>
    <n v="33"/>
    <n v="3"/>
    <n v="0"/>
    <n v="0"/>
    <n v="4"/>
    <n v="2"/>
    <n v="4200"/>
    <n v="9"/>
    <n v="1"/>
    <n v="0.32012714204917803"/>
    <n v="0.67987285795082197"/>
    <x v="0"/>
  </r>
  <r>
    <n v="11"/>
    <n v="28"/>
    <n v="2"/>
    <n v="0"/>
    <n v="3"/>
    <n v="3"/>
    <n v="2"/>
    <n v="600"/>
    <n v="10"/>
    <n v="1"/>
    <n v="0.3203112421066252"/>
    <n v="0.6796887578933748"/>
    <x v="0"/>
  </r>
  <r>
    <n v="16"/>
    <n v="50"/>
    <n v="3"/>
    <n v="0"/>
    <n v="1"/>
    <n v="7"/>
    <n v="0"/>
    <n v="6053.35"/>
    <n v="6"/>
    <n v="1"/>
    <n v="0.32139646543897371"/>
    <n v="0.67860353456102629"/>
    <x v="0"/>
  </r>
  <r>
    <n v="15"/>
    <n v="43"/>
    <n v="2"/>
    <n v="0"/>
    <n v="3"/>
    <n v="8"/>
    <n v="3"/>
    <n v="0.01"/>
    <n v="5"/>
    <n v="0"/>
    <n v="0.32174768334049142"/>
    <n v="0.67825231665950858"/>
    <x v="0"/>
  </r>
  <r>
    <n v="9"/>
    <n v="20"/>
    <n v="3"/>
    <n v="0"/>
    <n v="1"/>
    <n v="7"/>
    <n v="2"/>
    <n v="1000"/>
    <n v="2"/>
    <n v="0"/>
    <n v="0.32185685633294719"/>
    <n v="0.67814314366705275"/>
    <x v="0"/>
  </r>
  <r>
    <n v="15"/>
    <n v="40"/>
    <n v="2"/>
    <n v="1"/>
    <n v="0"/>
    <n v="4"/>
    <n v="3"/>
    <n v="0.01"/>
    <n v="10"/>
    <n v="0"/>
    <n v="0.32203081705095338"/>
    <n v="0.67796918294904662"/>
    <x v="0"/>
  </r>
  <r>
    <n v="13"/>
    <n v="36"/>
    <n v="2"/>
    <n v="0"/>
    <n v="1"/>
    <n v="7"/>
    <n v="3"/>
    <n v="0.01"/>
    <n v="4"/>
    <n v="0"/>
    <n v="0.32287548009172817"/>
    <n v="0.67712451990827183"/>
    <x v="0"/>
  </r>
  <r>
    <n v="15"/>
    <n v="44"/>
    <n v="1"/>
    <n v="0"/>
    <n v="3"/>
    <n v="3"/>
    <n v="3"/>
    <n v="0.01"/>
    <n v="5"/>
    <n v="1"/>
    <n v="0.32315113969021608"/>
    <n v="0.67684886030978386"/>
    <x v="0"/>
  </r>
  <r>
    <n v="13"/>
    <n v="35"/>
    <n v="5"/>
    <n v="0"/>
    <n v="3"/>
    <n v="3"/>
    <n v="2"/>
    <n v="1620"/>
    <n v="6"/>
    <n v="0"/>
    <n v="0.32384557218638588"/>
    <n v="0.67615442781361412"/>
    <x v="0"/>
  </r>
  <r>
    <n v="17"/>
    <n v="49"/>
    <n v="2"/>
    <n v="1"/>
    <n v="0"/>
    <n v="4"/>
    <n v="2"/>
    <n v="3045"/>
    <n v="6"/>
    <n v="0"/>
    <n v="0.32429526049191248"/>
    <n v="0.67570473950808752"/>
    <x v="0"/>
  </r>
  <r>
    <n v="16"/>
    <n v="43"/>
    <n v="3"/>
    <n v="1"/>
    <n v="1"/>
    <n v="7"/>
    <n v="3"/>
    <n v="0.01"/>
    <n v="7"/>
    <n v="0"/>
    <n v="0.32462460830063422"/>
    <n v="0.67537539169936578"/>
    <x v="0"/>
  </r>
  <r>
    <n v="13"/>
    <n v="32"/>
    <n v="2"/>
    <n v="1"/>
    <n v="2"/>
    <n v="1"/>
    <n v="2"/>
    <n v="1000"/>
    <n v="1"/>
    <n v="1"/>
    <n v="0.32473689276963302"/>
    <n v="0.67526310723036698"/>
    <x v="0"/>
  </r>
  <r>
    <n v="11"/>
    <n v="28"/>
    <n v="4"/>
    <n v="0"/>
    <n v="0"/>
    <n v="4"/>
    <n v="3"/>
    <n v="0.01"/>
    <n v="8"/>
    <n v="0"/>
    <n v="0.32476184226142379"/>
    <n v="0.67523815773857621"/>
    <x v="0"/>
  </r>
  <r>
    <n v="14"/>
    <n v="40"/>
    <n v="3"/>
    <n v="0"/>
    <n v="3"/>
    <n v="3"/>
    <n v="2"/>
    <n v="2000"/>
    <n v="4"/>
    <n v="1"/>
    <n v="0.32527154759712901"/>
    <n v="0.67472845240287105"/>
    <x v="0"/>
  </r>
  <r>
    <n v="14"/>
    <n v="38"/>
    <n v="5"/>
    <n v="0"/>
    <n v="3"/>
    <n v="8"/>
    <n v="3"/>
    <n v="0.01"/>
    <n v="8"/>
    <n v="1"/>
    <n v="0.32566641084825498"/>
    <n v="0.67433358915174502"/>
    <x v="0"/>
  </r>
  <r>
    <n v="13"/>
    <n v="36"/>
    <n v="3"/>
    <n v="0"/>
    <n v="0"/>
    <n v="11"/>
    <n v="3"/>
    <n v="0.01"/>
    <n v="8"/>
    <n v="1"/>
    <n v="0.32609660299178"/>
    <n v="0.67390339700822"/>
    <x v="0"/>
  </r>
  <r>
    <n v="16"/>
    <n v="51"/>
    <n v="4"/>
    <n v="0"/>
    <n v="0"/>
    <n v="2"/>
    <n v="0"/>
    <n v="8600"/>
    <n v="5"/>
    <n v="0"/>
    <n v="0.32748641962523273"/>
    <n v="0.67251358037476727"/>
    <x v="0"/>
  </r>
  <r>
    <n v="13"/>
    <n v="35"/>
    <n v="2"/>
    <n v="1"/>
    <n v="0"/>
    <n v="2"/>
    <n v="0"/>
    <n v="8907.15"/>
    <n v="3"/>
    <n v="1"/>
    <n v="0.330425890822728"/>
    <n v="0.669574109177272"/>
    <x v="0"/>
  </r>
  <r>
    <n v="12"/>
    <n v="32"/>
    <n v="5"/>
    <n v="0"/>
    <n v="0"/>
    <n v="4"/>
    <n v="3"/>
    <n v="0.01"/>
    <n v="4"/>
    <n v="1"/>
    <n v="0.33102509483028181"/>
    <n v="0.66897490516971825"/>
    <x v="0"/>
  </r>
  <r>
    <n v="14"/>
    <n v="40"/>
    <n v="4"/>
    <n v="0"/>
    <n v="3"/>
    <n v="3"/>
    <n v="2"/>
    <n v="1200"/>
    <n v="5"/>
    <n v="1"/>
    <n v="0.33107133753207879"/>
    <n v="0.66892866246792115"/>
    <x v="0"/>
  </r>
  <r>
    <n v="17"/>
    <n v="51"/>
    <n v="4"/>
    <n v="0"/>
    <n v="3"/>
    <n v="8"/>
    <n v="3"/>
    <n v="0.01"/>
    <n v="7"/>
    <n v="1"/>
    <n v="0.33142204520184648"/>
    <n v="0.66857795479815352"/>
    <x v="0"/>
  </r>
  <r>
    <n v="14"/>
    <n v="34"/>
    <n v="5"/>
    <n v="1"/>
    <n v="3"/>
    <n v="3"/>
    <n v="3"/>
    <n v="0.01"/>
    <n v="5"/>
    <n v="1"/>
    <n v="0.33255257099091412"/>
    <n v="0.66744742900908594"/>
    <x v="0"/>
  </r>
  <r>
    <n v="15"/>
    <n v="39"/>
    <n v="2"/>
    <n v="1"/>
    <n v="3"/>
    <n v="8"/>
    <n v="3"/>
    <n v="0.01"/>
    <n v="9"/>
    <n v="0"/>
    <n v="0.33267498850853949"/>
    <n v="0.66732501149146051"/>
    <x v="0"/>
  </r>
  <r>
    <n v="13"/>
    <n v="37"/>
    <n v="5"/>
    <n v="0"/>
    <n v="0"/>
    <n v="4"/>
    <n v="2"/>
    <n v="5000"/>
    <n v="1"/>
    <n v="0"/>
    <n v="0.33300770206436409"/>
    <n v="0.66699229793563586"/>
    <x v="0"/>
  </r>
  <r>
    <n v="13"/>
    <n v="35"/>
    <n v="4"/>
    <n v="0"/>
    <n v="3"/>
    <n v="8"/>
    <n v="3"/>
    <n v="0.01"/>
    <n v="4"/>
    <n v="1"/>
    <n v="0.3349639710938298"/>
    <n v="0.6650360289061702"/>
    <x v="0"/>
  </r>
  <r>
    <n v="15"/>
    <n v="41"/>
    <n v="2"/>
    <n v="1"/>
    <n v="1"/>
    <n v="7"/>
    <n v="2"/>
    <n v="1000"/>
    <n v="10"/>
    <n v="1"/>
    <n v="0.3351439270838692"/>
    <n v="0.6648560729161308"/>
    <x v="0"/>
  </r>
  <r>
    <n v="13"/>
    <n v="36"/>
    <n v="3"/>
    <n v="0"/>
    <n v="3"/>
    <n v="3"/>
    <n v="3"/>
    <n v="0.01"/>
    <n v="5"/>
    <n v="0"/>
    <n v="0.33610967536194158"/>
    <n v="0.66389032463805842"/>
    <x v="0"/>
  </r>
  <r>
    <n v="13"/>
    <n v="36"/>
    <n v="3"/>
    <n v="0"/>
    <n v="3"/>
    <n v="3"/>
    <n v="3"/>
    <n v="0.01"/>
    <n v="5"/>
    <n v="1"/>
    <n v="0.33610967536194158"/>
    <n v="0.66389032463805842"/>
    <x v="0"/>
  </r>
  <r>
    <n v="14"/>
    <n v="44"/>
    <n v="2"/>
    <n v="0"/>
    <n v="1"/>
    <n v="5"/>
    <n v="0"/>
    <n v="9000"/>
    <n v="8"/>
    <n v="1"/>
    <n v="0.33948945699449762"/>
    <n v="0.66051054300550238"/>
    <x v="0"/>
  </r>
  <r>
    <n v="15"/>
    <n v="38"/>
    <n v="4"/>
    <n v="1"/>
    <n v="4"/>
    <n v="9"/>
    <n v="3"/>
    <n v="0.01"/>
    <n v="4"/>
    <n v="1"/>
    <n v="0.3399896376686502"/>
    <n v="0.6600103623313498"/>
    <x v="0"/>
  </r>
  <r>
    <n v="12"/>
    <n v="33"/>
    <n v="3"/>
    <n v="0"/>
    <n v="2"/>
    <n v="1"/>
    <n v="3"/>
    <n v="0.01"/>
    <n v="4"/>
    <n v="1"/>
    <n v="0.34172810504414669"/>
    <n v="0.65827189495585325"/>
    <x v="0"/>
  </r>
  <r>
    <n v="13"/>
    <n v="33"/>
    <n v="0"/>
    <n v="1"/>
    <n v="3"/>
    <n v="3"/>
    <n v="3"/>
    <n v="0.01"/>
    <n v="7"/>
    <n v="0"/>
    <n v="0.34362019933963828"/>
    <n v="0.65637980066036172"/>
    <x v="0"/>
  </r>
  <r>
    <n v="11"/>
    <n v="29"/>
    <n v="5"/>
    <n v="0"/>
    <n v="2"/>
    <n v="1"/>
    <n v="2"/>
    <n v="1000"/>
    <n v="1"/>
    <n v="1"/>
    <n v="0.34485255166059969"/>
    <n v="0.65514744833940031"/>
    <x v="0"/>
  </r>
  <r>
    <n v="13"/>
    <n v="38"/>
    <n v="2"/>
    <n v="0"/>
    <n v="3"/>
    <n v="3"/>
    <n v="2"/>
    <n v="3000"/>
    <n v="8"/>
    <n v="1"/>
    <n v="0.34539688615002873"/>
    <n v="0.65460311384997127"/>
    <x v="0"/>
  </r>
  <r>
    <n v="13"/>
    <n v="38"/>
    <n v="2"/>
    <n v="0"/>
    <n v="3"/>
    <n v="3"/>
    <n v="2"/>
    <n v="300"/>
    <n v="11"/>
    <n v="1"/>
    <n v="0.34550885244604113"/>
    <n v="0.65449114755395887"/>
    <x v="0"/>
  </r>
  <r>
    <n v="13"/>
    <n v="39"/>
    <n v="5"/>
    <n v="0"/>
    <n v="2"/>
    <n v="1"/>
    <n v="0"/>
    <n v="12000"/>
    <n v="2"/>
    <n v="1"/>
    <n v="0.34649741794066408"/>
    <n v="0.65350258205933587"/>
    <x v="0"/>
  </r>
  <r>
    <n v="16"/>
    <n v="49"/>
    <n v="5"/>
    <n v="0"/>
    <n v="1"/>
    <n v="12"/>
    <n v="2"/>
    <n v="2000"/>
    <n v="6"/>
    <n v="1"/>
    <n v="0.34684661690665558"/>
    <n v="0.65315338309334436"/>
    <x v="0"/>
  </r>
  <r>
    <n v="12"/>
    <n v="34"/>
    <n v="2"/>
    <n v="0"/>
    <n v="2"/>
    <n v="0"/>
    <n v="3"/>
    <n v="0.01"/>
    <n v="5"/>
    <n v="1"/>
    <n v="0.34784936610645012"/>
    <n v="0.65215063389354988"/>
    <x v="0"/>
  </r>
  <r>
    <n v="15"/>
    <n v="46"/>
    <n v="1"/>
    <n v="0"/>
    <n v="3"/>
    <n v="3"/>
    <n v="3"/>
    <n v="0.01"/>
    <n v="8"/>
    <n v="1"/>
    <n v="0.34913675871589989"/>
    <n v="0.65086324128410011"/>
    <x v="0"/>
  </r>
  <r>
    <n v="17"/>
    <n v="57"/>
    <n v="0"/>
    <n v="0"/>
    <n v="3"/>
    <n v="3"/>
    <n v="1"/>
    <n v="30937.599999999999"/>
    <n v="5"/>
    <n v="1"/>
    <n v="0.35236116597958572"/>
    <n v="0.64763883402041433"/>
    <x v="0"/>
  </r>
  <r>
    <n v="15"/>
    <n v="36"/>
    <n v="5"/>
    <n v="2"/>
    <n v="0"/>
    <n v="4"/>
    <n v="3"/>
    <n v="0.01"/>
    <n v="4"/>
    <n v="1"/>
    <n v="0.35364482961662991"/>
    <n v="0.64635517038337009"/>
    <x v="0"/>
  </r>
  <r>
    <n v="14"/>
    <n v="43"/>
    <n v="5"/>
    <n v="0"/>
    <n v="3"/>
    <n v="3"/>
    <n v="0"/>
    <n v="6000"/>
    <n v="1"/>
    <n v="1"/>
    <n v="0.35729209103399528"/>
    <n v="0.64270790896600472"/>
    <x v="0"/>
  </r>
  <r>
    <n v="15"/>
    <n v="47"/>
    <n v="0"/>
    <n v="0"/>
    <n v="3"/>
    <n v="3"/>
    <n v="3"/>
    <n v="0.01"/>
    <n v="6"/>
    <n v="0"/>
    <n v="0.35746252937311218"/>
    <n v="0.64253747062688782"/>
    <x v="0"/>
  </r>
  <r>
    <n v="11"/>
    <n v="30"/>
    <n v="2"/>
    <n v="0"/>
    <n v="3"/>
    <n v="3"/>
    <n v="3"/>
    <n v="0.01"/>
    <n v="5"/>
    <n v="0"/>
    <n v="0.3587965620985677"/>
    <n v="0.6412034379014323"/>
    <x v="0"/>
  </r>
  <r>
    <n v="12"/>
    <n v="35"/>
    <n v="3"/>
    <n v="0"/>
    <n v="0"/>
    <n v="4"/>
    <n v="3"/>
    <n v="0.01"/>
    <n v="7"/>
    <n v="1"/>
    <n v="0.35904956565987228"/>
    <n v="0.64095043434012766"/>
    <x v="0"/>
  </r>
  <r>
    <n v="13"/>
    <n v="41"/>
    <n v="1"/>
    <n v="0"/>
    <n v="3"/>
    <n v="3"/>
    <n v="0"/>
    <n v="12000"/>
    <n v="1"/>
    <n v="1"/>
    <n v="0.35924440907794908"/>
    <n v="0.64075559092205092"/>
    <x v="0"/>
  </r>
  <r>
    <n v="11"/>
    <n v="33"/>
    <n v="3"/>
    <n v="0"/>
    <n v="1"/>
    <n v="12"/>
    <n v="1"/>
    <n v="66000"/>
    <n v="4"/>
    <n v="1"/>
    <n v="0.36024707187243671"/>
    <n v="0.63975292812756335"/>
    <x v="0"/>
  </r>
  <r>
    <n v="10"/>
    <n v="27"/>
    <n v="1"/>
    <n v="0"/>
    <n v="3"/>
    <n v="8"/>
    <n v="2"/>
    <n v="1600"/>
    <n v="6"/>
    <n v="0"/>
    <n v="0.36259343829401841"/>
    <n v="0.63740656170598164"/>
    <x v="0"/>
  </r>
  <r>
    <n v="9"/>
    <n v="24"/>
    <n v="3"/>
    <n v="0"/>
    <n v="0"/>
    <n v="4"/>
    <n v="2"/>
    <n v="4500"/>
    <n v="7"/>
    <n v="1"/>
    <n v="0.36319703515645813"/>
    <n v="0.63680296484354193"/>
    <x v="0"/>
  </r>
  <r>
    <n v="10"/>
    <n v="24"/>
    <n v="3"/>
    <n v="1"/>
    <n v="0"/>
    <n v="11"/>
    <n v="0"/>
    <n v="6000"/>
    <n v="2"/>
    <n v="1"/>
    <n v="0.36462547502529152"/>
    <n v="0.63537452497470848"/>
    <x v="0"/>
  </r>
  <r>
    <n v="17"/>
    <n v="52"/>
    <n v="2"/>
    <n v="1"/>
    <n v="0"/>
    <n v="2"/>
    <n v="2"/>
    <n v="1000"/>
    <n v="1"/>
    <n v="0"/>
    <n v="0.36474231057774847"/>
    <n v="0.63525768942225147"/>
    <x v="0"/>
  </r>
  <r>
    <n v="12"/>
    <n v="35"/>
    <n v="3"/>
    <n v="0"/>
    <n v="3"/>
    <n v="3"/>
    <n v="2"/>
    <n v="500"/>
    <n v="11"/>
    <n v="1"/>
    <n v="0.36594231293381713"/>
    <n v="0.63405768706618293"/>
    <x v="0"/>
  </r>
  <r>
    <n v="13"/>
    <n v="38"/>
    <n v="5"/>
    <n v="0"/>
    <n v="2"/>
    <n v="1"/>
    <n v="3"/>
    <n v="0.01"/>
    <n v="5"/>
    <n v="0"/>
    <n v="0.36653031543601761"/>
    <n v="0.63346968456398245"/>
    <x v="0"/>
  </r>
  <r>
    <n v="13"/>
    <n v="40"/>
    <n v="1"/>
    <n v="0"/>
    <n v="3"/>
    <n v="3"/>
    <n v="2"/>
    <n v="480.01"/>
    <n v="8"/>
    <n v="1"/>
    <n v="0.36790151690559508"/>
    <n v="0.63209848309440486"/>
    <x v="0"/>
  </r>
  <r>
    <n v="11"/>
    <n v="32"/>
    <n v="4"/>
    <n v="0"/>
    <n v="0"/>
    <n v="4"/>
    <n v="2"/>
    <n v="50"/>
    <n v="9"/>
    <n v="1"/>
    <n v="0.36896584631937718"/>
    <n v="0.63103415368062277"/>
    <x v="0"/>
  </r>
  <r>
    <n v="13"/>
    <n v="35"/>
    <n v="3"/>
    <n v="1"/>
    <n v="0"/>
    <n v="2"/>
    <n v="3"/>
    <n v="0.01"/>
    <n v="5"/>
    <n v="1"/>
    <n v="0.36908563616739509"/>
    <n v="0.63091436383260491"/>
    <x v="0"/>
  </r>
  <r>
    <n v="18"/>
    <n v="56"/>
    <n v="1"/>
    <n v="1"/>
    <n v="0"/>
    <n v="4"/>
    <n v="3"/>
    <n v="0.01"/>
    <n v="4"/>
    <n v="1"/>
    <n v="0.37018633631537717"/>
    <n v="0.62981366368462277"/>
    <x v="0"/>
  </r>
  <r>
    <n v="14"/>
    <n v="43"/>
    <n v="1"/>
    <n v="0"/>
    <n v="3"/>
    <n v="8"/>
    <n v="3"/>
    <n v="0.01"/>
    <n v="7"/>
    <n v="0"/>
    <n v="0.37030509591093408"/>
    <n v="0.62969490408906592"/>
    <x v="0"/>
  </r>
  <r>
    <n v="13"/>
    <n v="39"/>
    <n v="5"/>
    <n v="0"/>
    <n v="2"/>
    <n v="1"/>
    <n v="2"/>
    <n v="1500"/>
    <n v="2"/>
    <n v="1"/>
    <n v="0.37062643494945091"/>
    <n v="0.62937356505054909"/>
    <x v="0"/>
  </r>
  <r>
    <n v="17"/>
    <n v="54"/>
    <n v="5"/>
    <n v="0"/>
    <n v="3"/>
    <n v="3"/>
    <n v="3"/>
    <n v="0.01"/>
    <n v="8"/>
    <n v="1"/>
    <n v="0.37199459827271031"/>
    <n v="0.62800540172728969"/>
    <x v="0"/>
  </r>
  <r>
    <n v="11"/>
    <n v="35"/>
    <n v="2"/>
    <n v="0"/>
    <n v="0"/>
    <n v="2"/>
    <n v="0"/>
    <n v="6200"/>
    <n v="5"/>
    <n v="1"/>
    <n v="0.37460517079592898"/>
    <n v="0.62539482920407097"/>
    <x v="0"/>
  </r>
  <r>
    <n v="12"/>
    <n v="34"/>
    <n v="5"/>
    <n v="0"/>
    <n v="1"/>
    <n v="12"/>
    <n v="3"/>
    <n v="0.01"/>
    <n v="5"/>
    <n v="1"/>
    <n v="0.37468967735127262"/>
    <n v="0.62531032264872743"/>
    <x v="0"/>
  </r>
  <r>
    <n v="10"/>
    <n v="31"/>
    <n v="0"/>
    <n v="0"/>
    <n v="2"/>
    <n v="1"/>
    <n v="0"/>
    <n v="10000"/>
    <n v="1"/>
    <n v="1"/>
    <n v="0.37479126851299061"/>
    <n v="0.62520873148700939"/>
    <x v="0"/>
  </r>
  <r>
    <n v="13"/>
    <n v="39"/>
    <n v="3"/>
    <n v="0"/>
    <n v="3"/>
    <n v="3"/>
    <n v="3"/>
    <n v="0.01"/>
    <n v="8"/>
    <n v="1"/>
    <n v="0.37659787056555277"/>
    <n v="0.62340212943444717"/>
    <x v="0"/>
  </r>
  <r>
    <n v="14"/>
    <n v="45"/>
    <n v="4"/>
    <n v="0"/>
    <n v="0"/>
    <n v="2"/>
    <n v="2"/>
    <n v="5000"/>
    <n v="4"/>
    <n v="1"/>
    <n v="0.37799273959863589"/>
    <n v="0.62200726040136411"/>
    <x v="0"/>
  </r>
  <r>
    <n v="13"/>
    <n v="40"/>
    <n v="4"/>
    <n v="0"/>
    <n v="0"/>
    <n v="4"/>
    <n v="3"/>
    <n v="0.01"/>
    <n v="7"/>
    <n v="0"/>
    <n v="0.37847235686566227"/>
    <n v="0.62152764313433773"/>
    <x v="0"/>
  </r>
  <r>
    <n v="14"/>
    <n v="43"/>
    <n v="1"/>
    <n v="0"/>
    <n v="4"/>
    <n v="9"/>
    <n v="3"/>
    <n v="0.01"/>
    <n v="4"/>
    <n v="1"/>
    <n v="0.37915441788057791"/>
    <n v="0.62084558211942209"/>
    <x v="0"/>
  </r>
  <r>
    <n v="12"/>
    <n v="37"/>
    <n v="3"/>
    <n v="0"/>
    <n v="3"/>
    <n v="8"/>
    <n v="0"/>
    <n v="6053.35"/>
    <n v="6"/>
    <n v="1"/>
    <n v="0.37932482392015299"/>
    <n v="0.62067517607984701"/>
    <x v="0"/>
  </r>
  <r>
    <n v="12"/>
    <n v="35"/>
    <n v="5"/>
    <n v="0"/>
    <n v="1"/>
    <n v="7"/>
    <n v="3"/>
    <n v="0.01"/>
    <n v="5"/>
    <n v="1"/>
    <n v="0.38238825361084527"/>
    <n v="0.61761174638915473"/>
    <x v="0"/>
  </r>
  <r>
    <n v="14"/>
    <n v="45"/>
    <n v="1"/>
    <n v="0"/>
    <n v="0"/>
    <n v="11"/>
    <n v="3"/>
    <n v="0.01"/>
    <n v="5"/>
    <n v="0"/>
    <n v="0.38300884470791069"/>
    <n v="0.61699115529208926"/>
    <x v="0"/>
  </r>
  <r>
    <n v="13"/>
    <n v="36"/>
    <n v="0"/>
    <n v="1"/>
    <n v="3"/>
    <n v="3"/>
    <n v="3"/>
    <n v="0.01"/>
    <n v="5"/>
    <n v="1"/>
    <n v="0.38601087130333822"/>
    <n v="0.61398912869666178"/>
    <x v="0"/>
  </r>
  <r>
    <n v="18"/>
    <n v="52"/>
    <n v="1"/>
    <n v="2"/>
    <n v="1"/>
    <n v="12"/>
    <n v="2"/>
    <n v="2500"/>
    <n v="3"/>
    <n v="0"/>
    <n v="0.38911095587489469"/>
    <n v="0.61088904412510525"/>
    <x v="0"/>
  </r>
  <r>
    <n v="13"/>
    <n v="42"/>
    <n v="2"/>
    <n v="0"/>
    <n v="0"/>
    <n v="10"/>
    <n v="2"/>
    <n v="3200"/>
    <n v="8"/>
    <n v="0"/>
    <n v="0.3903572567937057"/>
    <n v="0.6096427432062943"/>
    <x v="0"/>
  </r>
  <r>
    <n v="11"/>
    <n v="33"/>
    <n v="2"/>
    <n v="0"/>
    <n v="0"/>
    <n v="11"/>
    <n v="3"/>
    <n v="0.01"/>
    <n v="8"/>
    <n v="0"/>
    <n v="0.39048259674674601"/>
    <n v="0.60951740325325399"/>
    <x v="0"/>
  </r>
  <r>
    <n v="10"/>
    <n v="28"/>
    <n v="2"/>
    <n v="0"/>
    <n v="4"/>
    <n v="9"/>
    <n v="2"/>
    <n v="1590"/>
    <n v="6"/>
    <n v="1"/>
    <n v="0.39085512740022887"/>
    <n v="0.60914487259977113"/>
    <x v="0"/>
  </r>
  <r>
    <n v="14"/>
    <n v="47"/>
    <n v="1"/>
    <n v="0"/>
    <n v="0"/>
    <n v="4"/>
    <n v="2"/>
    <n v="2500"/>
    <n v="5"/>
    <n v="0"/>
    <n v="0.39104659389750041"/>
    <n v="0.60895340610249959"/>
    <x v="0"/>
  </r>
  <r>
    <n v="18"/>
    <n v="62"/>
    <n v="4"/>
    <n v="0"/>
    <n v="0"/>
    <n v="4"/>
    <n v="2"/>
    <n v="5000"/>
    <n v="4"/>
    <n v="1"/>
    <n v="0.3919765997338609"/>
    <n v="0.6080234002661391"/>
    <x v="0"/>
  </r>
  <r>
    <n v="14"/>
    <n v="45"/>
    <n v="2"/>
    <n v="0"/>
    <n v="3"/>
    <n v="8"/>
    <n v="2"/>
    <n v="50.01"/>
    <n v="8"/>
    <n v="0"/>
    <n v="0.39421337668487738"/>
    <n v="0.60578662331512256"/>
    <x v="0"/>
  </r>
  <r>
    <n v="16"/>
    <n v="52"/>
    <n v="4"/>
    <n v="0"/>
    <n v="3"/>
    <n v="3"/>
    <n v="3"/>
    <n v="0.01"/>
    <n v="5"/>
    <n v="1"/>
    <n v="0.39585941648688261"/>
    <n v="0.60414058351311739"/>
    <x v="0"/>
  </r>
  <r>
    <n v="12"/>
    <n v="31"/>
    <n v="4"/>
    <n v="1"/>
    <n v="3"/>
    <n v="3"/>
    <n v="3"/>
    <n v="0.01"/>
    <n v="9"/>
    <n v="0"/>
    <n v="0.3962310938609046"/>
    <n v="0.6037689061390954"/>
    <x v="0"/>
  </r>
  <r>
    <n v="13"/>
    <n v="42"/>
    <n v="4"/>
    <n v="0"/>
    <n v="0"/>
    <n v="4"/>
    <n v="2"/>
    <n v="0.02"/>
    <n v="8"/>
    <n v="1"/>
    <n v="0.39628069140197669"/>
    <n v="0.60371930859802325"/>
    <x v="0"/>
  </r>
  <r>
    <n v="15"/>
    <n v="49"/>
    <n v="2"/>
    <n v="0"/>
    <n v="3"/>
    <n v="3"/>
    <n v="3"/>
    <n v="0.01"/>
    <n v="11"/>
    <n v="1"/>
    <n v="0.39654839665534158"/>
    <n v="0.60345160334465842"/>
    <x v="0"/>
  </r>
  <r>
    <n v="11"/>
    <n v="34"/>
    <n v="2"/>
    <n v="0"/>
    <n v="0"/>
    <n v="4"/>
    <n v="3"/>
    <n v="0.01"/>
    <n v="5"/>
    <n v="1"/>
    <n v="0.39659296811340988"/>
    <n v="0.60340703188659006"/>
    <x v="0"/>
  </r>
  <r>
    <n v="14"/>
    <n v="44"/>
    <n v="4"/>
    <n v="0"/>
    <n v="3"/>
    <n v="3"/>
    <n v="3"/>
    <n v="0.01"/>
    <n v="7"/>
    <n v="1"/>
    <n v="0.39669038600626982"/>
    <n v="0.60330961399373018"/>
    <x v="0"/>
  </r>
  <r>
    <n v="10"/>
    <n v="30"/>
    <n v="4"/>
    <n v="0"/>
    <n v="0"/>
    <n v="4"/>
    <n v="2"/>
    <n v="3360"/>
    <n v="3"/>
    <n v="1"/>
    <n v="0.39869398424524788"/>
    <n v="0.60130601575475207"/>
    <x v="0"/>
  </r>
  <r>
    <n v="13"/>
    <n v="41"/>
    <n v="5"/>
    <n v="0"/>
    <n v="0"/>
    <n v="4"/>
    <n v="3"/>
    <n v="0.01"/>
    <n v="8"/>
    <n v="1"/>
    <n v="0.39870920196903248"/>
    <n v="0.60129079803096752"/>
    <x v="0"/>
  </r>
  <r>
    <n v="10"/>
    <n v="28"/>
    <n v="4"/>
    <n v="0"/>
    <n v="3"/>
    <n v="3"/>
    <n v="3"/>
    <n v="0.01"/>
    <n v="7"/>
    <n v="0"/>
    <n v="0.39958670359119108"/>
    <n v="0.60041329640880892"/>
    <x v="0"/>
  </r>
  <r>
    <n v="12"/>
    <n v="36"/>
    <n v="3"/>
    <n v="0"/>
    <n v="3"/>
    <n v="8"/>
    <n v="3"/>
    <n v="0.01"/>
    <n v="2"/>
    <n v="1"/>
    <n v="0.39995302234970059"/>
    <n v="0.60004697765029935"/>
    <x v="0"/>
  </r>
  <r>
    <n v="12"/>
    <n v="37"/>
    <n v="5"/>
    <n v="0"/>
    <n v="0"/>
    <n v="4"/>
    <n v="3"/>
    <n v="0.01"/>
    <n v="4"/>
    <n v="1"/>
    <n v="0.40066756465943898"/>
    <n v="0.59933243534056102"/>
    <x v="0"/>
  </r>
  <r>
    <n v="10"/>
    <n v="29"/>
    <n v="5"/>
    <n v="0"/>
    <n v="0"/>
    <n v="11"/>
    <n v="2"/>
    <n v="1500"/>
    <n v="2"/>
    <n v="1"/>
    <n v="0.40081442976351178"/>
    <n v="0.59918557023648822"/>
    <x v="0"/>
  </r>
  <r>
    <n v="11"/>
    <n v="34"/>
    <n v="3"/>
    <n v="0"/>
    <n v="0"/>
    <n v="11"/>
    <n v="2"/>
    <n v="1000"/>
    <n v="5"/>
    <n v="1"/>
    <n v="0.40117409229770967"/>
    <n v="0.59882590770229027"/>
    <x v="0"/>
  </r>
  <r>
    <n v="15"/>
    <n v="47"/>
    <n v="1"/>
    <n v="1"/>
    <n v="0"/>
    <n v="2"/>
    <n v="2"/>
    <n v="4000"/>
    <n v="1"/>
    <n v="0"/>
    <n v="0.40145373158186543"/>
    <n v="0.59854626841813463"/>
    <x v="0"/>
  </r>
  <r>
    <n v="10"/>
    <n v="29"/>
    <n v="5"/>
    <n v="0"/>
    <n v="2"/>
    <n v="1"/>
    <n v="2"/>
    <n v="100"/>
    <n v="1"/>
    <n v="1"/>
    <n v="0.40213499929387209"/>
    <n v="0.59786500070612791"/>
    <x v="0"/>
  </r>
  <r>
    <n v="13"/>
    <n v="43"/>
    <n v="3"/>
    <n v="0"/>
    <n v="0"/>
    <n v="4"/>
    <n v="2"/>
    <n v="2371.77"/>
    <n v="9"/>
    <n v="0"/>
    <n v="0.40318251700484681"/>
    <n v="0.59681748299515325"/>
    <x v="0"/>
  </r>
  <r>
    <n v="13"/>
    <n v="40"/>
    <n v="5"/>
    <n v="0"/>
    <n v="3"/>
    <n v="3"/>
    <n v="3"/>
    <n v="0.01"/>
    <n v="8"/>
    <n v="0"/>
    <n v="0.40341996779270978"/>
    <n v="0.59658003220729017"/>
    <x v="0"/>
  </r>
  <r>
    <n v="14"/>
    <n v="45"/>
    <n v="3"/>
    <n v="0"/>
    <n v="1"/>
    <n v="12"/>
    <n v="3"/>
    <n v="0.01"/>
    <n v="5"/>
    <n v="0"/>
    <n v="0.4036504986004934"/>
    <n v="0.5963495013995066"/>
    <x v="0"/>
  </r>
  <r>
    <n v="13"/>
    <n v="44"/>
    <n v="1"/>
    <n v="0"/>
    <n v="3"/>
    <n v="3"/>
    <n v="0"/>
    <n v="6988.4"/>
    <n v="1"/>
    <n v="1"/>
    <n v="0.40370540251807951"/>
    <n v="0.59629459748192049"/>
    <x v="0"/>
  </r>
  <r>
    <n v="13"/>
    <n v="36"/>
    <n v="2"/>
    <n v="1"/>
    <n v="3"/>
    <n v="8"/>
    <n v="3"/>
    <n v="0.01"/>
    <n v="8"/>
    <n v="1"/>
    <n v="0.40421940457044919"/>
    <n v="0.59578059542955075"/>
    <x v="0"/>
  </r>
  <r>
    <n v="14"/>
    <n v="46"/>
    <n v="1"/>
    <n v="0"/>
    <n v="2"/>
    <n v="6"/>
    <n v="3"/>
    <n v="0.01"/>
    <n v="5"/>
    <n v="1"/>
    <n v="0.40438649951756328"/>
    <n v="0.59561350048243666"/>
    <x v="0"/>
  </r>
  <r>
    <n v="11"/>
    <n v="36"/>
    <n v="1"/>
    <n v="0"/>
    <n v="0"/>
    <n v="2"/>
    <n v="2"/>
    <n v="4000"/>
    <n v="3"/>
    <n v="1"/>
    <n v="0.40504156101424532"/>
    <n v="0.59495843898575473"/>
    <x v="0"/>
  </r>
  <r>
    <n v="19"/>
    <n v="68"/>
    <n v="3"/>
    <n v="0"/>
    <n v="3"/>
    <n v="3"/>
    <n v="0"/>
    <n v="13123.65"/>
    <n v="12"/>
    <n v="1"/>
    <n v="0.40622435145033819"/>
    <n v="0.59377564854966181"/>
    <x v="0"/>
  </r>
  <r>
    <n v="11"/>
    <n v="37"/>
    <n v="1"/>
    <n v="0"/>
    <n v="1"/>
    <n v="5"/>
    <n v="0"/>
    <n v="9106.7000000000007"/>
    <n v="6"/>
    <n v="1"/>
    <n v="0.40623754742953788"/>
    <n v="0.59376245257046212"/>
    <x v="0"/>
  </r>
  <r>
    <n v="11"/>
    <n v="33"/>
    <n v="5"/>
    <n v="0"/>
    <n v="1"/>
    <n v="12"/>
    <n v="2"/>
    <n v="360"/>
    <n v="9"/>
    <n v="1"/>
    <n v="0.40652757617795582"/>
    <n v="0.59347242382204424"/>
    <x v="0"/>
  </r>
  <r>
    <n v="9"/>
    <n v="26"/>
    <n v="5"/>
    <n v="0"/>
    <n v="0"/>
    <n v="4"/>
    <n v="2"/>
    <n v="40"/>
    <n v="3"/>
    <n v="1"/>
    <n v="0.40703497986944492"/>
    <n v="0.59296502013055508"/>
    <x v="0"/>
  </r>
  <r>
    <n v="11"/>
    <n v="36"/>
    <n v="3"/>
    <n v="0"/>
    <n v="1"/>
    <n v="7"/>
    <n v="0"/>
    <n v="6000"/>
    <n v="8"/>
    <n v="1"/>
    <n v="0.40764836809278088"/>
    <n v="0.59235163190721907"/>
    <x v="0"/>
  </r>
  <r>
    <n v="13"/>
    <n v="43"/>
    <n v="2"/>
    <n v="0"/>
    <n v="1"/>
    <n v="7"/>
    <n v="2"/>
    <n v="50"/>
    <n v="11"/>
    <n v="1"/>
    <n v="0.40794659300516201"/>
    <n v="0.59205340699483799"/>
    <x v="0"/>
  </r>
  <r>
    <n v="11"/>
    <n v="35"/>
    <n v="2"/>
    <n v="0"/>
    <n v="0"/>
    <n v="10"/>
    <n v="2"/>
    <n v="1000"/>
    <n v="1"/>
    <n v="1"/>
    <n v="0.40925318579367032"/>
    <n v="0.59074681420632968"/>
    <x v="0"/>
  </r>
  <r>
    <n v="11"/>
    <n v="33"/>
    <n v="5"/>
    <n v="0"/>
    <n v="0"/>
    <n v="11"/>
    <n v="3"/>
    <n v="0.01"/>
    <n v="8"/>
    <n v="0"/>
    <n v="0.40941683099392912"/>
    <n v="0.59058316900607088"/>
    <x v="0"/>
  </r>
  <r>
    <n v="12"/>
    <n v="41"/>
    <n v="2"/>
    <n v="0"/>
    <n v="0"/>
    <n v="4"/>
    <n v="1"/>
    <n v="25217.119999999999"/>
    <n v="1"/>
    <n v="1"/>
    <n v="0.40958147596685512"/>
    <n v="0.59041852403314488"/>
    <x v="0"/>
  </r>
  <r>
    <n v="12"/>
    <n v="37"/>
    <n v="5"/>
    <n v="0"/>
    <n v="1"/>
    <n v="7"/>
    <n v="3"/>
    <n v="0.01"/>
    <n v="5"/>
    <n v="1"/>
    <n v="0.41118317281513911"/>
    <n v="0.58881682718486095"/>
    <x v="0"/>
  </r>
  <r>
    <n v="10"/>
    <n v="32"/>
    <n v="0"/>
    <n v="0"/>
    <n v="0"/>
    <n v="2"/>
    <n v="3"/>
    <n v="0.01"/>
    <n v="4"/>
    <n v="0"/>
    <n v="0.41129576164723092"/>
    <n v="0.58870423835276908"/>
    <x v="0"/>
  </r>
  <r>
    <n v="9"/>
    <n v="25"/>
    <n v="5"/>
    <n v="0"/>
    <n v="3"/>
    <n v="3"/>
    <n v="2"/>
    <n v="50.38"/>
    <n v="3"/>
    <n v="1"/>
    <n v="0.41177269864191629"/>
    <n v="0.58822730135808365"/>
    <x v="0"/>
  </r>
  <r>
    <n v="11"/>
    <n v="35"/>
    <n v="1"/>
    <n v="0"/>
    <n v="1"/>
    <n v="5"/>
    <n v="3"/>
    <n v="0.01"/>
    <n v="8"/>
    <n v="0"/>
    <n v="0.41198842273501501"/>
    <n v="0.58801157726498499"/>
    <x v="0"/>
  </r>
  <r>
    <n v="10"/>
    <n v="30"/>
    <n v="5"/>
    <n v="0"/>
    <n v="0"/>
    <n v="2"/>
    <n v="3"/>
    <n v="0.01"/>
    <n v="9"/>
    <n v="1"/>
    <n v="0.41244391033856642"/>
    <n v="0.58755608966143358"/>
    <x v="0"/>
  </r>
  <r>
    <n v="11"/>
    <n v="36"/>
    <n v="3"/>
    <n v="0"/>
    <n v="1"/>
    <n v="12"/>
    <n v="1"/>
    <n v="40000"/>
    <n v="4"/>
    <n v="0"/>
    <n v="0.41292688133189331"/>
    <n v="0.58707311866810674"/>
    <x v="0"/>
  </r>
  <r>
    <n v="12"/>
    <n v="39"/>
    <n v="3"/>
    <n v="0"/>
    <n v="1"/>
    <n v="5"/>
    <n v="2"/>
    <n v="2500"/>
    <n v="5"/>
    <n v="1"/>
    <n v="0.41329695337736039"/>
    <n v="0.58670304662263961"/>
    <x v="0"/>
  </r>
  <r>
    <n v="15"/>
    <n v="51"/>
    <n v="3"/>
    <n v="0"/>
    <n v="0"/>
    <n v="4"/>
    <n v="3"/>
    <n v="0.01"/>
    <n v="8"/>
    <n v="1"/>
    <n v="0.41358915083057463"/>
    <n v="0.58641084916942543"/>
    <x v="0"/>
  </r>
  <r>
    <n v="11"/>
    <n v="34"/>
    <n v="5"/>
    <n v="0"/>
    <n v="0"/>
    <n v="4"/>
    <n v="3"/>
    <n v="0.01"/>
    <n v="9"/>
    <n v="1"/>
    <n v="0.4143735364665101"/>
    <n v="0.5856264635334899"/>
    <x v="0"/>
  </r>
  <r>
    <n v="11"/>
    <n v="34"/>
    <n v="5"/>
    <n v="0"/>
    <n v="0"/>
    <n v="11"/>
    <n v="2"/>
    <n v="420"/>
    <n v="4"/>
    <n v="0"/>
    <n v="0.41441319066632792"/>
    <n v="0.58558680933367213"/>
    <x v="0"/>
  </r>
  <r>
    <n v="15"/>
    <n v="51"/>
    <n v="2"/>
    <n v="0"/>
    <n v="3"/>
    <n v="3"/>
    <n v="2"/>
    <n v="3000"/>
    <n v="8"/>
    <n v="1"/>
    <n v="0.41471425364213033"/>
    <n v="0.58528574635786967"/>
    <x v="0"/>
  </r>
  <r>
    <n v="17"/>
    <n v="59"/>
    <n v="5"/>
    <n v="0"/>
    <n v="0"/>
    <n v="4"/>
    <n v="2"/>
    <n v="1800"/>
    <n v="2"/>
    <n v="1"/>
    <n v="0.41537538143778813"/>
    <n v="0.58462461856221193"/>
    <x v="0"/>
  </r>
  <r>
    <n v="12"/>
    <n v="38"/>
    <n v="2"/>
    <n v="0"/>
    <n v="3"/>
    <n v="3"/>
    <n v="3"/>
    <n v="0.01"/>
    <n v="4"/>
    <n v="1"/>
    <n v="0.41541273210067992"/>
    <n v="0.58458726789932014"/>
    <x v="0"/>
  </r>
  <r>
    <n v="12"/>
    <n v="39"/>
    <n v="2"/>
    <n v="0"/>
    <n v="3"/>
    <n v="3"/>
    <n v="2"/>
    <n v="3250"/>
    <n v="8"/>
    <n v="0"/>
    <n v="0.41681838903887142"/>
    <n v="0.58318161096112864"/>
    <x v="0"/>
  </r>
  <r>
    <n v="11"/>
    <n v="37"/>
    <n v="1"/>
    <n v="0"/>
    <n v="1"/>
    <n v="12"/>
    <n v="0"/>
    <n v="6000"/>
    <n v="3"/>
    <n v="1"/>
    <n v="0.41769223229705438"/>
    <n v="0.58230776770294557"/>
    <x v="0"/>
  </r>
  <r>
    <n v="14"/>
    <n v="44"/>
    <n v="3"/>
    <n v="1"/>
    <n v="2"/>
    <n v="0"/>
    <n v="0"/>
    <n v="6000"/>
    <n v="2"/>
    <n v="1"/>
    <n v="0.41817467821987447"/>
    <n v="0.58182532178012547"/>
    <x v="0"/>
  </r>
  <r>
    <n v="16"/>
    <n v="56"/>
    <n v="5"/>
    <n v="0"/>
    <n v="1"/>
    <n v="7"/>
    <n v="0"/>
    <n v="6000"/>
    <n v="2"/>
    <n v="1"/>
    <n v="0.41860835179530848"/>
    <n v="0.58139164820469147"/>
    <x v="0"/>
  </r>
  <r>
    <n v="11"/>
    <n v="35"/>
    <n v="2"/>
    <n v="0"/>
    <n v="3"/>
    <n v="3"/>
    <n v="2"/>
    <n v="99.31"/>
    <n v="8"/>
    <n v="1"/>
    <n v="0.41878823794404879"/>
    <n v="0.58121176205595115"/>
    <x v="0"/>
  </r>
  <r>
    <n v="10"/>
    <n v="32"/>
    <n v="1"/>
    <n v="0"/>
    <n v="2"/>
    <n v="1"/>
    <n v="2"/>
    <n v="3000"/>
    <n v="2"/>
    <n v="1"/>
    <n v="0.41891625050487791"/>
    <n v="0.58108374949512209"/>
    <x v="0"/>
  </r>
  <r>
    <n v="13"/>
    <n v="43"/>
    <n v="4"/>
    <n v="0"/>
    <n v="0"/>
    <n v="11"/>
    <n v="2"/>
    <n v="3000"/>
    <n v="8"/>
    <n v="1"/>
    <n v="0.41891706880927498"/>
    <n v="0.58108293119072496"/>
    <x v="0"/>
  </r>
  <r>
    <n v="10"/>
    <n v="32"/>
    <n v="3"/>
    <n v="0"/>
    <n v="0"/>
    <n v="4"/>
    <n v="2"/>
    <n v="3000"/>
    <n v="8"/>
    <n v="1"/>
    <n v="0.42001535915005511"/>
    <n v="0.57998464084994494"/>
    <x v="0"/>
  </r>
  <r>
    <n v="14"/>
    <n v="42"/>
    <n v="1"/>
    <n v="1"/>
    <n v="3"/>
    <n v="3"/>
    <n v="3"/>
    <n v="0.01"/>
    <n v="6"/>
    <n v="1"/>
    <n v="0.42024473415028241"/>
    <n v="0.57975526584971759"/>
    <x v="0"/>
  </r>
  <r>
    <n v="13"/>
    <n v="44"/>
    <n v="2"/>
    <n v="0"/>
    <n v="0"/>
    <n v="11"/>
    <n v="2"/>
    <n v="5000"/>
    <n v="7"/>
    <n v="1"/>
    <n v="0.42028847749611697"/>
    <n v="0.57971152250388303"/>
    <x v="0"/>
  </r>
  <r>
    <n v="12"/>
    <n v="29"/>
    <n v="1"/>
    <n v="2"/>
    <n v="3"/>
    <n v="3"/>
    <n v="3"/>
    <n v="0.01"/>
    <n v="5"/>
    <n v="0"/>
    <n v="0.42071641952014699"/>
    <n v="0.57928358047985296"/>
    <x v="0"/>
  </r>
  <r>
    <n v="11"/>
    <n v="38"/>
    <n v="1"/>
    <n v="0"/>
    <n v="1"/>
    <n v="5"/>
    <n v="0"/>
    <n v="10000"/>
    <n v="5"/>
    <n v="1"/>
    <n v="0.42079226654033952"/>
    <n v="0.57920773345966048"/>
    <x v="0"/>
  </r>
  <r>
    <n v="11"/>
    <n v="35"/>
    <n v="2"/>
    <n v="0"/>
    <n v="3"/>
    <n v="3"/>
    <n v="2"/>
    <n v="420"/>
    <n v="1"/>
    <n v="0"/>
    <n v="0.4208534057161214"/>
    <n v="0.5791465942838786"/>
    <x v="0"/>
  </r>
  <r>
    <n v="11"/>
    <n v="30"/>
    <n v="2"/>
    <n v="1"/>
    <n v="1"/>
    <n v="7"/>
    <n v="3"/>
    <n v="0.01"/>
    <n v="4"/>
    <n v="1"/>
    <n v="0.42098709046700078"/>
    <n v="0.57901290953299922"/>
    <x v="0"/>
  </r>
  <r>
    <n v="11"/>
    <n v="35"/>
    <n v="4"/>
    <n v="0"/>
    <n v="0"/>
    <n v="11"/>
    <n v="2"/>
    <n v="600"/>
    <n v="8"/>
    <n v="1"/>
    <n v="0.42133144830762398"/>
    <n v="0.57866855169237597"/>
    <x v="0"/>
  </r>
  <r>
    <n v="17"/>
    <n v="54"/>
    <n v="2"/>
    <n v="1"/>
    <n v="2"/>
    <n v="6"/>
    <n v="3"/>
    <n v="0.01"/>
    <n v="4"/>
    <n v="0"/>
    <n v="0.42215874098300232"/>
    <n v="0.57784125901699768"/>
    <x v="0"/>
  </r>
  <r>
    <n v="11"/>
    <n v="39"/>
    <n v="0"/>
    <n v="0"/>
    <n v="0"/>
    <n v="4"/>
    <n v="0"/>
    <n v="6000"/>
    <n v="5"/>
    <n v="1"/>
    <n v="0.42235337296310932"/>
    <n v="0.57764662703689074"/>
    <x v="0"/>
  </r>
  <r>
    <n v="11"/>
    <n v="34"/>
    <n v="3"/>
    <n v="0"/>
    <n v="3"/>
    <n v="3"/>
    <n v="3"/>
    <n v="0.01"/>
    <n v="4"/>
    <n v="1"/>
    <n v="0.42255116469843401"/>
    <n v="0.57744883530156599"/>
    <x v="0"/>
  </r>
  <r>
    <n v="13"/>
    <n v="45"/>
    <n v="3"/>
    <n v="0"/>
    <n v="3"/>
    <n v="3"/>
    <n v="0"/>
    <n v="18088.810000000001"/>
    <n v="11"/>
    <n v="0"/>
    <n v="0.42360129692507748"/>
    <n v="0.57639870307492247"/>
    <x v="0"/>
  </r>
  <r>
    <n v="14"/>
    <n v="43"/>
    <n v="1"/>
    <n v="1"/>
    <n v="0"/>
    <n v="11"/>
    <n v="3"/>
    <n v="0.01"/>
    <n v="8"/>
    <n v="1"/>
    <n v="0.42420769716771167"/>
    <n v="0.57579230283228833"/>
    <x v="0"/>
  </r>
  <r>
    <n v="11"/>
    <n v="34"/>
    <n v="4"/>
    <n v="0"/>
    <n v="2"/>
    <n v="6"/>
    <n v="3"/>
    <n v="0.01"/>
    <n v="8"/>
    <n v="1"/>
    <n v="0.42479900309085178"/>
    <n v="0.57520099690914817"/>
    <x v="0"/>
  </r>
  <r>
    <n v="11"/>
    <n v="31"/>
    <n v="1"/>
    <n v="1"/>
    <n v="3"/>
    <n v="3"/>
    <n v="2"/>
    <n v="200"/>
    <n v="8"/>
    <n v="0"/>
    <n v="0.42569592126523159"/>
    <n v="0.57430407873476841"/>
    <x v="0"/>
  </r>
  <r>
    <n v="10"/>
    <n v="32"/>
    <n v="2"/>
    <n v="0"/>
    <n v="1"/>
    <n v="7"/>
    <n v="2"/>
    <n v="3000"/>
    <n v="1"/>
    <n v="1"/>
    <n v="0.42674981294967029"/>
    <n v="0.57325018705032971"/>
    <x v="0"/>
  </r>
  <r>
    <n v="11"/>
    <n v="38"/>
    <n v="2"/>
    <n v="0"/>
    <n v="0"/>
    <n v="11"/>
    <n v="0"/>
    <n v="9878"/>
    <n v="8"/>
    <n v="1"/>
    <n v="0.42742472245537888"/>
    <n v="0.57257527754462112"/>
    <x v="0"/>
  </r>
  <r>
    <n v="11"/>
    <n v="35"/>
    <n v="3"/>
    <n v="0"/>
    <n v="3"/>
    <n v="3"/>
    <n v="2"/>
    <n v="35"/>
    <n v="1"/>
    <n v="1"/>
    <n v="0.42742907076676823"/>
    <n v="0.57257092923323183"/>
    <x v="0"/>
  </r>
  <r>
    <n v="15"/>
    <n v="51"/>
    <n v="2"/>
    <n v="0"/>
    <n v="3"/>
    <n v="3"/>
    <n v="3"/>
    <n v="0.01"/>
    <n v="5"/>
    <n v="0"/>
    <n v="0.42756076077197419"/>
    <n v="0.57243923922802575"/>
    <x v="0"/>
  </r>
  <r>
    <n v="14"/>
    <n v="48"/>
    <n v="3"/>
    <n v="0"/>
    <n v="0"/>
    <n v="4"/>
    <n v="3"/>
    <n v="0.01"/>
    <n v="9"/>
    <n v="0"/>
    <n v="0.42868036045929092"/>
    <n v="0.57131963954070908"/>
    <x v="0"/>
  </r>
  <r>
    <n v="12"/>
    <n v="39"/>
    <n v="2"/>
    <n v="0"/>
    <n v="3"/>
    <n v="3"/>
    <n v="3"/>
    <n v="0.01"/>
    <n v="8"/>
    <n v="1"/>
    <n v="0.42883640882695429"/>
    <n v="0.57116359117304571"/>
    <x v="0"/>
  </r>
  <r>
    <n v="11"/>
    <n v="36"/>
    <n v="1"/>
    <n v="0"/>
    <n v="3"/>
    <n v="3"/>
    <n v="2"/>
    <n v="1050"/>
    <n v="1"/>
    <n v="1"/>
    <n v="0.42888175604803502"/>
    <n v="0.57111824395196498"/>
    <x v="0"/>
  </r>
  <r>
    <n v="12"/>
    <n v="37"/>
    <n v="0"/>
    <n v="1"/>
    <n v="0"/>
    <n v="4"/>
    <n v="2"/>
    <n v="1750"/>
    <n v="2"/>
    <n v="1"/>
    <n v="0.42972274006008299"/>
    <n v="0.57027725993991696"/>
    <x v="0"/>
  </r>
  <r>
    <n v="11"/>
    <n v="36"/>
    <n v="5"/>
    <n v="0"/>
    <n v="3"/>
    <n v="3"/>
    <n v="0"/>
    <n v="6000"/>
    <n v="5"/>
    <n v="1"/>
    <n v="0.42987926764801832"/>
    <n v="0.57012073235198168"/>
    <x v="0"/>
  </r>
  <r>
    <n v="11"/>
    <n v="31"/>
    <n v="2"/>
    <n v="1"/>
    <n v="1"/>
    <n v="12"/>
    <n v="2"/>
    <n v="0.02"/>
    <n v="7"/>
    <n v="1"/>
    <n v="0.43070672977242169"/>
    <n v="0.56929327022757825"/>
    <x v="0"/>
  </r>
  <r>
    <n v="14"/>
    <n v="51"/>
    <n v="2"/>
    <n v="0"/>
    <n v="0"/>
    <n v="4"/>
    <n v="0"/>
    <n v="6000"/>
    <n v="11"/>
    <n v="1"/>
    <n v="0.43111814495847289"/>
    <n v="0.56888185504152711"/>
    <x v="0"/>
  </r>
  <r>
    <n v="10"/>
    <n v="31"/>
    <n v="4"/>
    <n v="0"/>
    <n v="3"/>
    <n v="3"/>
    <n v="2"/>
    <n v="2000"/>
    <n v="8"/>
    <n v="0"/>
    <n v="0.43163449147340183"/>
    <n v="0.56836550852659817"/>
    <x v="0"/>
  </r>
  <r>
    <n v="10"/>
    <n v="32"/>
    <n v="2"/>
    <n v="0"/>
    <n v="3"/>
    <n v="3"/>
    <n v="2"/>
    <n v="3000"/>
    <n v="9"/>
    <n v="1"/>
    <n v="0.43278110660049918"/>
    <n v="0.56721889339950082"/>
    <x v="0"/>
  </r>
  <r>
    <n v="13"/>
    <n v="45"/>
    <n v="3"/>
    <n v="0"/>
    <n v="0"/>
    <n v="4"/>
    <n v="2"/>
    <n v="2200"/>
    <n v="4"/>
    <n v="1"/>
    <n v="0.43409256615105279"/>
    <n v="0.56590743384894715"/>
    <x v="0"/>
  </r>
  <r>
    <n v="15"/>
    <n v="51"/>
    <n v="2"/>
    <n v="0"/>
    <n v="3"/>
    <n v="8"/>
    <n v="3"/>
    <n v="0.01"/>
    <n v="5"/>
    <n v="1"/>
    <n v="0.43429150981886339"/>
    <n v="0.56570849018113656"/>
    <x v="0"/>
  </r>
  <r>
    <n v="11"/>
    <n v="33"/>
    <n v="1"/>
    <n v="1"/>
    <n v="3"/>
    <n v="8"/>
    <n v="0"/>
    <n v="18000"/>
    <n v="3"/>
    <n v="0"/>
    <n v="0.4348925763910253"/>
    <n v="0.5651074236089747"/>
    <x v="0"/>
  </r>
  <r>
    <n v="11"/>
    <n v="35"/>
    <n v="3"/>
    <n v="0"/>
    <n v="3"/>
    <n v="3"/>
    <n v="3"/>
    <n v="0.01"/>
    <n v="8"/>
    <n v="0"/>
    <n v="0.43603345915299863"/>
    <n v="0.56396654084700137"/>
    <x v="0"/>
  </r>
  <r>
    <n v="8"/>
    <n v="24"/>
    <n v="5"/>
    <n v="0"/>
    <n v="0"/>
    <n v="4"/>
    <n v="2"/>
    <n v="0.02"/>
    <n v="5"/>
    <n v="1"/>
    <n v="0.4365014541854737"/>
    <n v="0.5634985458145263"/>
    <x v="0"/>
  </r>
  <r>
    <n v="12"/>
    <n v="39"/>
    <n v="5"/>
    <n v="0"/>
    <n v="3"/>
    <n v="3"/>
    <n v="2"/>
    <n v="1000.01"/>
    <n v="8"/>
    <n v="1"/>
    <n v="0.4370076480641264"/>
    <n v="0.5629923519358736"/>
    <x v="0"/>
  </r>
  <r>
    <n v="12"/>
    <n v="40"/>
    <n v="1"/>
    <n v="0"/>
    <n v="3"/>
    <n v="3"/>
    <n v="3"/>
    <n v="0.01"/>
    <n v="8"/>
    <n v="1"/>
    <n v="0.43715190761589739"/>
    <n v="0.56284809238410261"/>
    <x v="0"/>
  </r>
  <r>
    <n v="14"/>
    <n v="47"/>
    <n v="1"/>
    <n v="0"/>
    <n v="4"/>
    <n v="9"/>
    <n v="3"/>
    <n v="0.01"/>
    <n v="4"/>
    <n v="1"/>
    <n v="0.4372219324417187"/>
    <n v="0.5627780675582813"/>
    <x v="0"/>
  </r>
  <r>
    <n v="12"/>
    <n v="35"/>
    <n v="3"/>
    <n v="1"/>
    <n v="3"/>
    <n v="3"/>
    <n v="2"/>
    <n v="5000"/>
    <n v="4"/>
    <n v="1"/>
    <n v="0.43722198062516798"/>
    <n v="0.56277801937483196"/>
    <x v="0"/>
  </r>
  <r>
    <n v="13"/>
    <n v="40"/>
    <n v="2"/>
    <n v="1"/>
    <n v="0"/>
    <n v="4"/>
    <n v="3"/>
    <n v="0.01"/>
    <n v="4"/>
    <n v="1"/>
    <n v="0.43799285944048533"/>
    <n v="0.56200714055951473"/>
    <x v="0"/>
  </r>
  <r>
    <n v="12"/>
    <n v="41"/>
    <n v="2"/>
    <n v="0"/>
    <n v="0"/>
    <n v="4"/>
    <n v="3"/>
    <n v="0.01"/>
    <n v="9"/>
    <n v="1"/>
    <n v="0.43848258943537688"/>
    <n v="0.56151741056462312"/>
    <x v="0"/>
  </r>
  <r>
    <n v="11"/>
    <n v="36"/>
    <n v="3"/>
    <n v="0"/>
    <n v="3"/>
    <n v="3"/>
    <n v="2"/>
    <n v="2000"/>
    <n v="10"/>
    <n v="1"/>
    <n v="0.43858511063132288"/>
    <n v="0.56141488936867712"/>
    <x v="0"/>
  </r>
  <r>
    <n v="15"/>
    <n v="53"/>
    <n v="1"/>
    <n v="0"/>
    <n v="3"/>
    <n v="3"/>
    <n v="2"/>
    <n v="1000"/>
    <n v="5"/>
    <n v="1"/>
    <n v="0.43945158858690592"/>
    <n v="0.56054841141309408"/>
    <x v="0"/>
  </r>
  <r>
    <n v="14"/>
    <n v="49"/>
    <n v="4"/>
    <n v="0"/>
    <n v="0"/>
    <n v="4"/>
    <n v="2"/>
    <n v="420"/>
    <n v="4"/>
    <n v="1"/>
    <n v="0.44052688973062792"/>
    <n v="0.55947311026937208"/>
    <x v="0"/>
  </r>
  <r>
    <n v="12"/>
    <n v="40"/>
    <n v="2"/>
    <n v="0"/>
    <n v="3"/>
    <n v="3"/>
    <n v="3"/>
    <n v="0.01"/>
    <n v="9"/>
    <n v="1"/>
    <n v="0.443316815990485"/>
    <n v="0.556683184009515"/>
    <x v="0"/>
  </r>
  <r>
    <n v="16"/>
    <n v="55"/>
    <n v="5"/>
    <n v="0"/>
    <n v="1"/>
    <n v="12"/>
    <n v="3"/>
    <n v="0.01"/>
    <n v="8"/>
    <n v="1"/>
    <n v="0.44343715052268318"/>
    <n v="0.55656284947731682"/>
    <x v="0"/>
  </r>
  <r>
    <n v="12"/>
    <n v="41"/>
    <n v="5"/>
    <n v="0"/>
    <n v="3"/>
    <n v="3"/>
    <n v="0"/>
    <n v="7200"/>
    <n v="5"/>
    <n v="1"/>
    <n v="0.44346149489958397"/>
    <n v="0.55653850510041603"/>
    <x v="0"/>
  </r>
  <r>
    <n v="13"/>
    <n v="45"/>
    <n v="3"/>
    <n v="0"/>
    <n v="0"/>
    <n v="11"/>
    <n v="2"/>
    <n v="2412.4499999999998"/>
    <n v="4"/>
    <n v="0"/>
    <n v="0.44347050996321868"/>
    <n v="0.55652949003678132"/>
    <x v="0"/>
  </r>
  <r>
    <n v="8"/>
    <n v="25"/>
    <n v="1"/>
    <n v="0"/>
    <n v="3"/>
    <n v="3"/>
    <n v="2"/>
    <n v="4000"/>
    <n v="5"/>
    <n v="1"/>
    <n v="0.44347526074226967"/>
    <n v="0.55652473925773027"/>
    <x v="0"/>
  </r>
  <r>
    <n v="16"/>
    <n v="57"/>
    <n v="1"/>
    <n v="0"/>
    <n v="3"/>
    <n v="8"/>
    <n v="2"/>
    <n v="5000"/>
    <n v="5"/>
    <n v="1"/>
    <n v="0.44388551755362621"/>
    <n v="0.55611448244637385"/>
    <x v="0"/>
  </r>
  <r>
    <n v="9"/>
    <n v="30"/>
    <n v="2"/>
    <n v="0"/>
    <n v="0"/>
    <n v="4"/>
    <n v="2"/>
    <n v="480.01"/>
    <n v="8"/>
    <n v="1"/>
    <n v="0.44482966102224952"/>
    <n v="0.55517033897775048"/>
    <x v="0"/>
  </r>
  <r>
    <n v="15"/>
    <n v="47"/>
    <n v="4"/>
    <n v="1"/>
    <n v="1"/>
    <n v="7"/>
    <n v="3"/>
    <n v="0.01"/>
    <n v="6"/>
    <n v="0"/>
    <n v="0.4450722891612191"/>
    <n v="0.5549277108387809"/>
    <x v="0"/>
  </r>
  <r>
    <n v="10"/>
    <n v="32"/>
    <n v="5"/>
    <n v="0"/>
    <n v="1"/>
    <n v="7"/>
    <n v="2"/>
    <n v="25.79"/>
    <n v="8"/>
    <n v="1"/>
    <n v="0.4451169880120982"/>
    <n v="0.5548830119879018"/>
    <x v="0"/>
  </r>
  <r>
    <n v="16"/>
    <n v="54"/>
    <n v="1"/>
    <n v="1"/>
    <n v="0"/>
    <n v="2"/>
    <n v="2"/>
    <n v="60"/>
    <n v="2"/>
    <n v="0"/>
    <n v="0.44599913266288249"/>
    <n v="0.55400086733711751"/>
    <x v="0"/>
  </r>
  <r>
    <n v="11"/>
    <n v="38"/>
    <n v="1"/>
    <n v="0"/>
    <n v="0"/>
    <n v="2"/>
    <n v="3"/>
    <n v="0.01"/>
    <n v="5"/>
    <n v="0"/>
    <n v="0.4461426365738661"/>
    <n v="0.5538573634261339"/>
    <x v="0"/>
  </r>
  <r>
    <n v="10"/>
    <n v="32"/>
    <n v="5"/>
    <n v="0"/>
    <n v="0"/>
    <n v="4"/>
    <n v="3"/>
    <n v="0.01"/>
    <n v="4"/>
    <n v="1"/>
    <n v="0.44617930406271172"/>
    <n v="0.55382069593728833"/>
    <x v="0"/>
  </r>
  <r>
    <n v="14"/>
    <n v="49"/>
    <n v="2"/>
    <n v="0"/>
    <n v="3"/>
    <n v="3"/>
    <n v="2"/>
    <n v="1000"/>
    <n v="6"/>
    <n v="0"/>
    <n v="0.44636987345607038"/>
    <n v="0.55363012654392962"/>
    <x v="0"/>
  </r>
  <r>
    <n v="11"/>
    <n v="37"/>
    <n v="0"/>
    <n v="0"/>
    <n v="3"/>
    <n v="3"/>
    <n v="3"/>
    <n v="0.01"/>
    <n v="5"/>
    <n v="1"/>
    <n v="0.44720231765772728"/>
    <n v="0.55279768234227267"/>
    <x v="0"/>
  </r>
  <r>
    <n v="14"/>
    <n v="40"/>
    <n v="0"/>
    <n v="2"/>
    <n v="3"/>
    <n v="3"/>
    <n v="2"/>
    <n v="100"/>
    <n v="1"/>
    <n v="0"/>
    <n v="0.44752136209884252"/>
    <n v="0.55247863790115748"/>
    <x v="0"/>
  </r>
  <r>
    <n v="14"/>
    <n v="47"/>
    <n v="5"/>
    <n v="0"/>
    <n v="3"/>
    <n v="3"/>
    <n v="3"/>
    <n v="0.01"/>
    <n v="5"/>
    <n v="0"/>
    <n v="0.44772150591359372"/>
    <n v="0.55227849408640628"/>
    <x v="0"/>
  </r>
  <r>
    <n v="9"/>
    <n v="31"/>
    <n v="1"/>
    <n v="0"/>
    <n v="3"/>
    <n v="3"/>
    <n v="0"/>
    <n v="7000"/>
    <n v="8"/>
    <n v="0"/>
    <n v="0.44856860888212069"/>
    <n v="0.55143139111787931"/>
    <x v="0"/>
  </r>
  <r>
    <n v="11"/>
    <n v="37"/>
    <n v="2"/>
    <n v="0"/>
    <n v="0"/>
    <n v="10"/>
    <n v="3"/>
    <n v="0.01"/>
    <n v="4"/>
    <n v="0"/>
    <n v="0.4489438433401377"/>
    <n v="0.5510561566598623"/>
    <x v="0"/>
  </r>
  <r>
    <n v="18"/>
    <n v="62"/>
    <n v="2"/>
    <n v="1"/>
    <n v="1"/>
    <n v="12"/>
    <n v="1"/>
    <n v="23000"/>
    <n v="9"/>
    <n v="1"/>
    <n v="0.44936425368978422"/>
    <n v="0.55063574631021583"/>
    <x v="0"/>
  </r>
  <r>
    <n v="11"/>
    <n v="38"/>
    <n v="3"/>
    <n v="0"/>
    <n v="0"/>
    <n v="4"/>
    <n v="2"/>
    <n v="500"/>
    <n v="9"/>
    <n v="1"/>
    <n v="0.44951219128078801"/>
    <n v="0.55048780871921199"/>
    <x v="0"/>
  </r>
  <r>
    <n v="15"/>
    <n v="51"/>
    <n v="3"/>
    <n v="1"/>
    <n v="0"/>
    <n v="4"/>
    <n v="0"/>
    <n v="11105.32"/>
    <n v="7"/>
    <n v="0"/>
    <n v="0.44959312352065273"/>
    <n v="0.55040687647934727"/>
    <x v="0"/>
  </r>
  <r>
    <n v="15"/>
    <n v="52"/>
    <n v="5"/>
    <n v="0"/>
    <n v="3"/>
    <n v="3"/>
    <n v="2"/>
    <n v="100.01"/>
    <n v="8"/>
    <n v="1"/>
    <n v="0.44997867797680952"/>
    <n v="0.55002132202319054"/>
    <x v="0"/>
  </r>
  <r>
    <n v="10"/>
    <n v="36"/>
    <n v="3"/>
    <n v="0"/>
    <n v="0"/>
    <n v="2"/>
    <n v="0"/>
    <n v="11500"/>
    <n v="11"/>
    <n v="1"/>
    <n v="0.45052039236681107"/>
    <n v="0.54947960763318893"/>
    <x v="0"/>
  </r>
  <r>
    <n v="9"/>
    <n v="29"/>
    <n v="2"/>
    <n v="0"/>
    <n v="1"/>
    <n v="5"/>
    <n v="3"/>
    <n v="0.01"/>
    <n v="4"/>
    <n v="1"/>
    <n v="0.45068138595066209"/>
    <n v="0.54931861404933791"/>
    <x v="0"/>
  </r>
  <r>
    <n v="11"/>
    <n v="35"/>
    <n v="3"/>
    <n v="1"/>
    <n v="0"/>
    <n v="2"/>
    <n v="0"/>
    <n v="8000"/>
    <n v="7"/>
    <n v="1"/>
    <n v="0.45110592431097118"/>
    <n v="0.54889407568902882"/>
    <x v="0"/>
  </r>
  <r>
    <n v="17"/>
    <n v="62"/>
    <n v="1"/>
    <n v="0"/>
    <n v="3"/>
    <n v="3"/>
    <n v="2"/>
    <n v="2500"/>
    <n v="6"/>
    <n v="1"/>
    <n v="0.45190916031157902"/>
    <n v="0.54809083968842098"/>
    <x v="0"/>
  </r>
  <r>
    <n v="15"/>
    <n v="51"/>
    <n v="5"/>
    <n v="0"/>
    <n v="3"/>
    <n v="8"/>
    <n v="3"/>
    <n v="0.01"/>
    <n v="9"/>
    <n v="1"/>
    <n v="0.45249478503424961"/>
    <n v="0.54750521496575044"/>
    <x v="0"/>
  </r>
  <r>
    <n v="11"/>
    <n v="33"/>
    <n v="2"/>
    <n v="1"/>
    <n v="0"/>
    <n v="11"/>
    <n v="2"/>
    <n v="3000"/>
    <n v="1"/>
    <n v="1"/>
    <n v="0.4527269701660821"/>
    <n v="0.5472730298339179"/>
    <x v="0"/>
  </r>
  <r>
    <n v="12"/>
    <n v="41"/>
    <n v="3"/>
    <n v="0"/>
    <n v="1"/>
    <n v="12"/>
    <n v="2"/>
    <n v="0.02"/>
    <n v="5"/>
    <n v="0"/>
    <n v="0.4532492072717218"/>
    <n v="0.5467507927282782"/>
    <x v="0"/>
  </r>
  <r>
    <n v="12"/>
    <n v="41"/>
    <n v="3"/>
    <n v="0"/>
    <n v="0"/>
    <n v="11"/>
    <n v="3"/>
    <n v="0.01"/>
    <n v="8"/>
    <n v="1"/>
    <n v="0.45479652125550002"/>
    <n v="0.54520347874450004"/>
    <x v="0"/>
  </r>
  <r>
    <n v="14"/>
    <n v="44"/>
    <n v="5"/>
    <n v="1"/>
    <n v="0"/>
    <n v="11"/>
    <n v="2"/>
    <n v="480.01"/>
    <n v="5"/>
    <n v="1"/>
    <n v="0.45485579554518418"/>
    <n v="0.54514420445481582"/>
    <x v="0"/>
  </r>
  <r>
    <n v="9"/>
    <n v="28"/>
    <n v="5"/>
    <n v="0"/>
    <n v="0"/>
    <n v="11"/>
    <n v="3"/>
    <n v="0.01"/>
    <n v="4"/>
    <n v="1"/>
    <n v="0.45644264763682912"/>
    <n v="0.54355735236317093"/>
    <x v="0"/>
  </r>
  <r>
    <n v="13"/>
    <n v="44"/>
    <n v="2"/>
    <n v="1"/>
    <n v="0"/>
    <n v="2"/>
    <n v="0"/>
    <n v="7461.8"/>
    <n v="7"/>
    <n v="1"/>
    <n v="0.45822052478918712"/>
    <n v="0.54177947521081293"/>
    <x v="0"/>
  </r>
  <r>
    <n v="13"/>
    <n v="46"/>
    <n v="1"/>
    <n v="0"/>
    <n v="1"/>
    <n v="7"/>
    <n v="3"/>
    <n v="0.01"/>
    <n v="5"/>
    <n v="1"/>
    <n v="0.45848579794137578"/>
    <n v="0.54151420205862422"/>
    <x v="0"/>
  </r>
  <r>
    <n v="10"/>
    <n v="34"/>
    <n v="1"/>
    <n v="0"/>
    <n v="0"/>
    <n v="11"/>
    <n v="3"/>
    <n v="0.01"/>
    <n v="5"/>
    <n v="1"/>
    <n v="0.459130970672599"/>
    <n v="0.540869029327401"/>
    <x v="0"/>
  </r>
  <r>
    <n v="12"/>
    <n v="37"/>
    <n v="3"/>
    <n v="1"/>
    <n v="0"/>
    <n v="4"/>
    <n v="3"/>
    <n v="0.01"/>
    <n v="5"/>
    <n v="1"/>
    <n v="0.45981207913257249"/>
    <n v="0.54018792086742751"/>
    <x v="0"/>
  </r>
  <r>
    <n v="7"/>
    <n v="23"/>
    <n v="0"/>
    <n v="0"/>
    <n v="1"/>
    <n v="7"/>
    <n v="2"/>
    <n v="1000"/>
    <n v="5"/>
    <n v="1"/>
    <n v="0.46006996106504222"/>
    <n v="0.53993003893495783"/>
    <x v="0"/>
  </r>
  <r>
    <n v="16"/>
    <n v="51"/>
    <n v="4"/>
    <n v="1"/>
    <n v="3"/>
    <n v="8"/>
    <n v="3"/>
    <n v="0.01"/>
    <n v="5"/>
    <n v="1"/>
    <n v="0.46008537557962709"/>
    <n v="0.53991462442037286"/>
    <x v="0"/>
  </r>
  <r>
    <n v="16"/>
    <n v="61"/>
    <n v="3"/>
    <n v="0"/>
    <n v="0"/>
    <n v="2"/>
    <n v="0"/>
    <n v="19330.72"/>
    <n v="3"/>
    <n v="1"/>
    <n v="0.46036785020307469"/>
    <n v="0.53963214979692531"/>
    <x v="0"/>
  </r>
  <r>
    <n v="12"/>
    <n v="43"/>
    <n v="1"/>
    <n v="0"/>
    <n v="2"/>
    <n v="1"/>
    <n v="2"/>
    <n v="1221.06"/>
    <n v="8"/>
    <n v="1"/>
    <n v="0.46068368190850778"/>
    <n v="0.53931631809149216"/>
    <x v="0"/>
  </r>
  <r>
    <n v="14"/>
    <n v="48"/>
    <n v="5"/>
    <n v="0"/>
    <n v="1"/>
    <n v="12"/>
    <n v="3"/>
    <n v="0.01"/>
    <n v="5"/>
    <n v="1"/>
    <n v="0.46079271671860828"/>
    <n v="0.53920728328139167"/>
    <x v="0"/>
  </r>
  <r>
    <n v="14"/>
    <n v="51"/>
    <n v="3"/>
    <n v="0"/>
    <n v="0"/>
    <n v="4"/>
    <n v="2"/>
    <n v="150"/>
    <n v="13"/>
    <n v="1"/>
    <n v="0.46105162703547509"/>
    <n v="0.53894837296452491"/>
    <x v="0"/>
  </r>
  <r>
    <n v="10"/>
    <n v="33"/>
    <n v="5"/>
    <n v="0"/>
    <n v="0"/>
    <n v="4"/>
    <n v="3"/>
    <n v="0.01"/>
    <n v="4"/>
    <n v="1"/>
    <n v="0.46109219833532389"/>
    <n v="0.53890780166467611"/>
    <x v="0"/>
  </r>
  <r>
    <n v="20"/>
    <n v="77"/>
    <n v="2"/>
    <n v="0"/>
    <n v="0"/>
    <n v="11"/>
    <n v="0"/>
    <n v="14000"/>
    <n v="14"/>
    <n v="1"/>
    <n v="0.46172682004233417"/>
    <n v="0.53827317995766577"/>
    <x v="0"/>
  </r>
  <r>
    <n v="14"/>
    <n v="51"/>
    <n v="5"/>
    <n v="0"/>
    <n v="1"/>
    <n v="7"/>
    <n v="0"/>
    <n v="5998.39"/>
    <n v="9"/>
    <n v="0"/>
    <n v="0.46234209485142869"/>
    <n v="0.53765790514857126"/>
    <x v="0"/>
  </r>
  <r>
    <n v="14"/>
    <n v="44"/>
    <n v="3"/>
    <n v="1"/>
    <n v="3"/>
    <n v="3"/>
    <n v="3"/>
    <n v="0.01"/>
    <n v="5"/>
    <n v="1"/>
    <n v="0.46318384920807232"/>
    <n v="0.53681615079192768"/>
    <x v="0"/>
  </r>
  <r>
    <n v="10"/>
    <n v="33"/>
    <n v="4"/>
    <n v="0"/>
    <n v="3"/>
    <n v="3"/>
    <n v="2"/>
    <n v="600"/>
    <n v="4"/>
    <n v="1"/>
    <n v="0.46320603541557298"/>
    <n v="0.53679396458442696"/>
    <x v="0"/>
  </r>
  <r>
    <n v="9"/>
    <n v="30"/>
    <n v="5"/>
    <n v="0"/>
    <n v="0"/>
    <n v="4"/>
    <n v="2"/>
    <n v="750"/>
    <n v="11"/>
    <n v="0"/>
    <n v="0.46332440303330641"/>
    <n v="0.53667559696669365"/>
    <x v="0"/>
  </r>
  <r>
    <n v="12"/>
    <n v="42"/>
    <n v="2"/>
    <n v="0"/>
    <n v="0"/>
    <n v="11"/>
    <n v="3"/>
    <n v="0.01"/>
    <n v="6"/>
    <n v="1"/>
    <n v="0.46384627722582572"/>
    <n v="0.53615372277417428"/>
    <x v="0"/>
  </r>
  <r>
    <n v="16"/>
    <n v="58"/>
    <n v="2"/>
    <n v="0"/>
    <n v="3"/>
    <n v="8"/>
    <n v="2"/>
    <n v="5000"/>
    <n v="9"/>
    <n v="0"/>
    <n v="0.46404425661674092"/>
    <n v="0.53595574338325913"/>
    <x v="0"/>
  </r>
  <r>
    <n v="17"/>
    <n v="60"/>
    <n v="0"/>
    <n v="1"/>
    <n v="3"/>
    <n v="3"/>
    <n v="0"/>
    <n v="10000"/>
    <n v="4"/>
    <n v="1"/>
    <n v="0.46464129832786438"/>
    <n v="0.53535870167213562"/>
    <x v="0"/>
  </r>
  <r>
    <n v="9"/>
    <n v="28"/>
    <n v="5"/>
    <n v="0"/>
    <n v="1"/>
    <n v="12"/>
    <n v="3"/>
    <n v="0.01"/>
    <n v="4"/>
    <n v="0"/>
    <n v="0.46486848306752648"/>
    <n v="0.53513151693247352"/>
    <x v="0"/>
  </r>
  <r>
    <n v="12"/>
    <n v="42"/>
    <n v="4"/>
    <n v="0"/>
    <n v="0"/>
    <n v="2"/>
    <n v="3"/>
    <n v="0.01"/>
    <n v="4"/>
    <n v="1"/>
    <n v="0.46528152563698882"/>
    <n v="0.53471847436301123"/>
    <x v="0"/>
  </r>
  <r>
    <n v="12"/>
    <n v="41"/>
    <n v="3"/>
    <n v="0"/>
    <n v="3"/>
    <n v="3"/>
    <n v="3"/>
    <n v="0.01"/>
    <n v="5"/>
    <n v="1"/>
    <n v="0.46602859321189027"/>
    <n v="0.53397140678810973"/>
    <x v="0"/>
  </r>
  <r>
    <n v="14"/>
    <n v="52"/>
    <n v="5"/>
    <n v="0"/>
    <n v="0"/>
    <n v="4"/>
    <n v="0"/>
    <n v="6053.34"/>
    <n v="6"/>
    <n v="1"/>
    <n v="0.4670801332466602"/>
    <n v="0.5329198667533398"/>
    <x v="0"/>
  </r>
  <r>
    <n v="13"/>
    <n v="38"/>
    <n v="2"/>
    <n v="2"/>
    <n v="0"/>
    <n v="4"/>
    <n v="2"/>
    <n v="5000"/>
    <n v="5"/>
    <n v="0"/>
    <n v="0.46815899650331849"/>
    <n v="0.53184100349668151"/>
    <x v="0"/>
  </r>
  <r>
    <n v="9"/>
    <n v="29"/>
    <n v="5"/>
    <n v="0"/>
    <n v="1"/>
    <n v="12"/>
    <n v="2"/>
    <n v="840"/>
    <n v="3"/>
    <n v="1"/>
    <n v="0.468874265078569"/>
    <n v="0.531125734921431"/>
    <x v="0"/>
  </r>
  <r>
    <n v="11"/>
    <n v="39"/>
    <n v="3"/>
    <n v="0"/>
    <n v="3"/>
    <n v="8"/>
    <n v="1"/>
    <n v="30238.38"/>
    <n v="7"/>
    <n v="1"/>
    <n v="0.46889190935372399"/>
    <n v="0.53110809064627595"/>
    <x v="0"/>
  </r>
  <r>
    <n v="8"/>
    <n v="27"/>
    <n v="3"/>
    <n v="0"/>
    <n v="0"/>
    <n v="4"/>
    <n v="2"/>
    <n v="100"/>
    <n v="1"/>
    <n v="0"/>
    <n v="0.46941870959624538"/>
    <n v="0.53058129040375457"/>
    <x v="0"/>
  </r>
  <r>
    <n v="14"/>
    <n v="50"/>
    <n v="2"/>
    <n v="0"/>
    <n v="1"/>
    <n v="12"/>
    <n v="3"/>
    <n v="0.01"/>
    <n v="8"/>
    <n v="0"/>
    <n v="0.47014377164485532"/>
    <n v="0.52985622835514468"/>
    <x v="0"/>
  </r>
  <r>
    <n v="13"/>
    <n v="44"/>
    <n v="5"/>
    <n v="0"/>
    <n v="3"/>
    <n v="8"/>
    <n v="3"/>
    <n v="0.01"/>
    <n v="5"/>
    <n v="0"/>
    <n v="0.47022566141152489"/>
    <n v="0.52977433858847511"/>
    <x v="0"/>
  </r>
  <r>
    <n v="11"/>
    <n v="41"/>
    <n v="3"/>
    <n v="0"/>
    <n v="0"/>
    <n v="2"/>
    <n v="0"/>
    <n v="5400"/>
    <n v="1"/>
    <n v="0"/>
    <n v="0.47035050715523791"/>
    <n v="0.52964949284476215"/>
    <x v="0"/>
  </r>
  <r>
    <n v="11"/>
    <n v="38"/>
    <n v="3"/>
    <n v="0"/>
    <n v="0"/>
    <n v="11"/>
    <n v="3"/>
    <n v="0.01"/>
    <n v="8"/>
    <n v="0"/>
    <n v="0.47050587381246128"/>
    <n v="0.52949412618753866"/>
    <x v="0"/>
  </r>
  <r>
    <n v="11"/>
    <n v="33"/>
    <n v="2"/>
    <n v="1"/>
    <n v="1"/>
    <n v="12"/>
    <n v="3"/>
    <n v="0.01"/>
    <n v="8"/>
    <n v="0"/>
    <n v="0.47105869252233562"/>
    <n v="0.52894130747766444"/>
    <x v="0"/>
  </r>
  <r>
    <n v="9"/>
    <n v="30"/>
    <n v="3"/>
    <n v="0"/>
    <n v="3"/>
    <n v="3"/>
    <n v="2"/>
    <n v="420"/>
    <n v="7"/>
    <n v="0"/>
    <n v="0.47150224954503589"/>
    <n v="0.52849775045496405"/>
    <x v="0"/>
  </r>
  <r>
    <n v="9"/>
    <n v="26"/>
    <n v="1"/>
    <n v="1"/>
    <n v="3"/>
    <n v="3"/>
    <n v="2"/>
    <n v="4000"/>
    <n v="1"/>
    <n v="0"/>
    <n v="0.47252850825784298"/>
    <n v="0.52747149174215702"/>
    <x v="0"/>
  </r>
  <r>
    <n v="9"/>
    <n v="32"/>
    <n v="2"/>
    <n v="0"/>
    <n v="0"/>
    <n v="4"/>
    <n v="2"/>
    <n v="100"/>
    <n v="10"/>
    <n v="1"/>
    <n v="0.47422432197451259"/>
    <n v="0.52577567802548741"/>
    <x v="0"/>
  </r>
  <r>
    <n v="11"/>
    <n v="42"/>
    <n v="1"/>
    <n v="0"/>
    <n v="0"/>
    <n v="4"/>
    <n v="0"/>
    <n v="6000"/>
    <n v="2"/>
    <n v="1"/>
    <n v="0.47441199404600221"/>
    <n v="0.52558800595399779"/>
    <x v="0"/>
  </r>
  <r>
    <n v="15"/>
    <n v="51"/>
    <n v="3"/>
    <n v="1"/>
    <n v="0"/>
    <n v="4"/>
    <n v="2"/>
    <n v="5000"/>
    <n v="5"/>
    <n v="0"/>
    <n v="0.47455081695913942"/>
    <n v="0.52544918304086063"/>
    <x v="0"/>
  </r>
  <r>
    <n v="14"/>
    <n v="46"/>
    <n v="5"/>
    <n v="1"/>
    <n v="0"/>
    <n v="4"/>
    <n v="2"/>
    <n v="3000"/>
    <n v="3"/>
    <n v="0"/>
    <n v="0.4748614415716117"/>
    <n v="0.5251385584283883"/>
    <x v="0"/>
  </r>
  <r>
    <n v="9"/>
    <n v="33"/>
    <n v="2"/>
    <n v="0"/>
    <n v="0"/>
    <n v="10"/>
    <n v="0"/>
    <n v="6315"/>
    <n v="4"/>
    <n v="0"/>
    <n v="0.47491854231132258"/>
    <n v="0.52508145768867742"/>
    <x v="0"/>
  </r>
  <r>
    <n v="14"/>
    <n v="40"/>
    <n v="3"/>
    <n v="2"/>
    <n v="3"/>
    <n v="3"/>
    <n v="3"/>
    <n v="0.01"/>
    <n v="9"/>
    <n v="0"/>
    <n v="0.47554675125296703"/>
    <n v="0.52445324874703303"/>
    <x v="0"/>
  </r>
  <r>
    <n v="13"/>
    <n v="45"/>
    <n v="5"/>
    <n v="0"/>
    <n v="2"/>
    <n v="6"/>
    <n v="3"/>
    <n v="0.01"/>
    <n v="4"/>
    <n v="1"/>
    <n v="0.47572325865371667"/>
    <n v="0.52427674134628333"/>
    <x v="0"/>
  </r>
  <r>
    <n v="14"/>
    <n v="49"/>
    <n v="1"/>
    <n v="1"/>
    <n v="0"/>
    <n v="4"/>
    <n v="1"/>
    <n v="20278.84"/>
    <n v="3"/>
    <n v="0"/>
    <n v="0.47572411737619108"/>
    <n v="0.52427588262380886"/>
    <x v="0"/>
  </r>
  <r>
    <n v="14"/>
    <n v="51"/>
    <n v="1"/>
    <n v="0"/>
    <n v="3"/>
    <n v="8"/>
    <n v="2"/>
    <n v="1200"/>
    <n v="8"/>
    <n v="1"/>
    <n v="0.47583153113540311"/>
    <n v="0.52416846886459689"/>
    <x v="0"/>
  </r>
  <r>
    <n v="10"/>
    <n v="33"/>
    <n v="5"/>
    <n v="0"/>
    <n v="3"/>
    <n v="8"/>
    <n v="2"/>
    <n v="3.32"/>
    <n v="5"/>
    <n v="0"/>
    <n v="0.47651321981258848"/>
    <n v="0.52348678018741146"/>
    <x v="0"/>
  </r>
  <r>
    <n v="11"/>
    <n v="34"/>
    <n v="2"/>
    <n v="1"/>
    <n v="1"/>
    <n v="5"/>
    <n v="3"/>
    <n v="0.01"/>
    <n v="5"/>
    <n v="0"/>
    <n v="0.47744228047245912"/>
    <n v="0.52255771952754093"/>
    <x v="0"/>
  </r>
  <r>
    <n v="10"/>
    <n v="35"/>
    <n v="3"/>
    <n v="0"/>
    <n v="0"/>
    <n v="4"/>
    <n v="3"/>
    <n v="0.01"/>
    <n v="5"/>
    <n v="0"/>
    <n v="0.47764259729374398"/>
    <n v="0.52235740270625597"/>
    <x v="0"/>
  </r>
  <r>
    <n v="8"/>
    <n v="28"/>
    <n v="2"/>
    <n v="0"/>
    <n v="0"/>
    <n v="4"/>
    <n v="2"/>
    <n v="600"/>
    <n v="1"/>
    <n v="0"/>
    <n v="0.47766174740722661"/>
    <n v="0.52233825259277344"/>
    <x v="0"/>
  </r>
  <r>
    <n v="12"/>
    <n v="36"/>
    <n v="5"/>
    <n v="1"/>
    <n v="3"/>
    <n v="3"/>
    <n v="3"/>
    <n v="0.01"/>
    <n v="5"/>
    <n v="0"/>
    <n v="0.4777938188287757"/>
    <n v="0.5222061811712243"/>
    <x v="0"/>
  </r>
  <r>
    <n v="8"/>
    <n v="27"/>
    <n v="0"/>
    <n v="0"/>
    <n v="3"/>
    <n v="3"/>
    <n v="3"/>
    <n v="0.01"/>
    <n v="8"/>
    <n v="1"/>
    <n v="0.47840750301270119"/>
    <n v="0.52159249698729881"/>
    <x v="0"/>
  </r>
  <r>
    <n v="11"/>
    <n v="39"/>
    <n v="2"/>
    <n v="0"/>
    <n v="3"/>
    <n v="3"/>
    <n v="2"/>
    <n v="5000"/>
    <n v="1"/>
    <n v="1"/>
    <n v="0.47852418291595161"/>
    <n v="0.52147581708404844"/>
    <x v="0"/>
  </r>
  <r>
    <n v="10"/>
    <n v="33"/>
    <n v="4"/>
    <n v="0"/>
    <n v="3"/>
    <n v="8"/>
    <n v="3"/>
    <n v="0.01"/>
    <n v="9"/>
    <n v="0"/>
    <n v="0.47965066527388461"/>
    <n v="0.52034933472611544"/>
    <x v="0"/>
  </r>
  <r>
    <n v="10"/>
    <n v="34"/>
    <n v="3"/>
    <n v="0"/>
    <n v="1"/>
    <n v="12"/>
    <n v="3"/>
    <n v="0.01"/>
    <n v="8"/>
    <n v="0"/>
    <n v="0.47971670458320281"/>
    <n v="0.52028329541679719"/>
    <x v="0"/>
  </r>
  <r>
    <n v="11"/>
    <n v="33"/>
    <n v="2"/>
    <n v="1"/>
    <n v="3"/>
    <n v="8"/>
    <n v="3"/>
    <n v="0.01"/>
    <n v="8"/>
    <n v="0"/>
    <n v="0.47976027031612312"/>
    <n v="0.52023972968387688"/>
    <x v="0"/>
  </r>
  <r>
    <n v="13"/>
    <n v="48"/>
    <n v="4"/>
    <n v="0"/>
    <n v="3"/>
    <n v="3"/>
    <n v="0"/>
    <n v="6000"/>
    <n v="9"/>
    <n v="0"/>
    <n v="0.48022643245595309"/>
    <n v="0.51977356754404691"/>
    <x v="0"/>
  </r>
  <r>
    <n v="14"/>
    <n v="51"/>
    <n v="1"/>
    <n v="0"/>
    <n v="3"/>
    <n v="3"/>
    <n v="3"/>
    <n v="0.01"/>
    <n v="7"/>
    <n v="0"/>
    <n v="0.4807678328103222"/>
    <n v="0.5192321671896778"/>
    <x v="0"/>
  </r>
  <r>
    <n v="11"/>
    <n v="38"/>
    <n v="5"/>
    <n v="0"/>
    <n v="3"/>
    <n v="3"/>
    <n v="2"/>
    <n v="250"/>
    <n v="8"/>
    <n v="1"/>
    <n v="0.48286562188486631"/>
    <n v="0.51713437811513374"/>
    <x v="1"/>
  </r>
  <r>
    <n v="11"/>
    <n v="32"/>
    <n v="5"/>
    <n v="1"/>
    <n v="4"/>
    <n v="9"/>
    <n v="2"/>
    <n v="420"/>
    <n v="4"/>
    <n v="0"/>
    <n v="0.48303075989467331"/>
    <n v="0.51696924010532674"/>
    <x v="1"/>
  </r>
  <r>
    <n v="10"/>
    <n v="36"/>
    <n v="2"/>
    <n v="0"/>
    <n v="1"/>
    <n v="5"/>
    <n v="2"/>
    <n v="1100.01"/>
    <n v="5"/>
    <n v="0"/>
    <n v="0.48313446871541949"/>
    <n v="0.51686553128458046"/>
    <x v="1"/>
  </r>
  <r>
    <n v="19"/>
    <n v="74"/>
    <n v="0"/>
    <n v="0"/>
    <n v="0"/>
    <n v="4"/>
    <n v="2"/>
    <n v="4092.82"/>
    <n v="6"/>
    <n v="1"/>
    <n v="0.48326563230690461"/>
    <n v="0.51673436769309544"/>
    <x v="1"/>
  </r>
  <r>
    <n v="11"/>
    <n v="41"/>
    <n v="1"/>
    <n v="0"/>
    <n v="0"/>
    <n v="4"/>
    <n v="2"/>
    <n v="500"/>
    <n v="1"/>
    <n v="1"/>
    <n v="0.48389420035725822"/>
    <n v="0.51610579964274184"/>
    <x v="1"/>
  </r>
  <r>
    <n v="11"/>
    <n v="29"/>
    <n v="5"/>
    <n v="2"/>
    <n v="0"/>
    <n v="11"/>
    <n v="2"/>
    <n v="4000"/>
    <n v="6"/>
    <n v="0"/>
    <n v="0.48400372184110341"/>
    <n v="0.51599627815889659"/>
    <x v="1"/>
  </r>
  <r>
    <n v="14"/>
    <n v="55"/>
    <n v="2"/>
    <n v="0"/>
    <n v="0"/>
    <n v="4"/>
    <n v="0"/>
    <n v="6061.26"/>
    <n v="29"/>
    <n v="1"/>
    <n v="0.48504796044587217"/>
    <n v="0.51495203955412783"/>
    <x v="1"/>
  </r>
  <r>
    <n v="14"/>
    <n v="54"/>
    <n v="3"/>
    <n v="0"/>
    <n v="0"/>
    <n v="4"/>
    <n v="0"/>
    <n v="6000"/>
    <n v="2"/>
    <n v="0"/>
    <n v="0.48527880802786949"/>
    <n v="0.51472119197213051"/>
    <x v="1"/>
  </r>
  <r>
    <n v="12"/>
    <n v="42"/>
    <n v="5"/>
    <n v="0"/>
    <n v="1"/>
    <n v="7"/>
    <n v="3"/>
    <n v="0.01"/>
    <n v="5"/>
    <n v="0"/>
    <n v="0.48545201884864181"/>
    <n v="0.51454798115135825"/>
    <x v="1"/>
  </r>
  <r>
    <n v="8"/>
    <n v="29"/>
    <n v="1"/>
    <n v="0"/>
    <n v="0"/>
    <n v="4"/>
    <n v="2"/>
    <n v="35"/>
    <n v="3"/>
    <n v="0"/>
    <n v="0.48570360528097012"/>
    <n v="0.51429639471902988"/>
    <x v="1"/>
  </r>
  <r>
    <n v="9"/>
    <n v="30"/>
    <n v="5"/>
    <n v="0"/>
    <n v="2"/>
    <n v="1"/>
    <n v="3"/>
    <n v="0.01"/>
    <n v="5"/>
    <n v="1"/>
    <n v="0.48658942838938851"/>
    <n v="0.51341057161061154"/>
    <x v="1"/>
  </r>
  <r>
    <n v="12"/>
    <n v="42"/>
    <n v="4"/>
    <n v="0"/>
    <n v="3"/>
    <n v="3"/>
    <n v="3"/>
    <n v="0.01"/>
    <n v="8"/>
    <n v="1"/>
    <n v="0.48663458199560999"/>
    <n v="0.51336541800438995"/>
    <x v="1"/>
  </r>
  <r>
    <n v="10"/>
    <n v="37"/>
    <n v="0"/>
    <n v="0"/>
    <n v="1"/>
    <n v="7"/>
    <n v="2"/>
    <n v="1261.03"/>
    <n v="8"/>
    <n v="1"/>
    <n v="0.48673941379824498"/>
    <n v="0.51326058620175496"/>
    <x v="1"/>
  </r>
  <r>
    <n v="14"/>
    <n v="53"/>
    <n v="2"/>
    <n v="0"/>
    <n v="3"/>
    <n v="8"/>
    <n v="0"/>
    <n v="7600.02"/>
    <n v="11"/>
    <n v="0"/>
    <n v="0.48693060373714442"/>
    <n v="0.51306939626285564"/>
    <x v="1"/>
  </r>
  <r>
    <n v="9"/>
    <n v="31"/>
    <n v="3"/>
    <n v="0"/>
    <n v="3"/>
    <n v="3"/>
    <n v="2"/>
    <n v="3500"/>
    <n v="1"/>
    <n v="0"/>
    <n v="0.48720445923735911"/>
    <n v="0.51279554076264089"/>
    <x v="1"/>
  </r>
  <r>
    <n v="10"/>
    <n v="38"/>
    <n v="0"/>
    <n v="0"/>
    <n v="3"/>
    <n v="3"/>
    <n v="0"/>
    <n v="5089.7"/>
    <n v="6"/>
    <n v="0"/>
    <n v="0.48759976439546981"/>
    <n v="0.51240023560453019"/>
    <x v="1"/>
  </r>
  <r>
    <n v="11"/>
    <n v="41"/>
    <n v="4"/>
    <n v="0"/>
    <n v="1"/>
    <n v="5"/>
    <n v="0"/>
    <n v="6000"/>
    <n v="1"/>
    <n v="1"/>
    <n v="0.48787525613484412"/>
    <n v="0.51212474386515594"/>
    <x v="1"/>
  </r>
  <r>
    <n v="12"/>
    <n v="43"/>
    <n v="2"/>
    <n v="0"/>
    <n v="3"/>
    <n v="3"/>
    <n v="3"/>
    <n v="0.01"/>
    <n v="9"/>
    <n v="1"/>
    <n v="0.48820448563059909"/>
    <n v="0.51179551436940085"/>
    <x v="1"/>
  </r>
  <r>
    <n v="10"/>
    <n v="33"/>
    <n v="4"/>
    <n v="0"/>
    <n v="4"/>
    <n v="9"/>
    <n v="3"/>
    <n v="0.01"/>
    <n v="8"/>
    <n v="1"/>
    <n v="0.48844128313715629"/>
    <n v="0.51155871686284371"/>
    <x v="1"/>
  </r>
  <r>
    <n v="12"/>
    <n v="43"/>
    <n v="5"/>
    <n v="0"/>
    <n v="0"/>
    <n v="4"/>
    <n v="3"/>
    <n v="0.01"/>
    <n v="5"/>
    <n v="0"/>
    <n v="0.48926969271243381"/>
    <n v="0.51073030728756619"/>
    <x v="1"/>
  </r>
  <r>
    <n v="12"/>
    <n v="44"/>
    <n v="2"/>
    <n v="0"/>
    <n v="1"/>
    <n v="12"/>
    <n v="2"/>
    <n v="1634.7"/>
    <n v="5"/>
    <n v="1"/>
    <n v="0.49100933280835152"/>
    <n v="0.50899066719164854"/>
    <x v="1"/>
  </r>
  <r>
    <n v="13"/>
    <n v="48"/>
    <n v="2"/>
    <n v="0"/>
    <n v="1"/>
    <n v="5"/>
    <n v="3"/>
    <n v="0.01"/>
    <n v="8"/>
    <n v="1"/>
    <n v="0.49134476610268413"/>
    <n v="0.50865523389731593"/>
    <x v="1"/>
  </r>
  <r>
    <n v="16"/>
    <n v="54"/>
    <n v="3"/>
    <n v="1"/>
    <n v="3"/>
    <n v="3"/>
    <n v="3"/>
    <n v="0.01"/>
    <n v="5"/>
    <n v="0"/>
    <n v="0.49169379121764512"/>
    <n v="0.50830620878235488"/>
    <x v="1"/>
  </r>
  <r>
    <n v="9"/>
    <n v="33"/>
    <n v="3"/>
    <n v="0"/>
    <n v="3"/>
    <n v="3"/>
    <n v="0"/>
    <n v="9464.85"/>
    <n v="1"/>
    <n v="1"/>
    <n v="0.492880558831997"/>
    <n v="0.507119441168003"/>
    <x v="1"/>
  </r>
  <r>
    <n v="11"/>
    <n v="39"/>
    <n v="4"/>
    <n v="0"/>
    <n v="2"/>
    <n v="1"/>
    <n v="3"/>
    <n v="0.01"/>
    <n v="5"/>
    <n v="1"/>
    <n v="0.49354348302786738"/>
    <n v="0.50645651697213256"/>
    <x v="1"/>
  </r>
  <r>
    <n v="11"/>
    <n v="42"/>
    <n v="1"/>
    <n v="0"/>
    <n v="3"/>
    <n v="3"/>
    <n v="0"/>
    <n v="6000"/>
    <n v="4"/>
    <n v="0"/>
    <n v="0.49369359030606802"/>
    <n v="0.50630640969393204"/>
    <x v="1"/>
  </r>
  <r>
    <n v="13"/>
    <n v="51"/>
    <n v="2"/>
    <n v="0"/>
    <n v="0"/>
    <n v="4"/>
    <n v="0"/>
    <n v="6300"/>
    <n v="3"/>
    <n v="1"/>
    <n v="0.49405594084537457"/>
    <n v="0.50594405915462537"/>
    <x v="1"/>
  </r>
  <r>
    <n v="9"/>
    <n v="33"/>
    <n v="3"/>
    <n v="0"/>
    <n v="0"/>
    <n v="4"/>
    <n v="2"/>
    <n v="100"/>
    <n v="9"/>
    <n v="1"/>
    <n v="0.49614181161439008"/>
    <n v="0.50385818838560992"/>
    <x v="1"/>
  </r>
  <r>
    <n v="8"/>
    <n v="26"/>
    <n v="5"/>
    <n v="0"/>
    <n v="3"/>
    <n v="3"/>
    <n v="3"/>
    <n v="0.01"/>
    <n v="8"/>
    <n v="0"/>
    <n v="0.49622882533446089"/>
    <n v="0.50377117466553911"/>
    <x v="1"/>
  </r>
  <r>
    <n v="15"/>
    <n v="59"/>
    <n v="3"/>
    <n v="0"/>
    <n v="0"/>
    <n v="2"/>
    <n v="1"/>
    <n v="30554.14"/>
    <n v="3"/>
    <n v="0"/>
    <n v="0.49760871665492612"/>
    <n v="0.50239128334507388"/>
    <x v="1"/>
  </r>
  <r>
    <n v="15"/>
    <n v="51"/>
    <n v="5"/>
    <n v="1"/>
    <n v="0"/>
    <n v="2"/>
    <n v="3"/>
    <n v="0.01"/>
    <n v="5"/>
    <n v="1"/>
    <n v="0.49795221650983051"/>
    <n v="0.50204778349016954"/>
    <x v="1"/>
  </r>
  <r>
    <n v="10"/>
    <n v="39"/>
    <n v="1"/>
    <n v="0"/>
    <n v="2"/>
    <n v="1"/>
    <n v="0"/>
    <n v="10000"/>
    <n v="3"/>
    <n v="1"/>
    <n v="0.49835121607377708"/>
    <n v="0.50164878392622292"/>
    <x v="1"/>
  </r>
  <r>
    <n v="11"/>
    <n v="39"/>
    <n v="5"/>
    <n v="0"/>
    <n v="3"/>
    <n v="3"/>
    <n v="2"/>
    <n v="2180"/>
    <n v="4"/>
    <n v="0"/>
    <n v="0.49840995111877961"/>
    <n v="0.50159004888122039"/>
    <x v="1"/>
  </r>
  <r>
    <n v="13"/>
    <n v="47"/>
    <n v="5"/>
    <n v="0"/>
    <n v="3"/>
    <n v="3"/>
    <n v="2"/>
    <n v="50"/>
    <n v="1"/>
    <n v="0"/>
    <n v="0.49872086099804902"/>
    <n v="0.50127913900195098"/>
    <x v="1"/>
  </r>
  <r>
    <n v="13"/>
    <n v="49"/>
    <n v="4"/>
    <n v="0"/>
    <n v="0"/>
    <n v="4"/>
    <n v="2"/>
    <n v="500"/>
    <n v="9"/>
    <n v="0"/>
    <n v="0.49953448988779248"/>
    <n v="0.50046551011220752"/>
    <x v="1"/>
  </r>
  <r>
    <n v="11"/>
    <n v="40"/>
    <n v="3"/>
    <n v="0"/>
    <n v="3"/>
    <n v="3"/>
    <n v="2"/>
    <n v="750"/>
    <n v="8"/>
    <n v="1"/>
    <n v="0.49959306921761842"/>
    <n v="0.50040693078238163"/>
    <x v="1"/>
  </r>
  <r>
    <n v="12"/>
    <n v="45"/>
    <n v="2"/>
    <n v="0"/>
    <n v="0"/>
    <n v="4"/>
    <n v="3"/>
    <n v="0.01"/>
    <n v="4"/>
    <n v="0"/>
    <n v="0.49994925678588797"/>
    <n v="0.50005074321411203"/>
    <x v="1"/>
  </r>
  <r>
    <n v="13"/>
    <n v="51"/>
    <n v="0"/>
    <n v="0"/>
    <n v="3"/>
    <n v="3"/>
    <n v="0"/>
    <n v="6000"/>
    <n v="6"/>
    <n v="1"/>
    <n v="0.50000763856513641"/>
    <n v="0.49999236143486347"/>
    <x v="1"/>
  </r>
  <r>
    <n v="14"/>
    <n v="54"/>
    <n v="2"/>
    <n v="0"/>
    <n v="3"/>
    <n v="8"/>
    <n v="0"/>
    <n v="16000"/>
    <n v="6"/>
    <n v="0"/>
    <n v="0.50019375030018143"/>
    <n v="0.49980624969981863"/>
    <x v="1"/>
  </r>
  <r>
    <n v="12"/>
    <n v="44"/>
    <n v="5"/>
    <n v="0"/>
    <n v="0"/>
    <n v="2"/>
    <n v="3"/>
    <n v="0.01"/>
    <n v="8"/>
    <n v="1"/>
    <n v="0.50060292259808259"/>
    <n v="0.49939707740191752"/>
    <x v="1"/>
  </r>
  <r>
    <n v="13"/>
    <n v="43"/>
    <n v="4"/>
    <n v="1"/>
    <n v="1"/>
    <n v="12"/>
    <n v="2"/>
    <n v="50"/>
    <n v="11"/>
    <n v="0"/>
    <n v="0.50076669840853394"/>
    <n v="0.49923330159146601"/>
    <x v="1"/>
  </r>
  <r>
    <n v="10"/>
    <n v="35"/>
    <n v="5"/>
    <n v="0"/>
    <n v="2"/>
    <n v="1"/>
    <n v="3"/>
    <n v="0.01"/>
    <n v="4"/>
    <n v="0"/>
    <n v="0.50119543938400724"/>
    <n v="0.49880456061599271"/>
    <x v="1"/>
  </r>
  <r>
    <n v="12"/>
    <n v="38"/>
    <n v="4"/>
    <n v="1"/>
    <n v="3"/>
    <n v="3"/>
    <n v="3"/>
    <n v="0.01"/>
    <n v="4"/>
    <n v="1"/>
    <n v="0.5016116430489963"/>
    <n v="0.49838835695100381"/>
    <x v="1"/>
  </r>
  <r>
    <n v="8"/>
    <n v="28"/>
    <n v="3"/>
    <n v="0"/>
    <n v="3"/>
    <n v="3"/>
    <n v="2"/>
    <n v="25"/>
    <n v="6"/>
    <n v="1"/>
    <n v="0.50279391199860435"/>
    <n v="0.49720608800139571"/>
    <x v="1"/>
  </r>
  <r>
    <n v="15"/>
    <n v="60"/>
    <n v="2"/>
    <n v="0"/>
    <n v="0"/>
    <n v="4"/>
    <n v="0"/>
    <n v="15250"/>
    <n v="4"/>
    <n v="0"/>
    <n v="0.50366170586592107"/>
    <n v="0.49633829413407887"/>
    <x v="1"/>
  </r>
  <r>
    <n v="10"/>
    <n v="35"/>
    <n v="3"/>
    <n v="0"/>
    <n v="3"/>
    <n v="8"/>
    <n v="3"/>
    <n v="0.01"/>
    <n v="6"/>
    <n v="1"/>
    <n v="0.50411430332313723"/>
    <n v="0.49588569667686272"/>
    <x v="1"/>
  </r>
  <r>
    <n v="10"/>
    <n v="38"/>
    <n v="0"/>
    <n v="0"/>
    <n v="1"/>
    <n v="7"/>
    <n v="2"/>
    <n v="500"/>
    <n v="1"/>
    <n v="0"/>
    <n v="0.50433500134683906"/>
    <n v="0.49566499865316088"/>
    <x v="1"/>
  </r>
  <r>
    <n v="10"/>
    <n v="36"/>
    <n v="2"/>
    <n v="0"/>
    <n v="3"/>
    <n v="3"/>
    <n v="3"/>
    <n v="0.01"/>
    <n v="8"/>
    <n v="0"/>
    <n v="0.50507765661928516"/>
    <n v="0.49492234338071489"/>
    <x v="1"/>
  </r>
  <r>
    <n v="9"/>
    <n v="31"/>
    <n v="4"/>
    <n v="0"/>
    <n v="3"/>
    <n v="3"/>
    <n v="3"/>
    <n v="0.01"/>
    <n v="4"/>
    <n v="0"/>
    <n v="0.50522597138199932"/>
    <n v="0.49477402861800063"/>
    <x v="1"/>
  </r>
  <r>
    <n v="13"/>
    <n v="46"/>
    <n v="1"/>
    <n v="1"/>
    <n v="0"/>
    <n v="2"/>
    <n v="2"/>
    <n v="5000"/>
    <n v="4"/>
    <n v="0"/>
    <n v="0.50559494478189881"/>
    <n v="0.49440505521810119"/>
    <x v="1"/>
  </r>
  <r>
    <n v="16"/>
    <n v="63"/>
    <n v="1"/>
    <n v="0"/>
    <n v="3"/>
    <n v="3"/>
    <n v="0"/>
    <n v="6000"/>
    <n v="1"/>
    <n v="0"/>
    <n v="0.50592300054105355"/>
    <n v="0.49407699945894651"/>
    <x v="1"/>
  </r>
  <r>
    <n v="11"/>
    <n v="40"/>
    <n v="4"/>
    <n v="0"/>
    <n v="3"/>
    <n v="3"/>
    <n v="2"/>
    <n v="0.02"/>
    <n v="9"/>
    <n v="0"/>
    <n v="0.50614921166211424"/>
    <n v="0.49385078833788582"/>
    <x v="1"/>
  </r>
  <r>
    <n v="10"/>
    <n v="39"/>
    <n v="2"/>
    <n v="0"/>
    <n v="2"/>
    <n v="1"/>
    <n v="0"/>
    <n v="8500"/>
    <n v="1"/>
    <n v="1"/>
    <n v="0.50617326023232223"/>
    <n v="0.49382673976767782"/>
    <x v="1"/>
  </r>
  <r>
    <n v="12"/>
    <n v="45"/>
    <n v="3"/>
    <n v="0"/>
    <n v="0"/>
    <n v="4"/>
    <n v="3"/>
    <n v="0.01"/>
    <n v="5"/>
    <n v="0"/>
    <n v="0.50620329116105756"/>
    <n v="0.49379670883894239"/>
    <x v="1"/>
  </r>
  <r>
    <n v="10"/>
    <n v="36"/>
    <n v="4"/>
    <n v="0"/>
    <n v="3"/>
    <n v="3"/>
    <n v="2"/>
    <n v="1600"/>
    <n v="9"/>
    <n v="1"/>
    <n v="0.50626014034612621"/>
    <n v="0.49373985965387379"/>
    <x v="1"/>
  </r>
  <r>
    <n v="9"/>
    <n v="33"/>
    <n v="3"/>
    <n v="0"/>
    <n v="1"/>
    <n v="5"/>
    <n v="2"/>
    <n v="2400"/>
    <n v="0"/>
    <n v="1"/>
    <n v="0.50658481526614085"/>
    <n v="0.49341518473385909"/>
    <x v="1"/>
  </r>
  <r>
    <n v="10"/>
    <n v="39"/>
    <n v="0"/>
    <n v="0"/>
    <n v="0"/>
    <n v="4"/>
    <n v="2"/>
    <n v="1000"/>
    <n v="5"/>
    <n v="1"/>
    <n v="0.50666838244596746"/>
    <n v="0.4933316175540326"/>
    <x v="1"/>
  </r>
  <r>
    <n v="13"/>
    <n v="49"/>
    <n v="4"/>
    <n v="0"/>
    <n v="3"/>
    <n v="8"/>
    <n v="1"/>
    <n v="25000"/>
    <n v="4"/>
    <n v="0"/>
    <n v="0.50707662372753481"/>
    <n v="0.49292337627246519"/>
    <x v="1"/>
  </r>
  <r>
    <n v="11"/>
    <n v="36"/>
    <n v="2"/>
    <n v="1"/>
    <n v="3"/>
    <n v="3"/>
    <n v="2"/>
    <n v="1000"/>
    <n v="6"/>
    <n v="1"/>
    <n v="0.50725396092089781"/>
    <n v="0.49274603907910219"/>
    <x v="1"/>
  </r>
  <r>
    <n v="9"/>
    <n v="33"/>
    <n v="3"/>
    <n v="0"/>
    <n v="1"/>
    <n v="7"/>
    <n v="2"/>
    <n v="420"/>
    <n v="8"/>
    <n v="0"/>
    <n v="0.50755679177832791"/>
    <n v="0.49244320822167209"/>
    <x v="1"/>
  </r>
  <r>
    <n v="17"/>
    <n v="59"/>
    <n v="5"/>
    <n v="1"/>
    <n v="1"/>
    <n v="5"/>
    <n v="3"/>
    <n v="0.01"/>
    <n v="5"/>
    <n v="1"/>
    <n v="0.50766400187929994"/>
    <n v="0.4923359981207"/>
    <x v="1"/>
  </r>
  <r>
    <n v="13"/>
    <n v="51"/>
    <n v="1"/>
    <n v="0"/>
    <n v="3"/>
    <n v="3"/>
    <n v="0"/>
    <n v="6000"/>
    <n v="2"/>
    <n v="1"/>
    <n v="0.50786766719404242"/>
    <n v="0.49213233280595758"/>
    <x v="1"/>
  </r>
  <r>
    <n v="8"/>
    <n v="29"/>
    <n v="5"/>
    <n v="0"/>
    <n v="0"/>
    <n v="4"/>
    <n v="2"/>
    <n v="2000"/>
    <n v="12"/>
    <n v="0"/>
    <n v="0.50831850222979535"/>
    <n v="0.49168149777020459"/>
    <x v="1"/>
  </r>
  <r>
    <n v="11"/>
    <n v="39"/>
    <n v="5"/>
    <n v="0"/>
    <n v="3"/>
    <n v="3"/>
    <n v="3"/>
    <n v="0.01"/>
    <n v="8"/>
    <n v="1"/>
    <n v="0.50900487597405841"/>
    <n v="0.49099512402594148"/>
    <x v="1"/>
  </r>
  <r>
    <n v="10"/>
    <n v="36"/>
    <n v="4"/>
    <n v="0"/>
    <n v="2"/>
    <n v="1"/>
    <n v="3"/>
    <n v="0.01"/>
    <n v="5"/>
    <n v="1"/>
    <n v="0.50934087193781186"/>
    <n v="0.49065912806218809"/>
    <x v="1"/>
  </r>
  <r>
    <n v="13"/>
    <n v="48"/>
    <n v="3"/>
    <n v="0"/>
    <n v="3"/>
    <n v="3"/>
    <n v="3"/>
    <n v="0.01"/>
    <n v="8"/>
    <n v="1"/>
    <n v="0.50938604209369198"/>
    <n v="0.49061395790630802"/>
    <x v="1"/>
  </r>
  <r>
    <n v="14"/>
    <n v="56"/>
    <n v="1"/>
    <n v="0"/>
    <n v="1"/>
    <n v="5"/>
    <n v="0"/>
    <n v="6000"/>
    <n v="6"/>
    <n v="1"/>
    <n v="0.50940248742625371"/>
    <n v="0.49059751257374629"/>
    <x v="1"/>
  </r>
  <r>
    <n v="10"/>
    <n v="40"/>
    <n v="0"/>
    <n v="0"/>
    <n v="1"/>
    <n v="7"/>
    <n v="0"/>
    <n v="6000"/>
    <n v="1"/>
    <n v="0"/>
    <n v="0.51019935422727158"/>
    <n v="0.48980064577272853"/>
    <x v="1"/>
  </r>
  <r>
    <n v="10"/>
    <n v="32"/>
    <n v="2"/>
    <n v="1"/>
    <n v="2"/>
    <n v="1"/>
    <n v="3"/>
    <n v="0.01"/>
    <n v="4"/>
    <n v="0"/>
    <n v="0.51020576175712495"/>
    <n v="0.48979423824287499"/>
    <x v="1"/>
  </r>
  <r>
    <n v="12"/>
    <n v="45"/>
    <n v="1"/>
    <n v="0"/>
    <n v="3"/>
    <n v="3"/>
    <n v="3"/>
    <n v="0.01"/>
    <n v="9"/>
    <n v="0"/>
    <n v="0.51171133656463619"/>
    <n v="0.48828866343536381"/>
    <x v="1"/>
  </r>
  <r>
    <n v="14"/>
    <n v="53"/>
    <n v="3"/>
    <n v="0"/>
    <n v="3"/>
    <n v="3"/>
    <n v="2"/>
    <n v="1703.85"/>
    <n v="7"/>
    <n v="1"/>
    <n v="0.51230472430297169"/>
    <n v="0.48769527569702831"/>
    <x v="1"/>
  </r>
  <r>
    <n v="12"/>
    <n v="45"/>
    <n v="1"/>
    <n v="0"/>
    <n v="3"/>
    <n v="3"/>
    <n v="3"/>
    <n v="0.01"/>
    <n v="5"/>
    <n v="0"/>
    <n v="0.51299561172514097"/>
    <n v="0.48700438827485898"/>
    <x v="1"/>
  </r>
  <r>
    <n v="7"/>
    <n v="27"/>
    <n v="1"/>
    <n v="0"/>
    <n v="0"/>
    <n v="2"/>
    <n v="2"/>
    <n v="600"/>
    <n v="4"/>
    <n v="1"/>
    <n v="0.51324526261020531"/>
    <n v="0.48675473738979469"/>
    <x v="1"/>
  </r>
  <r>
    <n v="15"/>
    <n v="59"/>
    <n v="2"/>
    <n v="0"/>
    <n v="3"/>
    <n v="3"/>
    <n v="0"/>
    <n v="6000"/>
    <n v="1"/>
    <n v="1"/>
    <n v="0.51325122630349229"/>
    <n v="0.48674877369650771"/>
    <x v="1"/>
  </r>
  <r>
    <n v="10"/>
    <n v="37"/>
    <n v="3"/>
    <n v="0"/>
    <n v="3"/>
    <n v="3"/>
    <n v="2"/>
    <n v="1105.3900000000001"/>
    <n v="13"/>
    <n v="1"/>
    <n v="0.51363903917307807"/>
    <n v="0.48636096082692187"/>
    <x v="1"/>
  </r>
  <r>
    <n v="11"/>
    <n v="37"/>
    <n v="2"/>
    <n v="1"/>
    <n v="1"/>
    <n v="7"/>
    <n v="2"/>
    <n v="1000"/>
    <n v="4"/>
    <n v="1"/>
    <n v="0.51421367067012713"/>
    <n v="0.48578632932987292"/>
    <x v="1"/>
  </r>
  <r>
    <n v="13"/>
    <n v="51"/>
    <n v="4"/>
    <n v="0"/>
    <n v="0"/>
    <n v="11"/>
    <n v="0"/>
    <n v="6000"/>
    <n v="11"/>
    <n v="0"/>
    <n v="0.51436021247459562"/>
    <n v="0.48563978752540438"/>
    <x v="1"/>
  </r>
  <r>
    <n v="13"/>
    <n v="51"/>
    <n v="2"/>
    <n v="0"/>
    <n v="3"/>
    <n v="3"/>
    <n v="0"/>
    <n v="6000"/>
    <n v="1"/>
    <n v="0"/>
    <n v="0.51476090900162652"/>
    <n v="0.48523909099837348"/>
    <x v="1"/>
  </r>
  <r>
    <n v="15"/>
    <n v="57"/>
    <n v="3"/>
    <n v="0"/>
    <n v="1"/>
    <n v="7"/>
    <n v="3"/>
    <n v="0.01"/>
    <n v="5"/>
    <n v="1"/>
    <n v="0.51515592752612338"/>
    <n v="0.48484407247387662"/>
    <x v="1"/>
  </r>
  <r>
    <n v="9"/>
    <n v="32"/>
    <n v="5"/>
    <n v="0"/>
    <n v="3"/>
    <n v="3"/>
    <n v="2"/>
    <n v="600.01"/>
    <n v="5"/>
    <n v="1"/>
    <n v="0.51527463245940297"/>
    <n v="0.48472536754059697"/>
    <x v="1"/>
  </r>
  <r>
    <n v="16"/>
    <n v="62"/>
    <n v="5"/>
    <n v="0"/>
    <n v="0"/>
    <n v="4"/>
    <n v="2"/>
    <n v="3000"/>
    <n v="16"/>
    <n v="1"/>
    <n v="0.51562623089967241"/>
    <n v="0.48437376910032748"/>
    <x v="1"/>
  </r>
  <r>
    <n v="12"/>
    <n v="47"/>
    <n v="0"/>
    <n v="0"/>
    <n v="1"/>
    <n v="7"/>
    <n v="2"/>
    <n v="500"/>
    <n v="7"/>
    <n v="1"/>
    <n v="0.5159346521440773"/>
    <n v="0.48406534785592259"/>
    <x v="1"/>
  </r>
  <r>
    <n v="10"/>
    <n v="38"/>
    <n v="2"/>
    <n v="0"/>
    <n v="0"/>
    <n v="4"/>
    <n v="3"/>
    <n v="0.01"/>
    <n v="4"/>
    <n v="1"/>
    <n v="0.5164975354734368"/>
    <n v="0.4835024645265632"/>
    <x v="1"/>
  </r>
  <r>
    <n v="15"/>
    <n v="57"/>
    <n v="4"/>
    <n v="0"/>
    <n v="1"/>
    <n v="12"/>
    <n v="2"/>
    <n v="1000"/>
    <n v="5"/>
    <n v="0"/>
    <n v="0.51718558662485381"/>
    <n v="0.48281441337514619"/>
    <x v="1"/>
  </r>
  <r>
    <n v="13"/>
    <n v="44"/>
    <n v="2"/>
    <n v="1"/>
    <n v="3"/>
    <n v="3"/>
    <n v="3"/>
    <n v="0.01"/>
    <n v="5"/>
    <n v="1"/>
    <n v="0.5174634070705042"/>
    <n v="0.48253659292949569"/>
    <x v="1"/>
  </r>
  <r>
    <n v="13"/>
    <n v="44"/>
    <n v="2"/>
    <n v="1"/>
    <n v="3"/>
    <n v="3"/>
    <n v="3"/>
    <n v="0.01"/>
    <n v="5"/>
    <n v="1"/>
    <n v="0.51746340707050442"/>
    <n v="0.48253659292949558"/>
    <x v="1"/>
  </r>
  <r>
    <n v="10"/>
    <n v="32"/>
    <n v="2"/>
    <n v="1"/>
    <n v="3"/>
    <n v="3"/>
    <n v="3"/>
    <n v="0.01"/>
    <n v="7"/>
    <n v="0"/>
    <n v="0.51908501056480671"/>
    <n v="0.48091498943519329"/>
    <x v="1"/>
  </r>
  <r>
    <n v="9"/>
    <n v="35"/>
    <n v="2"/>
    <n v="0"/>
    <n v="0"/>
    <n v="4"/>
    <n v="2"/>
    <n v="50"/>
    <n v="9"/>
    <n v="0"/>
    <n v="0.51966291206560633"/>
    <n v="0.48033708793439372"/>
    <x v="1"/>
  </r>
  <r>
    <n v="10"/>
    <n v="37"/>
    <n v="5"/>
    <n v="0"/>
    <n v="0"/>
    <n v="4"/>
    <n v="3"/>
    <n v="0.01"/>
    <n v="8"/>
    <n v="1"/>
    <n v="0.5198914153019587"/>
    <n v="0.48010858469804141"/>
    <x v="1"/>
  </r>
  <r>
    <n v="10"/>
    <n v="37"/>
    <n v="5"/>
    <n v="0"/>
    <n v="0"/>
    <n v="4"/>
    <n v="3"/>
    <n v="0.01"/>
    <n v="8"/>
    <n v="1"/>
    <n v="0.5198914153019587"/>
    <n v="0.48010858469804141"/>
    <x v="1"/>
  </r>
  <r>
    <n v="10"/>
    <n v="38"/>
    <n v="3"/>
    <n v="0"/>
    <n v="0"/>
    <n v="2"/>
    <n v="3"/>
    <n v="0.01"/>
    <n v="4"/>
    <n v="1"/>
    <n v="0.52032321380185165"/>
    <n v="0.47967678619814841"/>
    <x v="1"/>
  </r>
  <r>
    <n v="13"/>
    <n v="43"/>
    <n v="5"/>
    <n v="1"/>
    <n v="3"/>
    <n v="3"/>
    <n v="3"/>
    <n v="0.01"/>
    <n v="5"/>
    <n v="1"/>
    <n v="0.52213948050468706"/>
    <n v="0.47786051949531289"/>
    <x v="1"/>
  </r>
  <r>
    <n v="12"/>
    <n v="33"/>
    <n v="5"/>
    <n v="2"/>
    <n v="4"/>
    <n v="9"/>
    <n v="3"/>
    <n v="0.01"/>
    <n v="4"/>
    <n v="0"/>
    <n v="0.52216487812368473"/>
    <n v="0.47783512187631533"/>
    <x v="1"/>
  </r>
  <r>
    <n v="14"/>
    <n v="48"/>
    <n v="1"/>
    <n v="2"/>
    <n v="3"/>
    <n v="3"/>
    <n v="1"/>
    <n v="100000"/>
    <n v="1"/>
    <n v="1"/>
    <n v="0.52299034955360468"/>
    <n v="0.47700965044639532"/>
    <x v="1"/>
  </r>
  <r>
    <n v="11"/>
    <n v="40"/>
    <n v="5"/>
    <n v="0"/>
    <n v="3"/>
    <n v="3"/>
    <n v="3"/>
    <n v="0.01"/>
    <n v="9"/>
    <n v="0"/>
    <n v="0.52371018836402405"/>
    <n v="0.47628981163597589"/>
    <x v="1"/>
  </r>
  <r>
    <n v="8"/>
    <n v="27"/>
    <n v="3"/>
    <n v="1"/>
    <n v="0"/>
    <n v="11"/>
    <n v="0"/>
    <n v="13535.88"/>
    <n v="6"/>
    <n v="1"/>
    <n v="0.52381367197222972"/>
    <n v="0.47618632802777022"/>
    <x v="1"/>
  </r>
  <r>
    <n v="8"/>
    <n v="31"/>
    <n v="1"/>
    <n v="0"/>
    <n v="2"/>
    <n v="1"/>
    <n v="2"/>
    <n v="5000"/>
    <n v="1"/>
    <n v="0"/>
    <n v="0.52450469732790694"/>
    <n v="0.47549530267209311"/>
    <x v="1"/>
  </r>
  <r>
    <n v="12"/>
    <n v="46"/>
    <n v="2"/>
    <n v="0"/>
    <n v="3"/>
    <n v="3"/>
    <n v="2"/>
    <n v="50"/>
    <n v="2"/>
    <n v="0"/>
    <n v="0.52453864498852365"/>
    <n v="0.47546135501147629"/>
    <x v="1"/>
  </r>
  <r>
    <n v="10"/>
    <n v="38"/>
    <n v="2"/>
    <n v="0"/>
    <n v="1"/>
    <n v="5"/>
    <n v="3"/>
    <n v="0.01"/>
    <n v="5"/>
    <n v="1"/>
    <n v="0.52464082344778995"/>
    <n v="0.47535917655220999"/>
    <x v="1"/>
  </r>
  <r>
    <n v="11"/>
    <n v="42"/>
    <n v="4"/>
    <n v="0"/>
    <n v="0"/>
    <n v="2"/>
    <n v="3"/>
    <n v="0.01"/>
    <n v="8"/>
    <n v="0"/>
    <n v="0.52484905126216508"/>
    <n v="0.47515094873783498"/>
    <x v="1"/>
  </r>
  <r>
    <n v="15"/>
    <n v="58"/>
    <n v="1"/>
    <n v="0"/>
    <n v="3"/>
    <n v="3"/>
    <n v="3"/>
    <n v="0.01"/>
    <n v="6"/>
    <n v="1"/>
    <n v="0.52543240286795301"/>
    <n v="0.47456759713204699"/>
    <x v="1"/>
  </r>
  <r>
    <n v="9"/>
    <n v="34"/>
    <n v="2"/>
    <n v="0"/>
    <n v="3"/>
    <n v="3"/>
    <n v="2"/>
    <n v="100"/>
    <n v="3"/>
    <n v="0"/>
    <n v="0.52645853497983819"/>
    <n v="0.47354146502016181"/>
    <x v="1"/>
  </r>
  <r>
    <n v="13"/>
    <n v="52"/>
    <n v="2"/>
    <n v="0"/>
    <n v="0"/>
    <n v="2"/>
    <n v="2"/>
    <n v="3000"/>
    <n v="11"/>
    <n v="0"/>
    <n v="0.52709260897071131"/>
    <n v="0.47290739102928869"/>
    <x v="1"/>
  </r>
  <r>
    <n v="13"/>
    <n v="51"/>
    <n v="3"/>
    <n v="0"/>
    <n v="3"/>
    <n v="8"/>
    <n v="0"/>
    <n v="5286.11"/>
    <n v="5"/>
    <n v="0"/>
    <n v="0.52717832151966126"/>
    <n v="0.47282167848033868"/>
    <x v="1"/>
  </r>
  <r>
    <n v="13"/>
    <n v="51"/>
    <n v="2"/>
    <n v="0"/>
    <n v="0"/>
    <n v="11"/>
    <n v="2"/>
    <n v="840"/>
    <n v="5"/>
    <n v="0"/>
    <n v="0.52719783009153609"/>
    <n v="0.47280216990846391"/>
    <x v="1"/>
  </r>
  <r>
    <n v="9"/>
    <n v="37"/>
    <n v="2"/>
    <n v="0"/>
    <n v="0"/>
    <n v="4"/>
    <n v="0"/>
    <n v="6000"/>
    <n v="3"/>
    <n v="1"/>
    <n v="0.52725799105473237"/>
    <n v="0.47274200894526758"/>
    <x v="1"/>
  </r>
  <r>
    <n v="9"/>
    <n v="33"/>
    <n v="3"/>
    <n v="0"/>
    <n v="3"/>
    <n v="3"/>
    <n v="3"/>
    <n v="0.01"/>
    <n v="8"/>
    <n v="0"/>
    <n v="0.52742473180892269"/>
    <n v="0.47257526819107742"/>
    <x v="1"/>
  </r>
  <r>
    <n v="11"/>
    <n v="45"/>
    <n v="3"/>
    <n v="0"/>
    <n v="0"/>
    <n v="2"/>
    <n v="0"/>
    <n v="6053.34"/>
    <n v="9"/>
    <n v="0"/>
    <n v="0.52762781871531461"/>
    <n v="0.47237218128468539"/>
    <x v="1"/>
  </r>
  <r>
    <n v="16"/>
    <n v="66"/>
    <n v="1"/>
    <n v="0"/>
    <n v="0"/>
    <n v="2"/>
    <n v="0"/>
    <n v="6000"/>
    <n v="1"/>
    <n v="1"/>
    <n v="0.52833220341746889"/>
    <n v="0.47166779658253111"/>
    <x v="1"/>
  </r>
  <r>
    <n v="13"/>
    <n v="44"/>
    <n v="0"/>
    <n v="2"/>
    <n v="2"/>
    <n v="1"/>
    <n v="0"/>
    <n v="10000"/>
    <n v="11"/>
    <n v="1"/>
    <n v="0.52933920684620728"/>
    <n v="0.47066079315379272"/>
    <x v="1"/>
  </r>
  <r>
    <n v="16"/>
    <n v="64"/>
    <n v="1"/>
    <n v="0"/>
    <n v="1"/>
    <n v="5"/>
    <n v="2"/>
    <n v="1000"/>
    <n v="13"/>
    <n v="1"/>
    <n v="0.52962885290432515"/>
    <n v="0.4703711470956749"/>
    <x v="1"/>
  </r>
  <r>
    <n v="13"/>
    <n v="54"/>
    <n v="0"/>
    <n v="0"/>
    <n v="2"/>
    <n v="1"/>
    <n v="0"/>
    <n v="6000"/>
    <n v="23"/>
    <n v="1"/>
    <n v="0.52979010428488327"/>
    <n v="0.47020989571511668"/>
    <x v="1"/>
  </r>
  <r>
    <n v="8"/>
    <n v="29"/>
    <n v="5"/>
    <n v="0"/>
    <n v="3"/>
    <n v="3"/>
    <n v="2"/>
    <n v="500"/>
    <n v="9"/>
    <n v="1"/>
    <n v="0.5297980929552113"/>
    <n v="0.4702019070447887"/>
    <x v="1"/>
  </r>
  <r>
    <n v="15"/>
    <n v="60"/>
    <n v="2"/>
    <n v="0"/>
    <n v="3"/>
    <n v="3"/>
    <n v="1"/>
    <n v="20194.13"/>
    <n v="12"/>
    <n v="0"/>
    <n v="0.5300129842742497"/>
    <n v="0.4699870157257503"/>
    <x v="1"/>
  </r>
  <r>
    <n v="9"/>
    <n v="30"/>
    <n v="4"/>
    <n v="1"/>
    <n v="0"/>
    <n v="2"/>
    <n v="2"/>
    <n v="750"/>
    <n v="4"/>
    <n v="0"/>
    <n v="0.53001956681367557"/>
    <n v="0.46998043318632438"/>
    <x v="1"/>
  </r>
  <r>
    <n v="10"/>
    <n v="38"/>
    <n v="3"/>
    <n v="0"/>
    <n v="3"/>
    <n v="3"/>
    <n v="2"/>
    <n v="500"/>
    <n v="9"/>
    <n v="1"/>
    <n v="0.53017801646912999"/>
    <n v="0.46982198353087001"/>
    <x v="1"/>
  </r>
  <r>
    <n v="13"/>
    <n v="49"/>
    <n v="5"/>
    <n v="0"/>
    <n v="3"/>
    <n v="8"/>
    <n v="2"/>
    <n v="3000.01"/>
    <n v="14"/>
    <n v="0"/>
    <n v="0.53026768021490756"/>
    <n v="0.46973231978509239"/>
    <x v="1"/>
  </r>
  <r>
    <n v="10"/>
    <n v="37"/>
    <n v="5"/>
    <n v="0"/>
    <n v="3"/>
    <n v="3"/>
    <n v="2"/>
    <n v="100"/>
    <n v="2"/>
    <n v="1"/>
    <n v="0.53069391300693636"/>
    <n v="0.4693060869930637"/>
    <x v="1"/>
  </r>
  <r>
    <n v="16"/>
    <n v="65"/>
    <n v="1"/>
    <n v="0"/>
    <n v="2"/>
    <n v="6"/>
    <n v="0"/>
    <n v="6053.35"/>
    <n v="7"/>
    <n v="0"/>
    <n v="0.5310319745446398"/>
    <n v="0.4689680254553602"/>
    <x v="1"/>
  </r>
  <r>
    <n v="14"/>
    <n v="54"/>
    <n v="5"/>
    <n v="0"/>
    <n v="1"/>
    <n v="7"/>
    <n v="2"/>
    <n v="100"/>
    <n v="10"/>
    <n v="0"/>
    <n v="0.53141974348159904"/>
    <n v="0.46858025651840091"/>
    <x v="1"/>
  </r>
  <r>
    <n v="12"/>
    <n v="49"/>
    <n v="2"/>
    <n v="0"/>
    <n v="0"/>
    <n v="11"/>
    <n v="0"/>
    <n v="6000"/>
    <n v="12"/>
    <n v="1"/>
    <n v="0.53169135576899595"/>
    <n v="0.4683086442310041"/>
    <x v="1"/>
  </r>
  <r>
    <n v="15"/>
    <n v="54"/>
    <n v="0"/>
    <n v="1"/>
    <n v="3"/>
    <n v="3"/>
    <n v="3"/>
    <n v="0.01"/>
    <n v="8"/>
    <n v="0"/>
    <n v="0.531888073625846"/>
    <n v="0.468111926374154"/>
    <x v="1"/>
  </r>
  <r>
    <n v="15"/>
    <n v="56"/>
    <n v="1"/>
    <n v="1"/>
    <n v="1"/>
    <n v="12"/>
    <n v="0"/>
    <n v="6000"/>
    <n v="5"/>
    <n v="0"/>
    <n v="0.5322264251272526"/>
    <n v="0.46777357487274751"/>
    <x v="1"/>
  </r>
  <r>
    <n v="11"/>
    <n v="37"/>
    <n v="5"/>
    <n v="1"/>
    <n v="0"/>
    <n v="4"/>
    <n v="3"/>
    <n v="0.01"/>
    <n v="8"/>
    <n v="1"/>
    <n v="0.5327945272255088"/>
    <n v="0.4672054727744912"/>
    <x v="1"/>
  </r>
  <r>
    <n v="13"/>
    <n v="50"/>
    <n v="2"/>
    <n v="0"/>
    <n v="3"/>
    <n v="3"/>
    <n v="3"/>
    <n v="0.01"/>
    <n v="5"/>
    <n v="1"/>
    <n v="0.53381044679461964"/>
    <n v="0.46618955320538041"/>
    <x v="1"/>
  </r>
  <r>
    <n v="11"/>
    <n v="43"/>
    <n v="3"/>
    <n v="0"/>
    <n v="2"/>
    <n v="1"/>
    <n v="2"/>
    <n v="1100.01"/>
    <n v="10"/>
    <n v="1"/>
    <n v="0.53403612896896857"/>
    <n v="0.46596387103103148"/>
    <x v="1"/>
  </r>
  <r>
    <n v="6"/>
    <n v="23"/>
    <n v="1"/>
    <n v="0"/>
    <n v="1"/>
    <n v="12"/>
    <n v="2"/>
    <n v="600"/>
    <n v="4"/>
    <n v="0"/>
    <n v="0.5347773613389939"/>
    <n v="0.4652226386610061"/>
    <x v="1"/>
  </r>
  <r>
    <n v="14"/>
    <n v="57"/>
    <n v="1"/>
    <n v="0"/>
    <n v="3"/>
    <n v="3"/>
    <n v="0"/>
    <n v="6000"/>
    <n v="9"/>
    <n v="1"/>
    <n v="0.53489401141875348"/>
    <n v="0.46510598858124652"/>
    <x v="1"/>
  </r>
  <r>
    <n v="15"/>
    <n v="61"/>
    <n v="1"/>
    <n v="0"/>
    <n v="3"/>
    <n v="3"/>
    <n v="0"/>
    <n v="7500"/>
    <n v="4"/>
    <n v="0"/>
    <n v="0.53513947631750636"/>
    <n v="0.46486052368249359"/>
    <x v="1"/>
  </r>
  <r>
    <n v="11"/>
    <n v="44"/>
    <n v="1"/>
    <n v="0"/>
    <n v="0"/>
    <n v="2"/>
    <n v="3"/>
    <n v="0.01"/>
    <n v="8"/>
    <n v="1"/>
    <n v="0.5351713036252691"/>
    <n v="0.4648286963747309"/>
    <x v="1"/>
  </r>
  <r>
    <n v="10"/>
    <n v="38"/>
    <n v="1"/>
    <n v="0"/>
    <n v="3"/>
    <n v="8"/>
    <n v="3"/>
    <n v="0.01"/>
    <n v="7"/>
    <n v="1"/>
    <n v="0.53571118634520776"/>
    <n v="0.46428881365479219"/>
    <x v="1"/>
  </r>
  <r>
    <n v="13"/>
    <n v="51"/>
    <n v="2"/>
    <n v="0"/>
    <n v="2"/>
    <n v="6"/>
    <n v="2"/>
    <n v="158"/>
    <n v="2"/>
    <n v="0"/>
    <n v="0.53575262835837667"/>
    <n v="0.46424737164162339"/>
    <x v="1"/>
  </r>
  <r>
    <n v="8"/>
    <n v="29"/>
    <n v="4"/>
    <n v="0"/>
    <n v="3"/>
    <n v="3"/>
    <n v="3"/>
    <n v="0.01"/>
    <n v="4"/>
    <n v="1"/>
    <n v="0.53600596314319549"/>
    <n v="0.46399403685680451"/>
    <x v="1"/>
  </r>
  <r>
    <n v="8"/>
    <n v="30"/>
    <n v="2"/>
    <n v="0"/>
    <n v="3"/>
    <n v="3"/>
    <n v="3"/>
    <n v="0.01"/>
    <n v="9"/>
    <n v="0"/>
    <n v="0.53629030823523571"/>
    <n v="0.46370969176476429"/>
    <x v="1"/>
  </r>
  <r>
    <n v="12"/>
    <n v="48"/>
    <n v="5"/>
    <n v="0"/>
    <n v="0"/>
    <n v="11"/>
    <n v="0"/>
    <n v="6053.34"/>
    <n v="12"/>
    <n v="0"/>
    <n v="0.53633171745746089"/>
    <n v="0.46366828254253911"/>
    <x v="1"/>
  </r>
  <r>
    <n v="9"/>
    <n v="31"/>
    <n v="3"/>
    <n v="1"/>
    <n v="3"/>
    <n v="3"/>
    <n v="0"/>
    <n v="6000"/>
    <n v="6"/>
    <n v="0"/>
    <n v="0.53638698104896321"/>
    <n v="0.46361301895103679"/>
    <x v="1"/>
  </r>
  <r>
    <n v="8"/>
    <n v="30"/>
    <n v="5"/>
    <n v="0"/>
    <n v="4"/>
    <n v="9"/>
    <n v="0"/>
    <n v="8700"/>
    <n v="2"/>
    <n v="1"/>
    <n v="0.53708907749927326"/>
    <n v="0.46291092250072668"/>
    <x v="1"/>
  </r>
  <r>
    <n v="9"/>
    <n v="33"/>
    <n v="2"/>
    <n v="0"/>
    <n v="4"/>
    <n v="9"/>
    <n v="3"/>
    <n v="0.01"/>
    <n v="4"/>
    <n v="0"/>
    <n v="0.53743191666416434"/>
    <n v="0.46256808333583571"/>
    <x v="1"/>
  </r>
  <r>
    <n v="10"/>
    <n v="39"/>
    <n v="0"/>
    <n v="0"/>
    <n v="3"/>
    <n v="3"/>
    <n v="3"/>
    <n v="0.01"/>
    <n v="5"/>
    <n v="1"/>
    <n v="0.53794747839081403"/>
    <n v="0.46205252160918597"/>
    <x v="1"/>
  </r>
  <r>
    <n v="9"/>
    <n v="33"/>
    <n v="5"/>
    <n v="0"/>
    <n v="1"/>
    <n v="12"/>
    <n v="3"/>
    <n v="0.01"/>
    <n v="8"/>
    <n v="0"/>
    <n v="0.5386650879109206"/>
    <n v="0.4613349120890794"/>
    <x v="1"/>
  </r>
  <r>
    <n v="9"/>
    <n v="35"/>
    <n v="3"/>
    <n v="0"/>
    <n v="0"/>
    <n v="4"/>
    <n v="3"/>
    <n v="0.01"/>
    <n v="4"/>
    <n v="1"/>
    <n v="0.53879981576309977"/>
    <n v="0.46120018423690018"/>
    <x v="1"/>
  </r>
  <r>
    <n v="10"/>
    <n v="39"/>
    <n v="2"/>
    <n v="0"/>
    <n v="3"/>
    <n v="3"/>
    <n v="2"/>
    <n v="3000"/>
    <n v="5"/>
    <n v="1"/>
    <n v="0.5388818962371148"/>
    <n v="0.4611181037628852"/>
    <x v="1"/>
  </r>
  <r>
    <n v="9"/>
    <n v="36"/>
    <n v="3"/>
    <n v="0"/>
    <n v="3"/>
    <n v="3"/>
    <n v="0"/>
    <n v="6000"/>
    <n v="2"/>
    <n v="0"/>
    <n v="0.53900527669059439"/>
    <n v="0.46099472330940572"/>
    <x v="1"/>
  </r>
  <r>
    <n v="12"/>
    <n v="48"/>
    <n v="5"/>
    <n v="0"/>
    <n v="0"/>
    <n v="11"/>
    <n v="0"/>
    <n v="6544.76"/>
    <n v="2"/>
    <n v="0"/>
    <n v="0.53932915194695585"/>
    <n v="0.46067084805304409"/>
    <x v="1"/>
  </r>
  <r>
    <n v="13"/>
    <n v="45"/>
    <n v="5"/>
    <n v="1"/>
    <n v="1"/>
    <n v="5"/>
    <n v="3"/>
    <n v="0.01"/>
    <n v="8"/>
    <n v="0"/>
    <n v="0.53972543957649388"/>
    <n v="0.46027456042350617"/>
    <x v="1"/>
  </r>
  <r>
    <n v="15"/>
    <n v="62"/>
    <n v="1"/>
    <n v="0"/>
    <n v="1"/>
    <n v="7"/>
    <n v="0"/>
    <n v="8400"/>
    <n v="6"/>
    <n v="0"/>
    <n v="0.54042451645306522"/>
    <n v="0.45957548354693478"/>
    <x v="1"/>
  </r>
  <r>
    <n v="8"/>
    <n v="31"/>
    <n v="5"/>
    <n v="0"/>
    <n v="0"/>
    <n v="4"/>
    <n v="2"/>
    <n v="5000"/>
    <n v="1"/>
    <n v="0"/>
    <n v="0.5406416910048103"/>
    <n v="0.4593583089951897"/>
    <x v="1"/>
  </r>
  <r>
    <n v="11"/>
    <n v="44"/>
    <n v="5"/>
    <n v="0"/>
    <n v="1"/>
    <n v="7"/>
    <n v="0"/>
    <n v="7000"/>
    <n v="4"/>
    <n v="0"/>
    <n v="0.54086545808712883"/>
    <n v="0.45913454191287112"/>
    <x v="1"/>
  </r>
  <r>
    <n v="11"/>
    <n v="42"/>
    <n v="3"/>
    <n v="0"/>
    <n v="3"/>
    <n v="3"/>
    <n v="3"/>
    <n v="0.01"/>
    <n v="4"/>
    <n v="1"/>
    <n v="0.54216946115002596"/>
    <n v="0.45783053884997399"/>
    <x v="1"/>
  </r>
  <r>
    <n v="8"/>
    <n v="30"/>
    <n v="3"/>
    <n v="0"/>
    <n v="1"/>
    <n v="12"/>
    <n v="3"/>
    <n v="0.01"/>
    <n v="5"/>
    <n v="1"/>
    <n v="0.5422528200851302"/>
    <n v="0.45774717991486968"/>
    <x v="1"/>
  </r>
  <r>
    <n v="11"/>
    <n v="44"/>
    <n v="2"/>
    <n v="0"/>
    <n v="0"/>
    <n v="10"/>
    <n v="2"/>
    <n v="2500"/>
    <n v="2"/>
    <n v="1"/>
    <n v="0.54259822187559736"/>
    <n v="0.45740177812440258"/>
    <x v="1"/>
  </r>
  <r>
    <n v="9"/>
    <n v="34"/>
    <n v="3"/>
    <n v="0"/>
    <n v="3"/>
    <n v="3"/>
    <n v="3"/>
    <n v="0.01"/>
    <n v="5"/>
    <n v="1"/>
    <n v="0.54335036456237384"/>
    <n v="0.4566496354376261"/>
    <x v="1"/>
  </r>
  <r>
    <n v="15"/>
    <n v="62"/>
    <n v="3"/>
    <n v="0"/>
    <n v="0"/>
    <n v="4"/>
    <n v="0"/>
    <n v="6000"/>
    <n v="5"/>
    <n v="1"/>
    <n v="0.54361776996841171"/>
    <n v="0.45638223003158829"/>
    <x v="1"/>
  </r>
  <r>
    <n v="9"/>
    <n v="34"/>
    <n v="2"/>
    <n v="0"/>
    <n v="3"/>
    <n v="8"/>
    <n v="3"/>
    <n v="0.01"/>
    <n v="5"/>
    <n v="1"/>
    <n v="0.54363439841731487"/>
    <n v="0.45636560158268508"/>
    <x v="1"/>
  </r>
  <r>
    <n v="8"/>
    <n v="31"/>
    <n v="2"/>
    <n v="0"/>
    <n v="1"/>
    <n v="7"/>
    <n v="3"/>
    <n v="0.01"/>
    <n v="5"/>
    <n v="1"/>
    <n v="0.5438468785637629"/>
    <n v="0.45615312143623699"/>
    <x v="1"/>
  </r>
  <r>
    <n v="9"/>
    <n v="36"/>
    <n v="4"/>
    <n v="0"/>
    <n v="0"/>
    <n v="2"/>
    <n v="2"/>
    <n v="420.01"/>
    <n v="10"/>
    <n v="1"/>
    <n v="0.54453432680430269"/>
    <n v="0.45546567319569731"/>
    <x v="1"/>
  </r>
  <r>
    <n v="12"/>
    <n v="47"/>
    <n v="2"/>
    <n v="0"/>
    <n v="3"/>
    <n v="8"/>
    <n v="2"/>
    <n v="3000"/>
    <n v="3"/>
    <n v="0"/>
    <n v="0.54483329764872246"/>
    <n v="0.45516670235127749"/>
    <x v="1"/>
  </r>
  <r>
    <n v="10"/>
    <n v="39"/>
    <n v="3"/>
    <n v="0"/>
    <n v="3"/>
    <n v="3"/>
    <n v="2"/>
    <n v="2000"/>
    <n v="6"/>
    <n v="0"/>
    <n v="0.54549156825124512"/>
    <n v="0.45450843174875488"/>
    <x v="1"/>
  </r>
  <r>
    <n v="12"/>
    <n v="47"/>
    <n v="1"/>
    <n v="0"/>
    <n v="4"/>
    <n v="9"/>
    <n v="2"/>
    <n v="960"/>
    <n v="8"/>
    <n v="0"/>
    <n v="0.54594241205704885"/>
    <n v="0.45405758794295109"/>
    <x v="1"/>
  </r>
  <r>
    <n v="11"/>
    <n v="43"/>
    <n v="4"/>
    <n v="0"/>
    <n v="4"/>
    <n v="9"/>
    <n v="1"/>
    <n v="23042.91"/>
    <n v="8"/>
    <n v="1"/>
    <n v="0.54652163338423987"/>
    <n v="0.45347836661576008"/>
    <x v="1"/>
  </r>
  <r>
    <n v="9"/>
    <n v="35"/>
    <n v="2"/>
    <n v="0"/>
    <n v="3"/>
    <n v="8"/>
    <n v="2"/>
    <n v="680.01"/>
    <n v="5"/>
    <n v="1"/>
    <n v="0.54736983342089562"/>
    <n v="0.45263016657910438"/>
    <x v="1"/>
  </r>
  <r>
    <n v="14"/>
    <n v="55"/>
    <n v="4"/>
    <n v="0"/>
    <n v="1"/>
    <n v="5"/>
    <n v="3"/>
    <n v="0.01"/>
    <n v="10"/>
    <n v="0"/>
    <n v="0.54807836523802567"/>
    <n v="0.45192163476197439"/>
    <x v="1"/>
  </r>
  <r>
    <n v="13"/>
    <n v="51"/>
    <n v="1"/>
    <n v="0"/>
    <n v="3"/>
    <n v="8"/>
    <n v="3"/>
    <n v="0.01"/>
    <n v="7"/>
    <n v="0"/>
    <n v="0.54839718930212245"/>
    <n v="0.45160281069787761"/>
    <x v="1"/>
  </r>
  <r>
    <n v="13"/>
    <n v="51"/>
    <n v="5"/>
    <n v="0"/>
    <n v="0"/>
    <n v="4"/>
    <n v="3"/>
    <n v="0.01"/>
    <n v="5"/>
    <n v="1"/>
    <n v="0.54853292070558823"/>
    <n v="0.45146707929441182"/>
    <x v="1"/>
  </r>
  <r>
    <n v="10"/>
    <n v="35"/>
    <n v="3"/>
    <n v="1"/>
    <n v="0"/>
    <n v="2"/>
    <n v="3"/>
    <n v="0.01"/>
    <n v="5"/>
    <n v="0"/>
    <n v="0.54859783523143024"/>
    <n v="0.4514021647685697"/>
    <x v="1"/>
  </r>
  <r>
    <n v="11"/>
    <n v="42"/>
    <n v="3"/>
    <n v="0"/>
    <n v="3"/>
    <n v="8"/>
    <n v="3"/>
    <n v="0.01"/>
    <n v="5"/>
    <n v="0"/>
    <n v="0.54865596369511338"/>
    <n v="0.45134403630488662"/>
    <x v="1"/>
  </r>
  <r>
    <n v="10"/>
    <n v="40"/>
    <n v="1"/>
    <n v="0"/>
    <n v="2"/>
    <n v="1"/>
    <n v="3"/>
    <n v="0.01"/>
    <n v="8"/>
    <n v="1"/>
    <n v="0.54867031028295321"/>
    <n v="0.45132968971704679"/>
    <x v="1"/>
  </r>
  <r>
    <n v="9"/>
    <n v="35"/>
    <n v="5"/>
    <n v="0"/>
    <n v="0"/>
    <n v="11"/>
    <n v="2"/>
    <n v="100"/>
    <n v="8"/>
    <n v="1"/>
    <n v="0.54914836104203224"/>
    <n v="0.45085163895796782"/>
    <x v="1"/>
  </r>
  <r>
    <n v="10"/>
    <n v="40"/>
    <n v="3"/>
    <n v="0"/>
    <n v="0"/>
    <n v="2"/>
    <n v="3"/>
    <n v="0.01"/>
    <n v="7"/>
    <n v="1"/>
    <n v="0.54929675115608201"/>
    <n v="0.45070324884391788"/>
    <x v="1"/>
  </r>
  <r>
    <n v="8"/>
    <n v="31"/>
    <n v="5"/>
    <n v="0"/>
    <n v="0"/>
    <n v="11"/>
    <n v="2"/>
    <n v="600"/>
    <n v="9"/>
    <n v="1"/>
    <n v="0.54937886576439521"/>
    <n v="0.45062113423560468"/>
    <x v="1"/>
  </r>
  <r>
    <n v="15"/>
    <n v="55"/>
    <n v="2"/>
    <n v="1"/>
    <n v="1"/>
    <n v="5"/>
    <n v="3"/>
    <n v="0.01"/>
    <n v="5"/>
    <n v="1"/>
    <n v="0.54945994036281265"/>
    <n v="0.4505400596371873"/>
    <x v="1"/>
  </r>
  <r>
    <n v="13"/>
    <n v="51"/>
    <n v="4"/>
    <n v="0"/>
    <n v="1"/>
    <n v="5"/>
    <n v="3"/>
    <n v="0.01"/>
    <n v="8"/>
    <n v="0"/>
    <n v="0.54946302847565009"/>
    <n v="0.45053697152435002"/>
    <x v="1"/>
  </r>
  <r>
    <n v="12"/>
    <n v="49"/>
    <n v="1"/>
    <n v="0"/>
    <n v="2"/>
    <n v="0"/>
    <n v="2"/>
    <n v="2000"/>
    <n v="1"/>
    <n v="0"/>
    <n v="0.55124490709929974"/>
    <n v="0.44875509290070031"/>
    <x v="1"/>
  </r>
  <r>
    <n v="13"/>
    <n v="51"/>
    <n v="4"/>
    <n v="0"/>
    <n v="2"/>
    <n v="1"/>
    <n v="3"/>
    <n v="0.01"/>
    <n v="5"/>
    <n v="0"/>
    <n v="0.5520169657708226"/>
    <n v="0.4479830342291774"/>
    <x v="1"/>
  </r>
  <r>
    <n v="8"/>
    <n v="31"/>
    <n v="1"/>
    <n v="0"/>
    <n v="3"/>
    <n v="8"/>
    <n v="3"/>
    <n v="0.01"/>
    <n v="7"/>
    <n v="1"/>
    <n v="0.55213616875034777"/>
    <n v="0.44786383124965218"/>
    <x v="1"/>
  </r>
  <r>
    <n v="8"/>
    <n v="33"/>
    <n v="3"/>
    <n v="0"/>
    <n v="3"/>
    <n v="3"/>
    <n v="0"/>
    <n v="12500"/>
    <n v="1"/>
    <n v="1"/>
    <n v="0.55239348285355361"/>
    <n v="0.44760651714644639"/>
    <x v="1"/>
  </r>
  <r>
    <n v="14"/>
    <n v="59"/>
    <n v="1"/>
    <n v="0"/>
    <n v="1"/>
    <n v="5"/>
    <n v="0"/>
    <n v="9000"/>
    <n v="8"/>
    <n v="1"/>
    <n v="0.55248873566768109"/>
    <n v="0.44751126433231891"/>
    <x v="1"/>
  </r>
  <r>
    <n v="14"/>
    <n v="58"/>
    <n v="2"/>
    <n v="0"/>
    <n v="2"/>
    <n v="1"/>
    <n v="1"/>
    <n v="20268.84"/>
    <n v="3"/>
    <n v="1"/>
    <n v="0.55369389076804865"/>
    <n v="0.44630610923195141"/>
    <x v="1"/>
  </r>
  <r>
    <n v="8"/>
    <n v="28"/>
    <n v="1"/>
    <n v="1"/>
    <n v="0"/>
    <n v="4"/>
    <n v="3"/>
    <n v="0.01"/>
    <n v="8"/>
    <n v="0"/>
    <n v="0.55372747479392559"/>
    <n v="0.44627252520607452"/>
    <x v="1"/>
  </r>
  <r>
    <n v="12"/>
    <n v="47"/>
    <n v="4"/>
    <n v="0"/>
    <n v="1"/>
    <n v="7"/>
    <n v="3"/>
    <n v="0.01"/>
    <n v="5"/>
    <n v="0"/>
    <n v="0.55387928155752442"/>
    <n v="0.44612071844247558"/>
    <x v="1"/>
  </r>
  <r>
    <n v="13"/>
    <n v="51"/>
    <n v="2"/>
    <n v="0"/>
    <n v="3"/>
    <n v="8"/>
    <n v="3"/>
    <n v="0.01"/>
    <n v="9"/>
    <n v="0"/>
    <n v="0.55426767066520433"/>
    <n v="0.44573232933479562"/>
    <x v="1"/>
  </r>
  <r>
    <n v="12"/>
    <n v="44"/>
    <n v="3"/>
    <n v="1"/>
    <n v="0"/>
    <n v="4"/>
    <n v="2"/>
    <n v="1198"/>
    <n v="1"/>
    <n v="0"/>
    <n v="0.55460994202135794"/>
    <n v="0.44539005797864212"/>
    <x v="1"/>
  </r>
  <r>
    <n v="13"/>
    <n v="51"/>
    <n v="3"/>
    <n v="0"/>
    <n v="3"/>
    <n v="3"/>
    <n v="3"/>
    <n v="0.01"/>
    <n v="7"/>
    <n v="0"/>
    <n v="0.55461977663117912"/>
    <n v="0.44538022336882083"/>
    <x v="1"/>
  </r>
  <r>
    <n v="13"/>
    <n v="48"/>
    <n v="2"/>
    <n v="1"/>
    <n v="0"/>
    <n v="11"/>
    <n v="2"/>
    <n v="420.01"/>
    <n v="9"/>
    <n v="1"/>
    <n v="0.55462847173263885"/>
    <n v="0.44537152826736109"/>
    <x v="1"/>
  </r>
  <r>
    <n v="10"/>
    <n v="38"/>
    <n v="5"/>
    <n v="0"/>
    <n v="3"/>
    <n v="3"/>
    <n v="3"/>
    <n v="0.01"/>
    <n v="8"/>
    <n v="0"/>
    <n v="0.55467201958003465"/>
    <n v="0.44532798041996541"/>
    <x v="1"/>
  </r>
  <r>
    <n v="10"/>
    <n v="41"/>
    <n v="3"/>
    <n v="0"/>
    <n v="0"/>
    <n v="4"/>
    <n v="2"/>
    <n v="300"/>
    <n v="9"/>
    <n v="1"/>
    <n v="0.55525276999373496"/>
    <n v="0.44474723000626498"/>
    <x v="1"/>
  </r>
  <r>
    <n v="13"/>
    <n v="51"/>
    <n v="3"/>
    <n v="0"/>
    <n v="3"/>
    <n v="3"/>
    <n v="3"/>
    <n v="0.01"/>
    <n v="5"/>
    <n v="0"/>
    <n v="0.55525454983658129"/>
    <n v="0.44474545016341882"/>
    <x v="1"/>
  </r>
  <r>
    <n v="8"/>
    <n v="32"/>
    <n v="2"/>
    <n v="0"/>
    <n v="3"/>
    <n v="3"/>
    <n v="2"/>
    <n v="3000"/>
    <n v="5"/>
    <n v="1"/>
    <n v="0.55528782494944706"/>
    <n v="0.44471217505055288"/>
    <x v="1"/>
  </r>
  <r>
    <n v="8"/>
    <n v="31"/>
    <n v="4"/>
    <n v="0"/>
    <n v="3"/>
    <n v="3"/>
    <n v="2"/>
    <n v="1300"/>
    <n v="1"/>
    <n v="1"/>
    <n v="0.55536454777450228"/>
    <n v="0.44463545222549772"/>
    <x v="1"/>
  </r>
  <r>
    <n v="9"/>
    <n v="35"/>
    <n v="3"/>
    <n v="0"/>
    <n v="1"/>
    <n v="12"/>
    <n v="3"/>
    <n v="0.01"/>
    <n v="8"/>
    <n v="0"/>
    <n v="0.55544899908985457"/>
    <n v="0.44455100091014538"/>
    <x v="1"/>
  </r>
  <r>
    <n v="9"/>
    <n v="34"/>
    <n v="0"/>
    <n v="1"/>
    <n v="3"/>
    <n v="3"/>
    <n v="0"/>
    <n v="13058.45"/>
    <n v="14"/>
    <n v="1"/>
    <n v="0.55620290920230731"/>
    <n v="0.44379709079769258"/>
    <x v="1"/>
  </r>
  <r>
    <n v="15"/>
    <n v="62"/>
    <n v="1"/>
    <n v="0"/>
    <n v="3"/>
    <n v="8"/>
    <n v="0"/>
    <n v="6105.32"/>
    <n v="7"/>
    <n v="1"/>
    <n v="0.55645890391093744"/>
    <n v="0.44354109608906261"/>
    <x v="1"/>
  </r>
  <r>
    <n v="13"/>
    <n v="51"/>
    <n v="5"/>
    <n v="0"/>
    <n v="2"/>
    <n v="0"/>
    <n v="3"/>
    <n v="0.01"/>
    <n v="5"/>
    <n v="1"/>
    <n v="0.55715815338933095"/>
    <n v="0.44284184661066911"/>
    <x v="1"/>
  </r>
  <r>
    <n v="12"/>
    <n v="48"/>
    <n v="1"/>
    <n v="0"/>
    <n v="3"/>
    <n v="3"/>
    <n v="3"/>
    <n v="0.01"/>
    <n v="7"/>
    <n v="0"/>
    <n v="0.55723424452591841"/>
    <n v="0.44276575547408148"/>
    <x v="1"/>
  </r>
  <r>
    <n v="8"/>
    <n v="33"/>
    <n v="5"/>
    <n v="0"/>
    <n v="0"/>
    <n v="11"/>
    <n v="0"/>
    <n v="6000"/>
    <n v="2"/>
    <n v="0"/>
    <n v="0.5574404276724787"/>
    <n v="0.44255957232752119"/>
    <x v="1"/>
  </r>
  <r>
    <n v="12"/>
    <n v="49"/>
    <n v="1"/>
    <n v="0"/>
    <n v="2"/>
    <n v="6"/>
    <n v="2"/>
    <n v="960"/>
    <n v="7"/>
    <n v="0"/>
    <n v="0.55789021237440772"/>
    <n v="0.44210978762559228"/>
    <x v="1"/>
  </r>
  <r>
    <n v="8"/>
    <n v="34"/>
    <n v="1"/>
    <n v="0"/>
    <n v="0"/>
    <n v="2"/>
    <n v="2"/>
    <n v="50"/>
    <n v="3"/>
    <n v="1"/>
    <n v="0.5579049625105279"/>
    <n v="0.4420950374894721"/>
    <x v="1"/>
  </r>
  <r>
    <n v="10"/>
    <n v="39"/>
    <n v="2"/>
    <n v="0"/>
    <n v="3"/>
    <n v="8"/>
    <n v="3"/>
    <n v="0.01"/>
    <n v="4"/>
    <n v="0"/>
    <n v="0.55809139007617214"/>
    <n v="0.44190860992382791"/>
    <x v="1"/>
  </r>
  <r>
    <n v="13"/>
    <n v="55"/>
    <n v="3"/>
    <n v="0"/>
    <n v="0"/>
    <n v="4"/>
    <n v="0"/>
    <n v="10000"/>
    <n v="5"/>
    <n v="0"/>
    <n v="0.55840412798540795"/>
    <n v="0.44159587201459211"/>
    <x v="1"/>
  </r>
  <r>
    <n v="9"/>
    <n v="37"/>
    <n v="3"/>
    <n v="0"/>
    <n v="0"/>
    <n v="4"/>
    <n v="2"/>
    <n v="600"/>
    <n v="1"/>
    <n v="1"/>
    <n v="0.55841606406769428"/>
    <n v="0.44158393593230583"/>
    <x v="1"/>
  </r>
  <r>
    <n v="10"/>
    <n v="39"/>
    <n v="5"/>
    <n v="0"/>
    <n v="3"/>
    <n v="3"/>
    <n v="2"/>
    <n v="3750"/>
    <n v="4"/>
    <n v="0"/>
    <n v="0.55843827403086743"/>
    <n v="0.44156172596913262"/>
    <x v="1"/>
  </r>
  <r>
    <n v="14"/>
    <n v="56"/>
    <n v="5"/>
    <n v="0"/>
    <n v="0"/>
    <n v="2"/>
    <n v="3"/>
    <n v="0.01"/>
    <n v="9"/>
    <n v="0"/>
    <n v="0.5586728329375894"/>
    <n v="0.4413271670624106"/>
    <x v="1"/>
  </r>
  <r>
    <n v="10"/>
    <n v="41"/>
    <n v="5"/>
    <n v="0"/>
    <n v="3"/>
    <n v="3"/>
    <n v="1"/>
    <n v="51000"/>
    <n v="1"/>
    <n v="1"/>
    <n v="0.55943912329802115"/>
    <n v="0.44056087670197891"/>
    <x v="1"/>
  </r>
  <r>
    <n v="13"/>
    <n v="51"/>
    <n v="4"/>
    <n v="0"/>
    <n v="1"/>
    <n v="12"/>
    <n v="3"/>
    <n v="0.01"/>
    <n v="5"/>
    <n v="0"/>
    <n v="0.55990652552642772"/>
    <n v="0.44009347447357228"/>
    <x v="1"/>
  </r>
  <r>
    <n v="10"/>
    <n v="38"/>
    <n v="5"/>
    <n v="0"/>
    <n v="3"/>
    <n v="8"/>
    <n v="3"/>
    <n v="0.01"/>
    <n v="10"/>
    <n v="0"/>
    <n v="0.56080828569901664"/>
    <n v="0.43919171430098342"/>
    <x v="1"/>
  </r>
  <r>
    <n v="11"/>
    <n v="40"/>
    <n v="1"/>
    <n v="1"/>
    <n v="3"/>
    <n v="3"/>
    <n v="2"/>
    <n v="1000"/>
    <n v="5"/>
    <n v="0"/>
    <n v="0.56087029960934243"/>
    <n v="0.43912970039065757"/>
    <x v="1"/>
  </r>
  <r>
    <n v="9"/>
    <n v="31"/>
    <n v="5"/>
    <n v="1"/>
    <n v="2"/>
    <n v="1"/>
    <n v="2"/>
    <n v="4884.25"/>
    <n v="8"/>
    <n v="0"/>
    <n v="0.56125509852219091"/>
    <n v="0.43874490147780898"/>
    <x v="1"/>
  </r>
  <r>
    <n v="7"/>
    <n v="30"/>
    <n v="0"/>
    <n v="0"/>
    <n v="1"/>
    <n v="5"/>
    <n v="2"/>
    <n v="3040"/>
    <n v="5"/>
    <n v="1"/>
    <n v="0.56141047069901373"/>
    <n v="0.43858952930098632"/>
    <x v="1"/>
  </r>
  <r>
    <n v="17"/>
    <n v="63"/>
    <n v="0"/>
    <n v="2"/>
    <n v="0"/>
    <n v="2"/>
    <n v="0"/>
    <n v="6000"/>
    <n v="1"/>
    <n v="1"/>
    <n v="0.56312665944596629"/>
    <n v="0.43687334055403371"/>
    <x v="1"/>
  </r>
  <r>
    <n v="11"/>
    <n v="44"/>
    <n v="2"/>
    <n v="0"/>
    <n v="1"/>
    <n v="12"/>
    <n v="3"/>
    <n v="0.01"/>
    <n v="5"/>
    <n v="1"/>
    <n v="0.56325792363897431"/>
    <n v="0.43674207636102569"/>
    <x v="1"/>
  </r>
  <r>
    <n v="8"/>
    <n v="31"/>
    <n v="3"/>
    <n v="0"/>
    <n v="3"/>
    <n v="8"/>
    <n v="3"/>
    <n v="0.01"/>
    <n v="8"/>
    <n v="0"/>
    <n v="0.56479000850721095"/>
    <n v="0.43520999149278911"/>
    <x v="1"/>
  </r>
  <r>
    <n v="14"/>
    <n v="51"/>
    <n v="4"/>
    <n v="1"/>
    <n v="1"/>
    <n v="7"/>
    <n v="3"/>
    <n v="0.01"/>
    <n v="8"/>
    <n v="1"/>
    <n v="0.56494091003583535"/>
    <n v="0.4350590899641647"/>
    <x v="1"/>
  </r>
  <r>
    <n v="8"/>
    <n v="32"/>
    <n v="3"/>
    <n v="0"/>
    <n v="1"/>
    <n v="7"/>
    <n v="3"/>
    <n v="0.01"/>
    <n v="5"/>
    <n v="0"/>
    <n v="0.56520534842105397"/>
    <n v="0.43479465157894598"/>
    <x v="1"/>
  </r>
  <r>
    <n v="9"/>
    <n v="39"/>
    <n v="0"/>
    <n v="0"/>
    <n v="3"/>
    <n v="3"/>
    <n v="1"/>
    <n v="30649.41"/>
    <n v="1"/>
    <n v="1"/>
    <n v="0.56550443482728541"/>
    <n v="0.43449556517271459"/>
    <x v="1"/>
  </r>
  <r>
    <n v="12"/>
    <n v="45"/>
    <n v="1"/>
    <n v="1"/>
    <n v="0"/>
    <n v="4"/>
    <n v="3"/>
    <n v="0.01"/>
    <n v="8"/>
    <n v="0"/>
    <n v="0.56557742855344872"/>
    <n v="0.43442257144655122"/>
    <x v="1"/>
  </r>
  <r>
    <n v="8"/>
    <n v="31"/>
    <n v="4"/>
    <n v="0"/>
    <n v="3"/>
    <n v="3"/>
    <n v="3"/>
    <n v="0.01"/>
    <n v="4"/>
    <n v="0"/>
    <n v="0.5657718421488982"/>
    <n v="0.43422815785110191"/>
    <x v="1"/>
  </r>
  <r>
    <n v="15"/>
    <n v="55"/>
    <n v="3"/>
    <n v="1"/>
    <n v="3"/>
    <n v="3"/>
    <n v="3"/>
    <n v="0.01"/>
    <n v="8"/>
    <n v="1"/>
    <n v="0.56630877885011199"/>
    <n v="0.43369122114988801"/>
    <x v="1"/>
  </r>
  <r>
    <n v="13"/>
    <n v="51"/>
    <n v="2"/>
    <n v="1"/>
    <n v="0"/>
    <n v="4"/>
    <n v="0"/>
    <n v="6053.35"/>
    <n v="6"/>
    <n v="0"/>
    <n v="0.56666078637709028"/>
    <n v="0.43333921362290972"/>
    <x v="1"/>
  </r>
  <r>
    <n v="15"/>
    <n v="64"/>
    <n v="0"/>
    <n v="0"/>
    <n v="3"/>
    <n v="3"/>
    <n v="1"/>
    <n v="48069.4"/>
    <n v="8"/>
    <n v="1"/>
    <n v="0.56672764466702286"/>
    <n v="0.43327235533297709"/>
    <x v="1"/>
  </r>
  <r>
    <n v="16"/>
    <n v="66"/>
    <n v="5"/>
    <n v="0"/>
    <n v="2"/>
    <n v="1"/>
    <n v="0"/>
    <n v="6000"/>
    <n v="2"/>
    <n v="0"/>
    <n v="0.5667823529911109"/>
    <n v="0.43321764700888898"/>
    <x v="1"/>
  </r>
  <r>
    <n v="7"/>
    <n v="29"/>
    <n v="4"/>
    <n v="0"/>
    <n v="3"/>
    <n v="3"/>
    <n v="1"/>
    <n v="21000"/>
    <n v="1"/>
    <n v="1"/>
    <n v="0.56708949269652953"/>
    <n v="0.43291050730347042"/>
    <x v="1"/>
  </r>
  <r>
    <n v="12"/>
    <n v="51"/>
    <n v="3"/>
    <n v="0"/>
    <n v="0"/>
    <n v="11"/>
    <n v="0"/>
    <n v="10599.54"/>
    <n v="7"/>
    <n v="0"/>
    <n v="0.56773098800677291"/>
    <n v="0.43226901199322709"/>
    <x v="1"/>
  </r>
  <r>
    <n v="8"/>
    <n v="29"/>
    <n v="1"/>
    <n v="1"/>
    <n v="0"/>
    <n v="11"/>
    <n v="2"/>
    <n v="1690.5"/>
    <n v="4"/>
    <n v="1"/>
    <n v="0.56776733596610596"/>
    <n v="0.43223266403389399"/>
    <x v="1"/>
  </r>
  <r>
    <n v="10"/>
    <n v="36"/>
    <n v="2"/>
    <n v="1"/>
    <n v="0"/>
    <n v="10"/>
    <n v="3"/>
    <n v="0.01"/>
    <n v="5"/>
    <n v="0"/>
    <n v="0.5677786328703246"/>
    <n v="0.4322213671296754"/>
    <x v="1"/>
  </r>
  <r>
    <n v="12"/>
    <n v="51"/>
    <n v="1"/>
    <n v="0"/>
    <n v="3"/>
    <n v="8"/>
    <n v="0"/>
    <n v="19500"/>
    <n v="5"/>
    <n v="1"/>
    <n v="0.56881787027190445"/>
    <n v="0.43118212972809561"/>
    <x v="1"/>
  </r>
  <r>
    <n v="8"/>
    <n v="31"/>
    <n v="5"/>
    <n v="0"/>
    <n v="1"/>
    <n v="12"/>
    <n v="3"/>
    <n v="0.01"/>
    <n v="8"/>
    <n v="1"/>
    <n v="0.56913888440629612"/>
    <n v="0.43086111559370388"/>
    <x v="1"/>
  </r>
  <r>
    <n v="10"/>
    <n v="39"/>
    <n v="5"/>
    <n v="0"/>
    <n v="3"/>
    <n v="3"/>
    <n v="3"/>
    <n v="0.01"/>
    <n v="9"/>
    <n v="1"/>
    <n v="0.56916727792004373"/>
    <n v="0.43083272207995632"/>
    <x v="1"/>
  </r>
  <r>
    <n v="9"/>
    <n v="37"/>
    <n v="2"/>
    <n v="0"/>
    <n v="3"/>
    <n v="3"/>
    <n v="2"/>
    <n v="100"/>
    <n v="9"/>
    <n v="1"/>
    <n v="0.56923815688371904"/>
    <n v="0.43076184311628102"/>
    <x v="1"/>
  </r>
  <r>
    <n v="8"/>
    <n v="33"/>
    <n v="5"/>
    <n v="0"/>
    <n v="0"/>
    <n v="4"/>
    <n v="2"/>
    <n v="1200.01"/>
    <n v="7"/>
    <n v="1"/>
    <n v="0.56995946170543377"/>
    <n v="0.43004053829456618"/>
    <x v="1"/>
  </r>
  <r>
    <n v="12"/>
    <n v="48"/>
    <n v="2"/>
    <n v="0"/>
    <n v="3"/>
    <n v="8"/>
    <n v="3"/>
    <n v="0.01"/>
    <n v="8"/>
    <n v="1"/>
    <n v="0.57013684960139766"/>
    <n v="0.42986315039860229"/>
    <x v="1"/>
  </r>
  <r>
    <n v="12"/>
    <n v="43"/>
    <n v="5"/>
    <n v="1"/>
    <n v="3"/>
    <n v="3"/>
    <n v="2"/>
    <n v="3536.48"/>
    <n v="5"/>
    <n v="0"/>
    <n v="0.57018905456257218"/>
    <n v="0.42981094543742782"/>
    <x v="1"/>
  </r>
  <r>
    <n v="11"/>
    <n v="46"/>
    <n v="0"/>
    <n v="0"/>
    <n v="3"/>
    <n v="3"/>
    <n v="2"/>
    <n v="600"/>
    <n v="5"/>
    <n v="1"/>
    <n v="0.57067442872500462"/>
    <n v="0.42932557127499538"/>
    <x v="1"/>
  </r>
  <r>
    <n v="10"/>
    <n v="39"/>
    <n v="5"/>
    <n v="0"/>
    <n v="3"/>
    <n v="3"/>
    <n v="3"/>
    <n v="0.01"/>
    <n v="4"/>
    <n v="0"/>
    <n v="0.57074215861838185"/>
    <n v="0.4292578413816181"/>
    <x v="1"/>
  </r>
  <r>
    <n v="16"/>
    <n v="61"/>
    <n v="2"/>
    <n v="1"/>
    <n v="4"/>
    <n v="9"/>
    <n v="0"/>
    <n v="6000"/>
    <n v="2"/>
    <n v="1"/>
    <n v="0.57082058808572256"/>
    <n v="0.42917941191427739"/>
    <x v="1"/>
  </r>
  <r>
    <n v="9"/>
    <n v="31"/>
    <n v="3"/>
    <n v="1"/>
    <n v="3"/>
    <n v="3"/>
    <n v="3"/>
    <n v="0.01"/>
    <n v="7"/>
    <n v="0"/>
    <n v="0.57107100446100345"/>
    <n v="0.4289289955389966"/>
    <x v="1"/>
  </r>
  <r>
    <n v="9"/>
    <n v="35"/>
    <n v="5"/>
    <n v="0"/>
    <n v="3"/>
    <n v="3"/>
    <n v="3"/>
    <n v="0.01"/>
    <n v="5"/>
    <n v="0"/>
    <n v="0.57116758474027218"/>
    <n v="0.42883241525972782"/>
    <x v="1"/>
  </r>
  <r>
    <n v="8"/>
    <n v="33"/>
    <n v="4"/>
    <n v="0"/>
    <n v="0"/>
    <n v="2"/>
    <n v="3"/>
    <n v="0.01"/>
    <n v="5"/>
    <n v="0"/>
    <n v="0.57271068917547741"/>
    <n v="0.42728931082452259"/>
    <x v="1"/>
  </r>
  <r>
    <n v="13"/>
    <n v="50"/>
    <n v="2"/>
    <n v="1"/>
    <n v="3"/>
    <n v="3"/>
    <n v="0"/>
    <n v="6000"/>
    <n v="2"/>
    <n v="0"/>
    <n v="0.57274933994995103"/>
    <n v="0.42725066005004902"/>
    <x v="1"/>
  </r>
  <r>
    <n v="13"/>
    <n v="53"/>
    <n v="3"/>
    <n v="0"/>
    <n v="0"/>
    <n v="11"/>
    <n v="3"/>
    <n v="0.01"/>
    <n v="10"/>
    <n v="1"/>
    <n v="0.57309450643539928"/>
    <n v="0.42690549356460072"/>
    <x v="1"/>
  </r>
  <r>
    <n v="13"/>
    <n v="49"/>
    <n v="1"/>
    <n v="1"/>
    <n v="3"/>
    <n v="3"/>
    <n v="2"/>
    <n v="500"/>
    <n v="9"/>
    <n v="0"/>
    <n v="0.57309509315337259"/>
    <n v="0.42690490684662741"/>
    <x v="1"/>
  </r>
  <r>
    <n v="14"/>
    <n v="58"/>
    <n v="4"/>
    <n v="0"/>
    <n v="0"/>
    <n v="4"/>
    <n v="2"/>
    <n v="3000"/>
    <n v="7"/>
    <n v="0"/>
    <n v="0.5731038673476363"/>
    <n v="0.4268961326523637"/>
    <x v="1"/>
  </r>
  <r>
    <n v="14"/>
    <n v="58"/>
    <n v="5"/>
    <n v="0"/>
    <n v="1"/>
    <n v="12"/>
    <n v="0"/>
    <n v="7515"/>
    <n v="9"/>
    <n v="0"/>
    <n v="0.57329351273719875"/>
    <n v="0.4267064872628013"/>
    <x v="1"/>
  </r>
  <r>
    <n v="8"/>
    <n v="33"/>
    <n v="1"/>
    <n v="0"/>
    <n v="3"/>
    <n v="3"/>
    <n v="3"/>
    <n v="0.01"/>
    <n v="11"/>
    <n v="1"/>
    <n v="0.57372491225259847"/>
    <n v="0.42627508774740153"/>
    <x v="1"/>
  </r>
  <r>
    <n v="10"/>
    <n v="44"/>
    <n v="3"/>
    <n v="0"/>
    <n v="0"/>
    <n v="2"/>
    <n v="0"/>
    <n v="10000"/>
    <n v="1"/>
    <n v="1"/>
    <n v="0.57397503320550913"/>
    <n v="0.42602496679449092"/>
    <x v="1"/>
  </r>
  <r>
    <n v="12"/>
    <n v="48"/>
    <n v="4"/>
    <n v="0"/>
    <n v="1"/>
    <n v="12"/>
    <n v="3"/>
    <n v="0.01"/>
    <n v="9"/>
    <n v="0"/>
    <n v="0.57415838339443392"/>
    <n v="0.42584161660556608"/>
    <x v="1"/>
  </r>
  <r>
    <n v="8"/>
    <n v="32"/>
    <n v="5"/>
    <n v="0"/>
    <n v="1"/>
    <n v="5"/>
    <n v="3"/>
    <n v="0.01"/>
    <n v="8"/>
    <n v="0"/>
    <n v="0.57446356774545981"/>
    <n v="0.42553643225454019"/>
    <x v="1"/>
  </r>
  <r>
    <n v="14"/>
    <n v="59"/>
    <n v="3"/>
    <n v="0"/>
    <n v="2"/>
    <n v="1"/>
    <n v="1"/>
    <n v="20357.18"/>
    <n v="3"/>
    <n v="0"/>
    <n v="0.57491685960351024"/>
    <n v="0.42508314039648981"/>
    <x v="1"/>
  </r>
  <r>
    <n v="11"/>
    <n v="46"/>
    <n v="2"/>
    <n v="0"/>
    <n v="0"/>
    <n v="4"/>
    <n v="3"/>
    <n v="0.01"/>
    <n v="4"/>
    <n v="0"/>
    <n v="0.57534352918001352"/>
    <n v="0.42465647081998642"/>
    <x v="1"/>
  </r>
  <r>
    <n v="13"/>
    <n v="53"/>
    <n v="5"/>
    <n v="0"/>
    <n v="0"/>
    <n v="11"/>
    <n v="2"/>
    <n v="420"/>
    <n v="9"/>
    <n v="0"/>
    <n v="0.57534429616693616"/>
    <n v="0.42465570383306378"/>
    <x v="1"/>
  </r>
  <r>
    <n v="12"/>
    <n v="46"/>
    <n v="3"/>
    <n v="1"/>
    <n v="3"/>
    <n v="3"/>
    <n v="0"/>
    <n v="12000"/>
    <n v="8"/>
    <n v="0"/>
    <n v="0.57567013917646159"/>
    <n v="0.42432986082353841"/>
    <x v="1"/>
  </r>
  <r>
    <n v="7"/>
    <n v="28"/>
    <n v="5"/>
    <n v="0"/>
    <n v="3"/>
    <n v="3"/>
    <n v="2"/>
    <n v="2000"/>
    <n v="5"/>
    <n v="0"/>
    <n v="0.57581083652784781"/>
    <n v="0.42418916347215219"/>
    <x v="1"/>
  </r>
  <r>
    <n v="10"/>
    <n v="43"/>
    <n v="5"/>
    <n v="0"/>
    <n v="0"/>
    <n v="4"/>
    <n v="0"/>
    <n v="6000"/>
    <n v="2"/>
    <n v="1"/>
    <n v="0.57606933384851677"/>
    <n v="0.42393066615148323"/>
    <x v="1"/>
  </r>
  <r>
    <n v="9"/>
    <n v="40"/>
    <n v="0"/>
    <n v="0"/>
    <n v="3"/>
    <n v="3"/>
    <n v="0"/>
    <n v="13000"/>
    <n v="2"/>
    <n v="0"/>
    <n v="0.57611547676844577"/>
    <n v="0.42388452323155429"/>
    <x v="1"/>
  </r>
  <r>
    <n v="12"/>
    <n v="51"/>
    <n v="0"/>
    <n v="0"/>
    <n v="0"/>
    <n v="4"/>
    <n v="3"/>
    <n v="0.01"/>
    <n v="5"/>
    <n v="1"/>
    <n v="0.5761402809641103"/>
    <n v="0.42385971903588959"/>
    <x v="1"/>
  </r>
  <r>
    <n v="9"/>
    <n v="38"/>
    <n v="2"/>
    <n v="0"/>
    <n v="0"/>
    <n v="4"/>
    <n v="3"/>
    <n v="0.01"/>
    <n v="5"/>
    <n v="1"/>
    <n v="0.57650570279239188"/>
    <n v="0.42349429720760812"/>
    <x v="1"/>
  </r>
  <r>
    <n v="11"/>
    <n v="47"/>
    <n v="2"/>
    <n v="0"/>
    <n v="0"/>
    <n v="4"/>
    <n v="2"/>
    <n v="540"/>
    <n v="11"/>
    <n v="0"/>
    <n v="0.57688123968781935"/>
    <n v="0.42311876031218071"/>
    <x v="1"/>
  </r>
  <r>
    <n v="8"/>
    <n v="32"/>
    <n v="5"/>
    <n v="0"/>
    <n v="3"/>
    <n v="3"/>
    <n v="2"/>
    <n v="520"/>
    <n v="1"/>
    <n v="0"/>
    <n v="0.57691036380379901"/>
    <n v="0.42308963619620099"/>
    <x v="1"/>
  </r>
  <r>
    <n v="16"/>
    <n v="60"/>
    <n v="3"/>
    <n v="1"/>
    <n v="3"/>
    <n v="8"/>
    <n v="2"/>
    <n v="3000"/>
    <n v="2"/>
    <n v="0"/>
    <n v="0.57695142774758068"/>
    <n v="0.42304857225241932"/>
    <x v="1"/>
  </r>
  <r>
    <n v="13"/>
    <n v="48"/>
    <n v="2"/>
    <n v="1"/>
    <n v="3"/>
    <n v="3"/>
    <n v="3"/>
    <n v="0.01"/>
    <n v="5"/>
    <n v="0"/>
    <n v="0.57702596072808376"/>
    <n v="0.42297403927191618"/>
    <x v="1"/>
  </r>
  <r>
    <n v="13"/>
    <n v="54"/>
    <n v="1"/>
    <n v="0"/>
    <n v="1"/>
    <n v="7"/>
    <n v="3"/>
    <n v="0.01"/>
    <n v="8"/>
    <n v="1"/>
    <n v="0.57715218439325255"/>
    <n v="0.42284781560674739"/>
    <x v="1"/>
  </r>
  <r>
    <n v="14"/>
    <n v="58"/>
    <n v="1"/>
    <n v="0"/>
    <n v="1"/>
    <n v="7"/>
    <n v="3"/>
    <n v="0.01"/>
    <n v="5"/>
    <n v="1"/>
    <n v="0.57735557080789457"/>
    <n v="0.42264442919210538"/>
    <x v="1"/>
  </r>
  <r>
    <n v="10"/>
    <n v="36"/>
    <n v="5"/>
    <n v="1"/>
    <n v="1"/>
    <n v="5"/>
    <n v="2"/>
    <n v="250"/>
    <n v="1"/>
    <n v="1"/>
    <n v="0.57771608238983418"/>
    <n v="0.42228391761016582"/>
    <x v="1"/>
  </r>
  <r>
    <n v="15"/>
    <n v="65"/>
    <n v="0"/>
    <n v="0"/>
    <n v="0"/>
    <n v="11"/>
    <n v="0"/>
    <n v="6000"/>
    <n v="6"/>
    <n v="1"/>
    <n v="0.57778085954383296"/>
    <n v="0.42221914045616699"/>
    <x v="1"/>
  </r>
  <r>
    <n v="13"/>
    <n v="51"/>
    <n v="4"/>
    <n v="1"/>
    <n v="0"/>
    <n v="4"/>
    <n v="0"/>
    <n v="12025"/>
    <n v="3"/>
    <n v="0"/>
    <n v="0.57812435125007222"/>
    <n v="0.42187564874992772"/>
    <x v="1"/>
  </r>
  <r>
    <n v="18"/>
    <n v="76"/>
    <n v="3"/>
    <n v="0"/>
    <n v="2"/>
    <n v="0"/>
    <n v="1"/>
    <n v="37000"/>
    <n v="5"/>
    <n v="1"/>
    <n v="0.57814233355721245"/>
    <n v="0.4218576664427876"/>
    <x v="1"/>
  </r>
  <r>
    <n v="10"/>
    <n v="37"/>
    <n v="3"/>
    <n v="1"/>
    <n v="0"/>
    <n v="2"/>
    <n v="3"/>
    <n v="0.01"/>
    <n v="5"/>
    <n v="1"/>
    <n v="0.57819161304399402"/>
    <n v="0.42180838695600598"/>
    <x v="1"/>
  </r>
  <r>
    <n v="11"/>
    <n v="46"/>
    <n v="5"/>
    <n v="0"/>
    <n v="0"/>
    <n v="2"/>
    <n v="2"/>
    <n v="240"/>
    <n v="13"/>
    <n v="0"/>
    <n v="0.57826416986251616"/>
    <n v="0.42173583013748378"/>
    <x v="1"/>
  </r>
  <r>
    <n v="15"/>
    <n v="60"/>
    <n v="0"/>
    <n v="1"/>
    <n v="1"/>
    <n v="7"/>
    <n v="0"/>
    <n v="6000"/>
    <n v="5"/>
    <n v="1"/>
    <n v="0.57835626005224494"/>
    <n v="0.42164373994775511"/>
    <x v="1"/>
  </r>
  <r>
    <n v="11"/>
    <n v="42"/>
    <n v="2"/>
    <n v="1"/>
    <n v="3"/>
    <n v="8"/>
    <n v="0"/>
    <n v="6000.01"/>
    <n v="9"/>
    <n v="0"/>
    <n v="0.57873256490593683"/>
    <n v="0.42126743509406323"/>
    <x v="1"/>
  </r>
  <r>
    <n v="10"/>
    <n v="36"/>
    <n v="1"/>
    <n v="1"/>
    <n v="3"/>
    <n v="8"/>
    <n v="3"/>
    <n v="0.01"/>
    <n v="5"/>
    <n v="0"/>
    <n v="0.57951590835964084"/>
    <n v="0.4204840916403591"/>
    <x v="1"/>
  </r>
  <r>
    <n v="13"/>
    <n v="50"/>
    <n v="0"/>
    <n v="1"/>
    <n v="3"/>
    <n v="3"/>
    <n v="2"/>
    <n v="4550"/>
    <n v="9"/>
    <n v="0"/>
    <n v="0.5797716265358035"/>
    <n v="0.42022837346419639"/>
    <x v="1"/>
  </r>
  <r>
    <n v="8"/>
    <n v="28"/>
    <n v="5"/>
    <n v="1"/>
    <n v="0"/>
    <n v="4"/>
    <n v="3"/>
    <n v="0.01"/>
    <n v="5"/>
    <n v="0"/>
    <n v="0.58049552515969594"/>
    <n v="0.41950447484030412"/>
    <x v="1"/>
  </r>
  <r>
    <n v="12"/>
    <n v="50"/>
    <n v="2"/>
    <n v="0"/>
    <n v="3"/>
    <n v="3"/>
    <n v="2"/>
    <n v="3200"/>
    <n v="6"/>
    <n v="0"/>
    <n v="0.58144601295599596"/>
    <n v="0.41855398704400398"/>
    <x v="1"/>
  </r>
  <r>
    <n v="12"/>
    <n v="52"/>
    <n v="1"/>
    <n v="0"/>
    <n v="3"/>
    <n v="3"/>
    <n v="0"/>
    <n v="9050"/>
    <n v="3"/>
    <n v="0"/>
    <n v="0.58155586753747823"/>
    <n v="0.41844413246252182"/>
    <x v="1"/>
  </r>
  <r>
    <n v="10"/>
    <n v="42"/>
    <n v="0"/>
    <n v="0"/>
    <n v="3"/>
    <n v="3"/>
    <n v="3"/>
    <n v="0.01"/>
    <n v="7"/>
    <n v="1"/>
    <n v="0.58176741679875721"/>
    <n v="0.41823258320124279"/>
    <x v="1"/>
  </r>
  <r>
    <n v="11"/>
    <n v="46"/>
    <n v="2"/>
    <n v="0"/>
    <n v="3"/>
    <n v="3"/>
    <n v="2"/>
    <n v="50.01"/>
    <n v="9"/>
    <n v="0"/>
    <n v="0.58247800493061219"/>
    <n v="0.41752199506938781"/>
    <x v="1"/>
  </r>
  <r>
    <n v="12"/>
    <n v="51"/>
    <n v="1"/>
    <n v="0"/>
    <n v="0"/>
    <n v="4"/>
    <n v="3"/>
    <n v="0.01"/>
    <n v="5"/>
    <n v="1"/>
    <n v="0.58255020773868327"/>
    <n v="0.41744979226131679"/>
    <x v="1"/>
  </r>
  <r>
    <n v="14"/>
    <n v="50"/>
    <n v="1"/>
    <n v="2"/>
    <n v="0"/>
    <n v="4"/>
    <n v="2"/>
    <n v="35"/>
    <n v="3"/>
    <n v="0"/>
    <n v="0.58299926118141487"/>
    <n v="0.41700073881858513"/>
    <x v="1"/>
  </r>
  <r>
    <n v="8"/>
    <n v="33"/>
    <n v="4"/>
    <n v="0"/>
    <n v="3"/>
    <n v="3"/>
    <n v="2"/>
    <n v="3000"/>
    <n v="4"/>
    <n v="1"/>
    <n v="0.58324842509554931"/>
    <n v="0.41675157490445069"/>
    <x v="1"/>
  </r>
  <r>
    <n v="9"/>
    <n v="39"/>
    <n v="3"/>
    <n v="0"/>
    <n v="3"/>
    <n v="3"/>
    <n v="0"/>
    <n v="6000"/>
    <n v="2"/>
    <n v="1"/>
    <n v="0.58342747239620751"/>
    <n v="0.41657252760379249"/>
    <x v="1"/>
  </r>
  <r>
    <n v="17"/>
    <n v="71"/>
    <n v="2"/>
    <n v="0"/>
    <n v="0"/>
    <n v="11"/>
    <n v="2"/>
    <n v="1200"/>
    <n v="5"/>
    <n v="1"/>
    <n v="0.58344366979867646"/>
    <n v="0.4165563302013236"/>
    <x v="1"/>
  </r>
  <r>
    <n v="11"/>
    <n v="49"/>
    <n v="2"/>
    <n v="0"/>
    <n v="0"/>
    <n v="4"/>
    <n v="0"/>
    <n v="6000"/>
    <n v="8"/>
    <n v="0"/>
    <n v="0.58355050085723414"/>
    <n v="0.41644949914276591"/>
    <x v="1"/>
  </r>
  <r>
    <n v="10"/>
    <n v="35"/>
    <n v="5"/>
    <n v="1"/>
    <n v="3"/>
    <n v="3"/>
    <n v="3"/>
    <n v="0.01"/>
    <n v="4"/>
    <n v="0"/>
    <n v="0.58410806254911574"/>
    <n v="0.41589193745088432"/>
    <x v="1"/>
  </r>
  <r>
    <n v="12"/>
    <n v="51"/>
    <n v="0"/>
    <n v="0"/>
    <n v="3"/>
    <n v="3"/>
    <n v="2"/>
    <n v="1500"/>
    <n v="5"/>
    <n v="1"/>
    <n v="0.58426462721149131"/>
    <n v="0.41573537278850869"/>
    <x v="1"/>
  </r>
  <r>
    <n v="10"/>
    <n v="40"/>
    <n v="5"/>
    <n v="0"/>
    <n v="3"/>
    <n v="3"/>
    <n v="3"/>
    <n v="0.01"/>
    <n v="7"/>
    <n v="0"/>
    <n v="0.58448155027912418"/>
    <n v="0.41551844972087582"/>
    <x v="1"/>
  </r>
  <r>
    <n v="8"/>
    <n v="28"/>
    <n v="4"/>
    <n v="1"/>
    <n v="1"/>
    <n v="7"/>
    <n v="3"/>
    <n v="0.01"/>
    <n v="5"/>
    <n v="1"/>
    <n v="0.58501582097670002"/>
    <n v="0.41498417902329993"/>
    <x v="1"/>
  </r>
  <r>
    <n v="13"/>
    <n v="56"/>
    <n v="1"/>
    <n v="0"/>
    <n v="3"/>
    <n v="8"/>
    <n v="0"/>
    <n v="12106.69"/>
    <n v="7"/>
    <n v="0"/>
    <n v="0.58504625967711399"/>
    <n v="0.41495374032288601"/>
    <x v="1"/>
  </r>
  <r>
    <n v="10"/>
    <n v="36"/>
    <n v="2"/>
    <n v="1"/>
    <n v="3"/>
    <n v="8"/>
    <n v="3"/>
    <n v="0.01"/>
    <n v="6"/>
    <n v="0"/>
    <n v="0.58559966186259005"/>
    <n v="0.4144003381374099"/>
    <x v="1"/>
  </r>
  <r>
    <n v="8"/>
    <n v="34"/>
    <n v="4"/>
    <n v="0"/>
    <n v="0"/>
    <n v="2"/>
    <n v="3"/>
    <n v="0.01"/>
    <n v="5"/>
    <n v="1"/>
    <n v="0.58736741148024918"/>
    <n v="0.41263258851975082"/>
    <x v="1"/>
  </r>
  <r>
    <n v="9"/>
    <n v="40"/>
    <n v="1"/>
    <n v="0"/>
    <n v="0"/>
    <n v="4"/>
    <n v="2"/>
    <n v="3000"/>
    <n v="5"/>
    <n v="1"/>
    <n v="0.58750116239572558"/>
    <n v="0.41249883760427442"/>
    <x v="1"/>
  </r>
  <r>
    <n v="8"/>
    <n v="37"/>
    <n v="2"/>
    <n v="0"/>
    <n v="0"/>
    <n v="4"/>
    <n v="0"/>
    <n v="6000"/>
    <n v="2"/>
    <n v="0"/>
    <n v="0.58762148897501154"/>
    <n v="0.41237851102498851"/>
    <x v="1"/>
  </r>
  <r>
    <n v="12"/>
    <n v="51"/>
    <n v="2"/>
    <n v="0"/>
    <n v="0"/>
    <n v="11"/>
    <n v="2"/>
    <n v="600"/>
    <n v="4"/>
    <n v="1"/>
    <n v="0.58765670733616016"/>
    <n v="0.41234329266383979"/>
    <x v="1"/>
  </r>
  <r>
    <n v="8"/>
    <n v="30"/>
    <n v="2"/>
    <n v="1"/>
    <n v="1"/>
    <n v="7"/>
    <n v="2"/>
    <n v="4000"/>
    <n v="8"/>
    <n v="1"/>
    <n v="0.58827266957045921"/>
    <n v="0.41172733042954079"/>
    <x v="1"/>
  </r>
  <r>
    <n v="18"/>
    <n v="74"/>
    <n v="2"/>
    <n v="0"/>
    <n v="3"/>
    <n v="3"/>
    <n v="3"/>
    <n v="0.01"/>
    <n v="8"/>
    <n v="1"/>
    <n v="0.58835738198250365"/>
    <n v="0.41164261801749641"/>
    <x v="1"/>
  </r>
  <r>
    <n v="13"/>
    <n v="54"/>
    <n v="3"/>
    <n v="0"/>
    <n v="3"/>
    <n v="3"/>
    <n v="2"/>
    <n v="2000"/>
    <n v="2"/>
    <n v="1"/>
    <n v="0.58881449166858491"/>
    <n v="0.41118550833141509"/>
    <x v="1"/>
  </r>
  <r>
    <n v="10"/>
    <n v="43"/>
    <n v="2"/>
    <n v="0"/>
    <n v="0"/>
    <n v="4"/>
    <n v="3"/>
    <n v="0.01"/>
    <n v="8"/>
    <n v="0"/>
    <n v="0.58946202471108733"/>
    <n v="0.41053797528891273"/>
    <x v="1"/>
  </r>
  <r>
    <n v="12"/>
    <n v="51"/>
    <n v="1"/>
    <n v="0"/>
    <n v="3"/>
    <n v="3"/>
    <n v="2"/>
    <n v="2000.01"/>
    <n v="8"/>
    <n v="1"/>
    <n v="0.58951159994932345"/>
    <n v="0.41048840005067661"/>
    <x v="1"/>
  </r>
  <r>
    <n v="8"/>
    <n v="34"/>
    <n v="1"/>
    <n v="0"/>
    <n v="3"/>
    <n v="3"/>
    <n v="3"/>
    <n v="0.01"/>
    <n v="7"/>
    <n v="0"/>
    <n v="0.58961619872122695"/>
    <n v="0.41038380127877311"/>
    <x v="1"/>
  </r>
  <r>
    <n v="4"/>
    <n v="19"/>
    <n v="0"/>
    <n v="0"/>
    <n v="3"/>
    <n v="3"/>
    <n v="2"/>
    <n v="5000"/>
    <n v="2"/>
    <n v="0"/>
    <n v="0.5896926163593561"/>
    <n v="0.4103073836406439"/>
    <x v="1"/>
  </r>
  <r>
    <n v="5"/>
    <n v="22"/>
    <n v="4"/>
    <n v="0"/>
    <n v="0"/>
    <n v="11"/>
    <n v="2"/>
    <n v="2564.61"/>
    <n v="5"/>
    <n v="0"/>
    <n v="0.58986799408931645"/>
    <n v="0.41013200591068361"/>
    <x v="1"/>
  </r>
  <r>
    <n v="9"/>
    <n v="38"/>
    <n v="3"/>
    <n v="0"/>
    <n v="3"/>
    <n v="3"/>
    <n v="2"/>
    <n v="3000"/>
    <n v="5"/>
    <n v="0"/>
    <n v="0.59041645396356834"/>
    <n v="0.4095835460364316"/>
    <x v="1"/>
  </r>
  <r>
    <n v="9"/>
    <n v="32"/>
    <n v="5"/>
    <n v="1"/>
    <n v="1"/>
    <n v="7"/>
    <n v="3"/>
    <n v="0.01"/>
    <n v="5"/>
    <n v="1"/>
    <n v="0.59065631952227671"/>
    <n v="0.40934368047772329"/>
    <x v="1"/>
  </r>
  <r>
    <n v="9"/>
    <n v="38"/>
    <n v="2"/>
    <n v="0"/>
    <n v="3"/>
    <n v="8"/>
    <n v="2"/>
    <n v="3300"/>
    <n v="4"/>
    <n v="1"/>
    <n v="0.59088707945018282"/>
    <n v="0.40911292054981718"/>
    <x v="1"/>
  </r>
  <r>
    <n v="11"/>
    <n v="46"/>
    <n v="3"/>
    <n v="0"/>
    <n v="1"/>
    <n v="7"/>
    <n v="3"/>
    <n v="0.01"/>
    <n v="9"/>
    <n v="0"/>
    <n v="0.59108608313703037"/>
    <n v="0.40891391686296957"/>
    <x v="1"/>
  </r>
  <r>
    <n v="11"/>
    <n v="46"/>
    <n v="5"/>
    <n v="0"/>
    <n v="0"/>
    <n v="2"/>
    <n v="3"/>
    <n v="0.01"/>
    <n v="5"/>
    <n v="0"/>
    <n v="0.59153876682744999"/>
    <n v="0.40846123317255001"/>
    <x v="1"/>
  </r>
  <r>
    <n v="13"/>
    <n v="50"/>
    <n v="1"/>
    <n v="1"/>
    <n v="3"/>
    <n v="8"/>
    <n v="2"/>
    <n v="3000"/>
    <n v="14"/>
    <n v="0"/>
    <n v="0.59185950839806001"/>
    <n v="0.40814049160193988"/>
    <x v="1"/>
  </r>
  <r>
    <n v="12"/>
    <n v="51"/>
    <n v="1"/>
    <n v="0"/>
    <n v="0"/>
    <n v="11"/>
    <n v="3"/>
    <n v="0.01"/>
    <n v="5"/>
    <n v="0"/>
    <n v="0.5918642042387845"/>
    <n v="0.4081357957612155"/>
    <x v="1"/>
  </r>
  <r>
    <n v="10"/>
    <n v="36"/>
    <n v="4"/>
    <n v="1"/>
    <n v="3"/>
    <n v="3"/>
    <n v="3"/>
    <n v="0.01"/>
    <n v="5"/>
    <n v="1"/>
    <n v="0.59200172741520474"/>
    <n v="0.40799827258479532"/>
    <x v="1"/>
  </r>
  <r>
    <n v="10"/>
    <n v="42"/>
    <n v="3"/>
    <n v="0"/>
    <n v="1"/>
    <n v="7"/>
    <n v="3"/>
    <n v="0.01"/>
    <n v="8"/>
    <n v="0"/>
    <n v="0.59212664099539025"/>
    <n v="0.40787335900460969"/>
    <x v="1"/>
  </r>
  <r>
    <n v="11"/>
    <n v="41"/>
    <n v="2"/>
    <n v="1"/>
    <n v="3"/>
    <n v="3"/>
    <n v="3"/>
    <n v="0.01"/>
    <n v="5"/>
    <n v="0"/>
    <n v="0.59309950952649559"/>
    <n v="0.40690049047350441"/>
    <x v="1"/>
  </r>
  <r>
    <n v="9"/>
    <n v="33"/>
    <n v="5"/>
    <n v="1"/>
    <n v="1"/>
    <n v="7"/>
    <n v="2"/>
    <n v="500"/>
    <n v="9"/>
    <n v="1"/>
    <n v="0.59312414556036508"/>
    <n v="0.40687585443963492"/>
    <x v="1"/>
  </r>
  <r>
    <n v="10"/>
    <n v="41"/>
    <n v="3"/>
    <n v="0"/>
    <n v="3"/>
    <n v="8"/>
    <n v="3"/>
    <n v="0.01"/>
    <n v="6"/>
    <n v="1"/>
    <n v="0.59326979550044601"/>
    <n v="0.40673020449955399"/>
    <x v="1"/>
  </r>
  <r>
    <n v="8"/>
    <n v="29"/>
    <n v="3"/>
    <n v="1"/>
    <n v="1"/>
    <n v="7"/>
    <n v="3"/>
    <n v="0.01"/>
    <n v="4"/>
    <n v="0"/>
    <n v="0.59352446303670525"/>
    <n v="0.40647553696329469"/>
    <x v="1"/>
  </r>
  <r>
    <n v="12"/>
    <n v="51"/>
    <n v="5"/>
    <n v="0"/>
    <n v="0"/>
    <n v="2"/>
    <n v="2"/>
    <n v="50.01"/>
    <n v="8"/>
    <n v="0"/>
    <n v="0.59376093731526614"/>
    <n v="0.40623906268473392"/>
    <x v="1"/>
  </r>
  <r>
    <n v="12"/>
    <n v="51"/>
    <n v="5"/>
    <n v="0"/>
    <n v="3"/>
    <n v="3"/>
    <n v="0"/>
    <n v="6000"/>
    <n v="2"/>
    <n v="1"/>
    <n v="0.59396940317239433"/>
    <n v="0.40603059682760562"/>
    <x v="1"/>
  </r>
  <r>
    <n v="10"/>
    <n v="31"/>
    <n v="5"/>
    <n v="2"/>
    <n v="3"/>
    <n v="8"/>
    <n v="2"/>
    <n v="600"/>
    <n v="1"/>
    <n v="0"/>
    <n v="0.59405775826498353"/>
    <n v="0.40594224173501647"/>
    <x v="1"/>
  </r>
  <r>
    <n v="9"/>
    <n v="38"/>
    <n v="3"/>
    <n v="0"/>
    <n v="1"/>
    <n v="7"/>
    <n v="3"/>
    <n v="0.01"/>
    <n v="4"/>
    <n v="1"/>
    <n v="0.59409637064162713"/>
    <n v="0.40590362935837282"/>
    <x v="1"/>
  </r>
  <r>
    <n v="8"/>
    <n v="37"/>
    <n v="0"/>
    <n v="0"/>
    <n v="3"/>
    <n v="3"/>
    <n v="0"/>
    <n v="6000"/>
    <n v="2"/>
    <n v="0"/>
    <n v="0.5941916942137766"/>
    <n v="0.40580830578622329"/>
    <x v="1"/>
  </r>
  <r>
    <n v="9"/>
    <n v="38"/>
    <n v="5"/>
    <n v="0"/>
    <n v="2"/>
    <n v="1"/>
    <n v="2"/>
    <n v="2500"/>
    <n v="1"/>
    <n v="0"/>
    <n v="0.59503857799605164"/>
    <n v="0.40496142200394841"/>
    <x v="1"/>
  </r>
  <r>
    <n v="8"/>
    <n v="34"/>
    <n v="5"/>
    <n v="0"/>
    <n v="0"/>
    <n v="4"/>
    <n v="3"/>
    <n v="0.01"/>
    <n v="7"/>
    <n v="0"/>
    <n v="0.59575399717341249"/>
    <n v="0.40424600282658762"/>
    <x v="1"/>
  </r>
  <r>
    <n v="9"/>
    <n v="34"/>
    <n v="3"/>
    <n v="1"/>
    <n v="0"/>
    <n v="4"/>
    <n v="3"/>
    <n v="0.01"/>
    <n v="4"/>
    <n v="0"/>
    <n v="0.59647851249987838"/>
    <n v="0.40352148750012162"/>
    <x v="1"/>
  </r>
  <r>
    <n v="11"/>
    <n v="47"/>
    <n v="2"/>
    <n v="0"/>
    <n v="1"/>
    <n v="5"/>
    <n v="3"/>
    <n v="0.01"/>
    <n v="9"/>
    <n v="0"/>
    <n v="0.59660745515939606"/>
    <n v="0.40339254484060399"/>
    <x v="1"/>
  </r>
  <r>
    <n v="12"/>
    <n v="45"/>
    <n v="5"/>
    <n v="1"/>
    <n v="3"/>
    <n v="3"/>
    <n v="2"/>
    <n v="4250"/>
    <n v="11"/>
    <n v="0"/>
    <n v="0.59727163676768624"/>
    <n v="0.4027283632323137"/>
    <x v="1"/>
  </r>
  <r>
    <n v="9"/>
    <n v="39"/>
    <n v="1"/>
    <n v="0"/>
    <n v="3"/>
    <n v="8"/>
    <n v="2"/>
    <n v="2240"/>
    <n v="11"/>
    <n v="1"/>
    <n v="0.59729752657921131"/>
    <n v="0.40270247342078869"/>
    <x v="1"/>
  </r>
  <r>
    <n v="5"/>
    <n v="22"/>
    <n v="5"/>
    <n v="0"/>
    <n v="0"/>
    <n v="11"/>
    <n v="2"/>
    <n v="131.69999999999999"/>
    <n v="4"/>
    <n v="1"/>
    <n v="0.5974682668818061"/>
    <n v="0.4025317331181939"/>
    <x v="1"/>
  </r>
  <r>
    <n v="12"/>
    <n v="47"/>
    <n v="0"/>
    <n v="1"/>
    <n v="3"/>
    <n v="3"/>
    <n v="2"/>
    <n v="1500"/>
    <n v="5"/>
    <n v="0"/>
    <n v="0.59750640950292255"/>
    <n v="0.40249359049707739"/>
    <x v="1"/>
  </r>
  <r>
    <n v="9"/>
    <n v="39"/>
    <n v="2"/>
    <n v="0"/>
    <n v="1"/>
    <n v="5"/>
    <n v="3"/>
    <n v="0.01"/>
    <n v="8"/>
    <n v="1"/>
    <n v="0.59836993667854288"/>
    <n v="0.40163006332145718"/>
    <x v="1"/>
  </r>
  <r>
    <n v="9"/>
    <n v="38"/>
    <n v="3"/>
    <n v="0"/>
    <n v="2"/>
    <n v="6"/>
    <n v="3"/>
    <n v="0.01"/>
    <n v="7"/>
    <n v="0"/>
    <n v="0.59868906597549665"/>
    <n v="0.40131093402450341"/>
    <x v="1"/>
  </r>
  <r>
    <n v="9"/>
    <n v="39"/>
    <n v="5"/>
    <n v="0"/>
    <n v="0"/>
    <n v="4"/>
    <n v="2"/>
    <n v="2700"/>
    <n v="4"/>
    <n v="1"/>
    <n v="0.59879566546226382"/>
    <n v="0.40120433453773618"/>
    <x v="1"/>
  </r>
  <r>
    <n v="14"/>
    <n v="60"/>
    <n v="2"/>
    <n v="0"/>
    <n v="0"/>
    <n v="4"/>
    <n v="3"/>
    <n v="0.01"/>
    <n v="15"/>
    <n v="0"/>
    <n v="0.59888780167025835"/>
    <n v="0.40111219832974171"/>
    <x v="1"/>
  </r>
  <r>
    <n v="10"/>
    <n v="38"/>
    <n v="2"/>
    <n v="1"/>
    <n v="1"/>
    <n v="7"/>
    <n v="3"/>
    <n v="0.01"/>
    <n v="8"/>
    <n v="0"/>
    <n v="0.59898604996493754"/>
    <n v="0.40101395003506252"/>
    <x v="1"/>
  </r>
  <r>
    <n v="15"/>
    <n v="59"/>
    <n v="2"/>
    <n v="1"/>
    <n v="0"/>
    <n v="4"/>
    <n v="3"/>
    <n v="0.01"/>
    <n v="8"/>
    <n v="1"/>
    <n v="0.59902732554236016"/>
    <n v="0.40097267445763979"/>
    <x v="1"/>
  </r>
  <r>
    <n v="11"/>
    <n v="42"/>
    <n v="2"/>
    <n v="1"/>
    <n v="1"/>
    <n v="7"/>
    <n v="3"/>
    <n v="0.01"/>
    <n v="5"/>
    <n v="0"/>
    <n v="0.59918622770950991"/>
    <n v="0.40081377229049009"/>
    <x v="1"/>
  </r>
  <r>
    <n v="11"/>
    <n v="44"/>
    <n v="1"/>
    <n v="1"/>
    <n v="0"/>
    <n v="4"/>
    <n v="2"/>
    <n v="3000"/>
    <n v="4"/>
    <n v="0"/>
    <n v="0.59956842065168159"/>
    <n v="0.40043157934831841"/>
    <x v="1"/>
  </r>
  <r>
    <n v="12"/>
    <n v="51"/>
    <n v="3"/>
    <n v="0"/>
    <n v="3"/>
    <n v="3"/>
    <n v="2"/>
    <n v="3000"/>
    <n v="15"/>
    <n v="0"/>
    <n v="0.59963512358834081"/>
    <n v="0.40036487641165908"/>
    <x v="1"/>
  </r>
  <r>
    <n v="13"/>
    <n v="50"/>
    <n v="3"/>
    <n v="1"/>
    <n v="1"/>
    <n v="12"/>
    <n v="2"/>
    <n v="500"/>
    <n v="5"/>
    <n v="0"/>
    <n v="0.59987992684552882"/>
    <n v="0.40012007315447118"/>
    <x v="1"/>
  </r>
  <r>
    <n v="8"/>
    <n v="36"/>
    <n v="3"/>
    <n v="0"/>
    <n v="0"/>
    <n v="4"/>
    <n v="2"/>
    <n v="3000"/>
    <n v="8"/>
    <n v="0"/>
    <n v="0.5999882947949482"/>
    <n v="0.40001170520505192"/>
    <x v="1"/>
  </r>
  <r>
    <n v="12"/>
    <n v="51"/>
    <n v="2"/>
    <n v="0"/>
    <n v="1"/>
    <n v="7"/>
    <n v="3"/>
    <n v="0.01"/>
    <n v="4"/>
    <n v="0"/>
    <n v="0.60006397883077534"/>
    <n v="0.39993602116922461"/>
    <x v="1"/>
  </r>
  <r>
    <n v="9"/>
    <n v="39"/>
    <n v="2"/>
    <n v="0"/>
    <n v="3"/>
    <n v="3"/>
    <n v="2"/>
    <n v="300"/>
    <n v="2"/>
    <n v="0"/>
    <n v="0.60055158411746301"/>
    <n v="0.39944841588253699"/>
    <x v="1"/>
  </r>
  <r>
    <n v="12"/>
    <n v="51"/>
    <n v="3"/>
    <n v="0"/>
    <n v="3"/>
    <n v="3"/>
    <n v="2"/>
    <n v="3000"/>
    <n v="12"/>
    <n v="1"/>
    <n v="0.60056029131953292"/>
    <n v="0.39943970868046708"/>
    <x v="1"/>
  </r>
  <r>
    <n v="9"/>
    <n v="36"/>
    <n v="5"/>
    <n v="0"/>
    <n v="4"/>
    <n v="9"/>
    <n v="3"/>
    <n v="0.01"/>
    <n v="5"/>
    <n v="0"/>
    <n v="0.60064455691868424"/>
    <n v="0.39935544308131582"/>
    <x v="1"/>
  </r>
  <r>
    <n v="9"/>
    <n v="39"/>
    <n v="2"/>
    <n v="0"/>
    <n v="0"/>
    <n v="11"/>
    <n v="3"/>
    <n v="0.01"/>
    <n v="4"/>
    <n v="1"/>
    <n v="0.60068738140821809"/>
    <n v="0.39931261859178191"/>
    <x v="1"/>
  </r>
  <r>
    <n v="8"/>
    <n v="37"/>
    <n v="1"/>
    <n v="0"/>
    <n v="3"/>
    <n v="3"/>
    <n v="0"/>
    <n v="6000"/>
    <n v="1"/>
    <n v="0"/>
    <n v="0.60082615786528426"/>
    <n v="0.39917384213471568"/>
    <x v="1"/>
  </r>
  <r>
    <n v="11"/>
    <n v="48"/>
    <n v="0"/>
    <n v="0"/>
    <n v="2"/>
    <n v="1"/>
    <n v="3"/>
    <n v="0.01"/>
    <n v="5"/>
    <n v="0"/>
    <n v="0.60121376044613695"/>
    <n v="0.39878623955386311"/>
    <x v="1"/>
  </r>
  <r>
    <n v="8"/>
    <n v="35"/>
    <n v="2"/>
    <n v="0"/>
    <n v="3"/>
    <n v="3"/>
    <n v="2"/>
    <n v="1200"/>
    <n v="1"/>
    <n v="1"/>
    <n v="0.60123667426818617"/>
    <n v="0.39876332573181378"/>
    <x v="1"/>
  </r>
  <r>
    <n v="9"/>
    <n v="39"/>
    <n v="2"/>
    <n v="0"/>
    <n v="1"/>
    <n v="7"/>
    <n v="3"/>
    <n v="0.01"/>
    <n v="5"/>
    <n v="1"/>
    <n v="0.60192965483962513"/>
    <n v="0.39807034516037493"/>
    <x v="1"/>
  </r>
  <r>
    <n v="13"/>
    <n v="53"/>
    <n v="0"/>
    <n v="1"/>
    <n v="1"/>
    <n v="12"/>
    <n v="0"/>
    <n v="6000"/>
    <n v="2"/>
    <n v="0"/>
    <n v="0.60193851645946728"/>
    <n v="0.39806148354053278"/>
    <x v="1"/>
  </r>
  <r>
    <n v="12"/>
    <n v="46"/>
    <n v="3"/>
    <n v="1"/>
    <n v="1"/>
    <n v="5"/>
    <n v="3"/>
    <n v="0.01"/>
    <n v="5"/>
    <n v="0"/>
    <n v="0.60213702202054598"/>
    <n v="0.39786297797945402"/>
    <x v="1"/>
  </r>
  <r>
    <n v="11"/>
    <n v="42"/>
    <n v="3"/>
    <n v="1"/>
    <n v="3"/>
    <n v="3"/>
    <n v="2"/>
    <n v="3000"/>
    <n v="5"/>
    <n v="0"/>
    <n v="0.60214832129305296"/>
    <n v="0.3978516787069471"/>
    <x v="1"/>
  </r>
  <r>
    <n v="9"/>
    <n v="35"/>
    <n v="2"/>
    <n v="1"/>
    <n v="0"/>
    <n v="10"/>
    <n v="2"/>
    <n v="1200"/>
    <n v="1"/>
    <n v="0"/>
    <n v="0.60241352528779024"/>
    <n v="0.39758647471220981"/>
    <x v="1"/>
  </r>
  <r>
    <n v="12"/>
    <n v="50"/>
    <n v="5"/>
    <n v="0"/>
    <n v="0"/>
    <n v="11"/>
    <n v="3"/>
    <n v="0.01"/>
    <n v="5"/>
    <n v="0"/>
    <n v="0.60269656587750453"/>
    <n v="0.39730343412249552"/>
    <x v="1"/>
  </r>
  <r>
    <n v="10"/>
    <n v="42"/>
    <n v="5"/>
    <n v="0"/>
    <n v="3"/>
    <n v="3"/>
    <n v="2"/>
    <n v="40.01"/>
    <n v="7"/>
    <n v="1"/>
    <n v="0.60287758531740776"/>
    <n v="0.39712241468259218"/>
    <x v="1"/>
  </r>
  <r>
    <n v="8"/>
    <n v="34"/>
    <n v="2"/>
    <n v="0"/>
    <n v="3"/>
    <n v="8"/>
    <n v="3"/>
    <n v="0.01"/>
    <n v="5"/>
    <n v="0"/>
    <n v="0.6031718547315108"/>
    <n v="0.3968281452684892"/>
    <x v="1"/>
  </r>
  <r>
    <n v="8"/>
    <n v="36"/>
    <n v="3"/>
    <n v="0"/>
    <n v="0"/>
    <n v="4"/>
    <n v="2"/>
    <n v="100"/>
    <n v="1"/>
    <n v="1"/>
    <n v="0.60326412498437487"/>
    <n v="0.39673587501562507"/>
    <x v="1"/>
  </r>
  <r>
    <n v="11"/>
    <n v="48"/>
    <n v="4"/>
    <n v="0"/>
    <n v="0"/>
    <n v="2"/>
    <n v="2"/>
    <n v="2665.73"/>
    <n v="2"/>
    <n v="0"/>
    <n v="0.60346497644529784"/>
    <n v="0.39653502355470222"/>
    <x v="1"/>
  </r>
  <r>
    <n v="8"/>
    <n v="36"/>
    <n v="2"/>
    <n v="0"/>
    <n v="0"/>
    <n v="2"/>
    <n v="3"/>
    <n v="0.01"/>
    <n v="4"/>
    <n v="0"/>
    <n v="0.60399050168433743"/>
    <n v="0.39600949831566251"/>
    <x v="1"/>
  </r>
  <r>
    <n v="13"/>
    <n v="51"/>
    <n v="1"/>
    <n v="1"/>
    <n v="3"/>
    <n v="3"/>
    <n v="2"/>
    <n v="2000"/>
    <n v="1"/>
    <n v="0"/>
    <n v="0.60412944005553726"/>
    <n v="0.3958705599444628"/>
    <x v="1"/>
  </r>
  <r>
    <n v="8"/>
    <n v="31"/>
    <n v="2"/>
    <n v="1"/>
    <n v="0"/>
    <n v="4"/>
    <n v="3"/>
    <n v="0.01"/>
    <n v="4"/>
    <n v="0"/>
    <n v="0.60532583248225968"/>
    <n v="0.39467416751774043"/>
    <x v="1"/>
  </r>
  <r>
    <n v="12"/>
    <n v="51"/>
    <n v="5"/>
    <n v="0"/>
    <n v="1"/>
    <n v="5"/>
    <n v="2"/>
    <n v="1000"/>
    <n v="4"/>
    <n v="1"/>
    <n v="0.60540497019493555"/>
    <n v="0.39459502980506439"/>
    <x v="1"/>
  </r>
  <r>
    <n v="11"/>
    <n v="46"/>
    <n v="4"/>
    <n v="0"/>
    <n v="3"/>
    <n v="3"/>
    <n v="3"/>
    <n v="0.01"/>
    <n v="9"/>
    <n v="0"/>
    <n v="0.60579034365737727"/>
    <n v="0.39420965634262278"/>
    <x v="1"/>
  </r>
  <r>
    <n v="8"/>
    <n v="30"/>
    <n v="2"/>
    <n v="1"/>
    <n v="3"/>
    <n v="8"/>
    <n v="2"/>
    <n v="2000"/>
    <n v="1"/>
    <n v="0"/>
    <n v="0.60620458956987988"/>
    <n v="0.39379541043012012"/>
    <x v="1"/>
  </r>
  <r>
    <n v="11"/>
    <n v="47"/>
    <n v="4"/>
    <n v="0"/>
    <n v="1"/>
    <n v="12"/>
    <n v="2"/>
    <n v="3000"/>
    <n v="10"/>
    <n v="1"/>
    <n v="0.60641086842246417"/>
    <n v="0.39358913157753578"/>
    <x v="1"/>
  </r>
  <r>
    <n v="8"/>
    <n v="32"/>
    <n v="2"/>
    <n v="1"/>
    <n v="0"/>
    <n v="2"/>
    <n v="2"/>
    <n v="1200"/>
    <n v="1"/>
    <n v="1"/>
    <n v="0.60702199463645046"/>
    <n v="0.39297800536354949"/>
    <x v="1"/>
  </r>
  <r>
    <n v="10"/>
    <n v="44"/>
    <n v="1"/>
    <n v="0"/>
    <n v="3"/>
    <n v="3"/>
    <n v="2"/>
    <n v="0.02"/>
    <n v="5"/>
    <n v="1"/>
    <n v="0.60712458231398214"/>
    <n v="0.3928754176860178"/>
    <x v="1"/>
  </r>
  <r>
    <n v="8"/>
    <n v="35"/>
    <n v="5"/>
    <n v="0"/>
    <n v="1"/>
    <n v="5"/>
    <n v="2"/>
    <n v="500"/>
    <n v="8"/>
    <n v="0"/>
    <n v="0.60725540261300337"/>
    <n v="0.39274459738699657"/>
    <x v="1"/>
  </r>
  <r>
    <n v="8"/>
    <n v="35"/>
    <n v="2"/>
    <n v="0"/>
    <n v="3"/>
    <n v="8"/>
    <n v="2"/>
    <n v="2000"/>
    <n v="1"/>
    <n v="0"/>
    <n v="0.60749123047015929"/>
    <n v="0.39250876952984071"/>
    <x v="1"/>
  </r>
  <r>
    <n v="8"/>
    <n v="37"/>
    <n v="0"/>
    <n v="0"/>
    <n v="0"/>
    <n v="4"/>
    <n v="3"/>
    <n v="0.01"/>
    <n v="7"/>
    <n v="1"/>
    <n v="0.60749928990302227"/>
    <n v="0.39250071009697768"/>
    <x v="1"/>
  </r>
  <r>
    <n v="11"/>
    <n v="47"/>
    <n v="5"/>
    <n v="0"/>
    <n v="0"/>
    <n v="4"/>
    <n v="3"/>
    <n v="0.01"/>
    <n v="8"/>
    <n v="1"/>
    <n v="0.60769357564390569"/>
    <n v="0.39230642435609431"/>
    <x v="1"/>
  </r>
  <r>
    <n v="6"/>
    <n v="27"/>
    <n v="3"/>
    <n v="0"/>
    <n v="1"/>
    <n v="5"/>
    <n v="3"/>
    <n v="0.01"/>
    <n v="4"/>
    <n v="0"/>
    <n v="0.60806497990761721"/>
    <n v="0.39193502009238268"/>
    <x v="1"/>
  </r>
  <r>
    <n v="11"/>
    <n v="43"/>
    <n v="3"/>
    <n v="1"/>
    <n v="0"/>
    <n v="4"/>
    <n v="3"/>
    <n v="0.01"/>
    <n v="8"/>
    <n v="0"/>
    <n v="0.60821217447199882"/>
    <n v="0.39178782552800118"/>
    <x v="1"/>
  </r>
  <r>
    <n v="6"/>
    <n v="27"/>
    <n v="5"/>
    <n v="0"/>
    <n v="1"/>
    <n v="5"/>
    <n v="2"/>
    <n v="920"/>
    <n v="9"/>
    <n v="1"/>
    <n v="0.60822844445406798"/>
    <n v="0.39177155554593202"/>
    <x v="1"/>
  </r>
  <r>
    <n v="15"/>
    <n v="66"/>
    <n v="1"/>
    <n v="0"/>
    <n v="0"/>
    <n v="2"/>
    <n v="2"/>
    <n v="500"/>
    <n v="12"/>
    <n v="0"/>
    <n v="0.60823886747803457"/>
    <n v="0.39176113252196543"/>
    <x v="1"/>
  </r>
  <r>
    <n v="9"/>
    <n v="38"/>
    <n v="4"/>
    <n v="0"/>
    <n v="3"/>
    <n v="3"/>
    <n v="3"/>
    <n v="0.01"/>
    <n v="4"/>
    <n v="1"/>
    <n v="0.60876403184830341"/>
    <n v="0.39123596815169659"/>
    <x v="1"/>
  </r>
  <r>
    <n v="11"/>
    <n v="51"/>
    <n v="0"/>
    <n v="0"/>
    <n v="1"/>
    <n v="7"/>
    <n v="0"/>
    <n v="8400"/>
    <n v="11"/>
    <n v="0"/>
    <n v="0.60880192562688684"/>
    <n v="0.39119807437311321"/>
    <x v="1"/>
  </r>
  <r>
    <n v="17"/>
    <n v="74"/>
    <n v="1"/>
    <n v="0"/>
    <n v="3"/>
    <n v="8"/>
    <n v="0"/>
    <n v="5329.4"/>
    <n v="21"/>
    <n v="0"/>
    <n v="0.60938150133242996"/>
    <n v="0.39061849866756998"/>
    <x v="1"/>
  </r>
  <r>
    <n v="11"/>
    <n v="48"/>
    <n v="3"/>
    <n v="0"/>
    <n v="0"/>
    <n v="4"/>
    <n v="3"/>
    <n v="0.01"/>
    <n v="7"/>
    <n v="0"/>
    <n v="0.6098022962114189"/>
    <n v="0.39019770378858121"/>
    <x v="1"/>
  </r>
  <r>
    <n v="6"/>
    <n v="28"/>
    <n v="1"/>
    <n v="0"/>
    <n v="3"/>
    <n v="3"/>
    <n v="2"/>
    <n v="3000"/>
    <n v="1"/>
    <n v="0"/>
    <n v="0.61007677655887838"/>
    <n v="0.38992322344112168"/>
    <x v="1"/>
  </r>
  <r>
    <n v="11"/>
    <n v="48"/>
    <n v="3"/>
    <n v="0"/>
    <n v="0"/>
    <n v="4"/>
    <n v="3"/>
    <n v="0.01"/>
    <n v="5"/>
    <n v="0"/>
    <n v="0.61041366672610087"/>
    <n v="0.38958633327389908"/>
    <x v="1"/>
  </r>
  <r>
    <n v="11"/>
    <n v="51"/>
    <n v="2"/>
    <n v="0"/>
    <n v="0"/>
    <n v="4"/>
    <n v="0"/>
    <n v="7470"/>
    <n v="12"/>
    <n v="0"/>
    <n v="0.61068778916095134"/>
    <n v="0.38931221083904871"/>
    <x v="1"/>
  </r>
  <r>
    <n v="8"/>
    <n v="36"/>
    <n v="5"/>
    <n v="0"/>
    <n v="3"/>
    <n v="3"/>
    <n v="0"/>
    <n v="6000"/>
    <n v="3"/>
    <n v="1"/>
    <n v="0.61096605158426143"/>
    <n v="0.38903394841573857"/>
    <x v="1"/>
  </r>
  <r>
    <n v="13"/>
    <n v="58"/>
    <n v="3"/>
    <n v="0"/>
    <n v="2"/>
    <n v="1"/>
    <n v="0"/>
    <n v="8000"/>
    <n v="8"/>
    <n v="1"/>
    <n v="0.6118171448086267"/>
    <n v="0.38818285519137319"/>
    <x v="1"/>
  </r>
  <r>
    <n v="11"/>
    <n v="48"/>
    <n v="2"/>
    <n v="0"/>
    <n v="3"/>
    <n v="3"/>
    <n v="2"/>
    <n v="900"/>
    <n v="5"/>
    <n v="1"/>
    <n v="0.61231936762305939"/>
    <n v="0.38768063237694061"/>
    <x v="1"/>
  </r>
  <r>
    <n v="10"/>
    <n v="44"/>
    <n v="2"/>
    <n v="0"/>
    <n v="3"/>
    <n v="3"/>
    <n v="2"/>
    <n v="3000"/>
    <n v="4"/>
    <n v="0"/>
    <n v="0.61253849573645103"/>
    <n v="0.38746150426354897"/>
    <x v="1"/>
  </r>
  <r>
    <n v="12"/>
    <n v="48"/>
    <n v="4"/>
    <n v="1"/>
    <n v="1"/>
    <n v="12"/>
    <n v="0"/>
    <n v="6000"/>
    <n v="2"/>
    <n v="0"/>
    <n v="0.61339529780825996"/>
    <n v="0.38660470219174009"/>
    <x v="1"/>
  </r>
  <r>
    <n v="12"/>
    <n v="51"/>
    <n v="5"/>
    <n v="0"/>
    <n v="2"/>
    <n v="6"/>
    <n v="2"/>
    <n v="2700"/>
    <n v="2"/>
    <n v="1"/>
    <n v="0.61343701472876688"/>
    <n v="0.38656298527123317"/>
    <x v="1"/>
  </r>
  <r>
    <n v="12"/>
    <n v="50"/>
    <n v="1"/>
    <n v="1"/>
    <n v="2"/>
    <n v="1"/>
    <n v="0"/>
    <n v="10000"/>
    <n v="4"/>
    <n v="0"/>
    <n v="0.61350566025209963"/>
    <n v="0.38649433974790032"/>
    <x v="1"/>
  </r>
  <r>
    <n v="11"/>
    <n v="51"/>
    <n v="1"/>
    <n v="0"/>
    <n v="2"/>
    <n v="1"/>
    <n v="0"/>
    <n v="15000"/>
    <n v="4"/>
    <n v="0"/>
    <n v="0.61359063040610262"/>
    <n v="0.38640936959389738"/>
    <x v="1"/>
  </r>
  <r>
    <n v="14"/>
    <n v="60"/>
    <n v="4"/>
    <n v="0"/>
    <n v="1"/>
    <n v="7"/>
    <n v="2"/>
    <n v="5000"/>
    <n v="1"/>
    <n v="0"/>
    <n v="0.61402294636834309"/>
    <n v="0.38597705363165702"/>
    <x v="1"/>
  </r>
  <r>
    <n v="9"/>
    <n v="40"/>
    <n v="4"/>
    <n v="0"/>
    <n v="1"/>
    <n v="5"/>
    <n v="2"/>
    <n v="265"/>
    <n v="10"/>
    <n v="0"/>
    <n v="0.61406879913689294"/>
    <n v="0.38593120086310712"/>
    <x v="1"/>
  </r>
  <r>
    <n v="6"/>
    <n v="27"/>
    <n v="3"/>
    <n v="0"/>
    <n v="3"/>
    <n v="8"/>
    <n v="2"/>
    <n v="5"/>
    <n v="7"/>
    <n v="0"/>
    <n v="0.61411169794900056"/>
    <n v="0.38588830205099939"/>
    <x v="1"/>
  </r>
  <r>
    <n v="7"/>
    <n v="31"/>
    <n v="4"/>
    <n v="0"/>
    <n v="0"/>
    <n v="11"/>
    <n v="3"/>
    <n v="0.01"/>
    <n v="5"/>
    <n v="1"/>
    <n v="0.6143639318072166"/>
    <n v="0.3856360681927834"/>
    <x v="1"/>
  </r>
  <r>
    <n v="10"/>
    <n v="34"/>
    <n v="4"/>
    <n v="2"/>
    <n v="2"/>
    <n v="1"/>
    <n v="2"/>
    <n v="600"/>
    <n v="1"/>
    <n v="0"/>
    <n v="0.61494179382789382"/>
    <n v="0.38505820617210618"/>
    <x v="1"/>
  </r>
  <r>
    <n v="8"/>
    <n v="34"/>
    <n v="4"/>
    <n v="0"/>
    <n v="3"/>
    <n v="8"/>
    <n v="3"/>
    <n v="0.01"/>
    <n v="5"/>
    <n v="0"/>
    <n v="0.61569230054325774"/>
    <n v="0.3843076994567422"/>
    <x v="1"/>
  </r>
  <r>
    <n v="10"/>
    <n v="39"/>
    <n v="4"/>
    <n v="1"/>
    <n v="1"/>
    <n v="7"/>
    <n v="2"/>
    <n v="0.02"/>
    <n v="5"/>
    <n v="0"/>
    <n v="0.61629800786492184"/>
    <n v="0.38370199213507822"/>
    <x v="1"/>
  </r>
  <r>
    <n v="11"/>
    <n v="51"/>
    <n v="1"/>
    <n v="0"/>
    <n v="1"/>
    <n v="5"/>
    <n v="0"/>
    <n v="6000"/>
    <n v="1"/>
    <n v="0"/>
    <n v="0.61640575567776956"/>
    <n v="0.38359424432223038"/>
    <x v="1"/>
  </r>
  <r>
    <n v="12"/>
    <n v="48"/>
    <n v="2"/>
    <n v="1"/>
    <n v="0"/>
    <n v="4"/>
    <n v="3"/>
    <n v="0.01"/>
    <n v="5"/>
    <n v="0"/>
    <n v="0.61645016685166321"/>
    <n v="0.38354983314833679"/>
    <x v="1"/>
  </r>
  <r>
    <n v="9"/>
    <n v="41"/>
    <n v="0"/>
    <n v="0"/>
    <n v="0"/>
    <n v="11"/>
    <n v="3"/>
    <n v="0.01"/>
    <n v="5"/>
    <n v="1"/>
    <n v="0.61651619890109832"/>
    <n v="0.38348380109890168"/>
    <x v="1"/>
  </r>
  <r>
    <n v="11"/>
    <n v="47"/>
    <n v="2"/>
    <n v="0"/>
    <n v="3"/>
    <n v="8"/>
    <n v="3"/>
    <n v="0.01"/>
    <n v="1"/>
    <n v="0"/>
    <n v="0.61655408738960138"/>
    <n v="0.38344591261039862"/>
    <x v="1"/>
  </r>
  <r>
    <n v="12"/>
    <n v="46"/>
    <n v="1"/>
    <n v="2"/>
    <n v="0"/>
    <n v="4"/>
    <n v="0"/>
    <n v="12000"/>
    <n v="2"/>
    <n v="0"/>
    <n v="0.61676025378263122"/>
    <n v="0.38323974621736878"/>
    <x v="1"/>
  </r>
  <r>
    <n v="13"/>
    <n v="55"/>
    <n v="4"/>
    <n v="0"/>
    <n v="1"/>
    <n v="12"/>
    <n v="3"/>
    <n v="0.01"/>
    <n v="8"/>
    <n v="0"/>
    <n v="0.61718616976381069"/>
    <n v="0.38281383023618931"/>
    <x v="1"/>
  </r>
  <r>
    <n v="8"/>
    <n v="35"/>
    <n v="3"/>
    <n v="0"/>
    <n v="3"/>
    <n v="3"/>
    <n v="3"/>
    <n v="0.01"/>
    <n v="5"/>
    <n v="0"/>
    <n v="0.61721115017648909"/>
    <n v="0.38278884982351091"/>
    <x v="1"/>
  </r>
  <r>
    <n v="8"/>
    <n v="37"/>
    <n v="3"/>
    <n v="0"/>
    <n v="0"/>
    <n v="4"/>
    <n v="2"/>
    <n v="600"/>
    <n v="1"/>
    <n v="1"/>
    <n v="0.61738235105793615"/>
    <n v="0.38261764894206379"/>
    <x v="1"/>
  </r>
  <r>
    <n v="10"/>
    <n v="46"/>
    <n v="2"/>
    <n v="0"/>
    <n v="0"/>
    <n v="2"/>
    <n v="2"/>
    <n v="4884.26"/>
    <n v="8"/>
    <n v="0"/>
    <n v="0.61760681668909012"/>
    <n v="0.38239318331090988"/>
    <x v="1"/>
  </r>
  <r>
    <n v="9"/>
    <n v="36"/>
    <n v="2"/>
    <n v="1"/>
    <n v="1"/>
    <n v="7"/>
    <n v="2"/>
    <n v="2600"/>
    <n v="5"/>
    <n v="1"/>
    <n v="0.61781059864800825"/>
    <n v="0.38218940135199181"/>
    <x v="1"/>
  </r>
  <r>
    <n v="15"/>
    <n v="65"/>
    <n v="1"/>
    <n v="0"/>
    <n v="0"/>
    <n v="11"/>
    <n v="3"/>
    <n v="0.01"/>
    <n v="7"/>
    <n v="1"/>
    <n v="0.6178397591708169"/>
    <n v="0.38216024082918321"/>
    <x v="1"/>
  </r>
  <r>
    <n v="13"/>
    <n v="50"/>
    <n v="4"/>
    <n v="1"/>
    <n v="3"/>
    <n v="3"/>
    <n v="3"/>
    <n v="0.01"/>
    <n v="7"/>
    <n v="0"/>
    <n v="0.61797417922488274"/>
    <n v="0.38202582077511732"/>
    <x v="1"/>
  </r>
  <r>
    <n v="14"/>
    <n v="61"/>
    <n v="4"/>
    <n v="0"/>
    <n v="0"/>
    <n v="4"/>
    <n v="2"/>
    <n v="4000"/>
    <n v="1"/>
    <n v="1"/>
    <n v="0.61801848596548692"/>
    <n v="0.38198151403451308"/>
    <x v="1"/>
  </r>
  <r>
    <n v="8"/>
    <n v="36"/>
    <n v="1"/>
    <n v="0"/>
    <n v="3"/>
    <n v="3"/>
    <n v="3"/>
    <n v="0.01"/>
    <n v="8"/>
    <n v="1"/>
    <n v="0.61808811929141827"/>
    <n v="0.38191188070858167"/>
    <x v="1"/>
  </r>
  <r>
    <n v="13"/>
    <n v="48"/>
    <n v="5"/>
    <n v="2"/>
    <n v="0"/>
    <n v="4"/>
    <n v="1"/>
    <n v="24000"/>
    <n v="2"/>
    <n v="0"/>
    <n v="0.61829957560091553"/>
    <n v="0.38170042439908453"/>
    <x v="1"/>
  </r>
  <r>
    <n v="14"/>
    <n v="55"/>
    <n v="2"/>
    <n v="1"/>
    <n v="3"/>
    <n v="3"/>
    <n v="3"/>
    <n v="0.01"/>
    <n v="8"/>
    <n v="1"/>
    <n v="0.61874394879779149"/>
    <n v="0.38125605120220851"/>
    <x v="1"/>
  </r>
  <r>
    <n v="12"/>
    <n v="51"/>
    <n v="4"/>
    <n v="0"/>
    <n v="1"/>
    <n v="12"/>
    <n v="3"/>
    <n v="0.01"/>
    <n v="5"/>
    <n v="0"/>
    <n v="0.61880964699456253"/>
    <n v="0.38119035300543752"/>
    <x v="1"/>
  </r>
  <r>
    <n v="11"/>
    <n v="51"/>
    <n v="2"/>
    <n v="0"/>
    <n v="1"/>
    <n v="7"/>
    <n v="0"/>
    <n v="17105.32"/>
    <n v="8"/>
    <n v="1"/>
    <n v="0.61886008994746378"/>
    <n v="0.38113991005253622"/>
    <x v="1"/>
  </r>
  <r>
    <n v="8"/>
    <n v="38"/>
    <n v="2"/>
    <n v="0"/>
    <n v="3"/>
    <n v="3"/>
    <n v="0"/>
    <n v="6000.01"/>
    <n v="9"/>
    <n v="1"/>
    <n v="0.61895242925155092"/>
    <n v="0.38104757074844908"/>
    <x v="1"/>
  </r>
  <r>
    <n v="9"/>
    <n v="41"/>
    <n v="3"/>
    <n v="0"/>
    <n v="3"/>
    <n v="8"/>
    <n v="0"/>
    <n v="6000"/>
    <n v="1"/>
    <n v="0"/>
    <n v="0.61914932092983532"/>
    <n v="0.38085067907016468"/>
    <x v="1"/>
  </r>
  <r>
    <n v="9"/>
    <n v="39"/>
    <n v="5"/>
    <n v="0"/>
    <n v="0"/>
    <n v="11"/>
    <n v="3"/>
    <n v="0.01"/>
    <n v="4"/>
    <n v="1"/>
    <n v="0.61945542654612518"/>
    <n v="0.38054457345387482"/>
    <x v="1"/>
  </r>
  <r>
    <n v="11"/>
    <n v="48"/>
    <n v="1"/>
    <n v="0"/>
    <n v="4"/>
    <n v="9"/>
    <n v="2"/>
    <n v="500.01"/>
    <n v="9"/>
    <n v="0"/>
    <n v="0.61954921059864032"/>
    <n v="0.38045078940135968"/>
    <x v="1"/>
  </r>
  <r>
    <n v="8"/>
    <n v="37"/>
    <n v="2"/>
    <n v="0"/>
    <n v="1"/>
    <n v="7"/>
    <n v="2"/>
    <n v="480.01"/>
    <n v="5"/>
    <n v="0"/>
    <n v="0.62060007842608678"/>
    <n v="0.37939992157391328"/>
    <x v="1"/>
  </r>
  <r>
    <n v="15"/>
    <n v="68"/>
    <n v="1"/>
    <n v="0"/>
    <n v="0"/>
    <n v="11"/>
    <n v="0"/>
    <n v="7500"/>
    <n v="26"/>
    <n v="0"/>
    <n v="0.62066585435137667"/>
    <n v="0.37933414564862328"/>
    <x v="1"/>
  </r>
  <r>
    <n v="11"/>
    <n v="51"/>
    <n v="0"/>
    <n v="0"/>
    <n v="3"/>
    <n v="3"/>
    <n v="0"/>
    <n v="6000"/>
    <n v="1"/>
    <n v="0"/>
    <n v="0.62102194867276506"/>
    <n v="0.378978051327235"/>
    <x v="1"/>
  </r>
  <r>
    <n v="12"/>
    <n v="54"/>
    <n v="2"/>
    <n v="0"/>
    <n v="0"/>
    <n v="4"/>
    <n v="2"/>
    <n v="3000"/>
    <n v="1"/>
    <n v="0"/>
    <n v="0.62160577938926376"/>
    <n v="0.37839422061073619"/>
    <x v="1"/>
  </r>
  <r>
    <n v="12"/>
    <n v="53"/>
    <n v="3"/>
    <n v="0"/>
    <n v="0"/>
    <n v="2"/>
    <n v="3"/>
    <n v="0.01"/>
    <n v="4"/>
    <n v="1"/>
    <n v="0.62163867527092098"/>
    <n v="0.37836132472907902"/>
    <x v="1"/>
  </r>
  <r>
    <n v="8"/>
    <n v="39"/>
    <n v="3"/>
    <n v="0"/>
    <n v="0"/>
    <n v="4"/>
    <n v="0"/>
    <n v="6200"/>
    <n v="4"/>
    <n v="0"/>
    <n v="0.62196538458433404"/>
    <n v="0.37803461541566602"/>
    <x v="1"/>
  </r>
  <r>
    <n v="8"/>
    <n v="40"/>
    <n v="1"/>
    <n v="0"/>
    <n v="0"/>
    <n v="2"/>
    <n v="0"/>
    <n v="6000"/>
    <n v="1"/>
    <n v="1"/>
    <n v="0.62214575048448129"/>
    <n v="0.37785424951551871"/>
    <x v="1"/>
  </r>
  <r>
    <n v="11"/>
    <n v="50"/>
    <n v="1"/>
    <n v="0"/>
    <n v="1"/>
    <n v="5"/>
    <n v="2"/>
    <n v="1220"/>
    <n v="9"/>
    <n v="0"/>
    <n v="0.62236308961052855"/>
    <n v="0.37763691038947139"/>
    <x v="1"/>
  </r>
  <r>
    <n v="15"/>
    <n v="68"/>
    <n v="2"/>
    <n v="0"/>
    <n v="0"/>
    <n v="4"/>
    <n v="0"/>
    <n v="9600"/>
    <n v="8"/>
    <n v="0"/>
    <n v="0.62245913488705662"/>
    <n v="0.37754086511294338"/>
    <x v="1"/>
  </r>
  <r>
    <n v="10"/>
    <n v="39"/>
    <n v="2"/>
    <n v="1"/>
    <n v="3"/>
    <n v="3"/>
    <n v="3"/>
    <n v="0.01"/>
    <n v="5"/>
    <n v="0"/>
    <n v="0.62249751159750799"/>
    <n v="0.37750248840249212"/>
    <x v="1"/>
  </r>
  <r>
    <n v="14"/>
    <n v="63"/>
    <n v="0"/>
    <n v="0"/>
    <n v="0"/>
    <n v="4"/>
    <n v="2"/>
    <n v="1200"/>
    <n v="1"/>
    <n v="1"/>
    <n v="0.62264612911997919"/>
    <n v="0.37735387088002081"/>
    <x v="1"/>
  </r>
  <r>
    <n v="12"/>
    <n v="48"/>
    <n v="3"/>
    <n v="1"/>
    <n v="0"/>
    <n v="4"/>
    <n v="3"/>
    <n v="0.01"/>
    <n v="5"/>
    <n v="0"/>
    <n v="0.62264975992021787"/>
    <n v="0.37735024007978207"/>
    <x v="1"/>
  </r>
  <r>
    <n v="9"/>
    <n v="39"/>
    <n v="3"/>
    <n v="0"/>
    <n v="3"/>
    <n v="8"/>
    <n v="3"/>
    <n v="0.01"/>
    <n v="5"/>
    <n v="0"/>
    <n v="0.62296520396682864"/>
    <n v="0.37703479603317142"/>
    <x v="1"/>
  </r>
  <r>
    <n v="10"/>
    <n v="35"/>
    <n v="0"/>
    <n v="2"/>
    <n v="3"/>
    <n v="3"/>
    <n v="3"/>
    <n v="0.01"/>
    <n v="4"/>
    <n v="0"/>
    <n v="0.62331045399331386"/>
    <n v="0.37668954600668608"/>
    <x v="1"/>
  </r>
  <r>
    <n v="8"/>
    <n v="35"/>
    <n v="3"/>
    <n v="0"/>
    <n v="3"/>
    <n v="8"/>
    <n v="3"/>
    <n v="0.01"/>
    <n v="5"/>
    <n v="1"/>
    <n v="0.62367468448092767"/>
    <n v="0.37632531551907228"/>
    <x v="1"/>
  </r>
  <r>
    <n v="12"/>
    <n v="53"/>
    <n v="2"/>
    <n v="0"/>
    <n v="1"/>
    <n v="5"/>
    <n v="3"/>
    <n v="0.01"/>
    <n v="11"/>
    <n v="1"/>
    <n v="0.62389285037414621"/>
    <n v="0.37610714962585379"/>
    <x v="1"/>
  </r>
  <r>
    <n v="8"/>
    <n v="37"/>
    <n v="1"/>
    <n v="0"/>
    <n v="3"/>
    <n v="3"/>
    <n v="2"/>
    <n v="100"/>
    <n v="1"/>
    <n v="1"/>
    <n v="0.62397101324881121"/>
    <n v="0.37602898675118868"/>
    <x v="1"/>
  </r>
  <r>
    <n v="8"/>
    <n v="36"/>
    <n v="2"/>
    <n v="0"/>
    <n v="3"/>
    <n v="3"/>
    <n v="3"/>
    <n v="0.01"/>
    <n v="9"/>
    <n v="0"/>
    <n v="0.62397590795375213"/>
    <n v="0.37602409204624793"/>
    <x v="1"/>
  </r>
  <r>
    <n v="8"/>
    <n v="36"/>
    <n v="5"/>
    <n v="0"/>
    <n v="0"/>
    <n v="4"/>
    <n v="3"/>
    <n v="0.01"/>
    <n v="8"/>
    <n v="1"/>
    <n v="0.62407158805805663"/>
    <n v="0.37592841194194337"/>
    <x v="1"/>
  </r>
  <r>
    <n v="12"/>
    <n v="54"/>
    <n v="0"/>
    <n v="0"/>
    <n v="1"/>
    <n v="12"/>
    <n v="2"/>
    <n v="3000"/>
    <n v="8"/>
    <n v="0"/>
    <n v="0.62412863043427003"/>
    <n v="0.37587136956572997"/>
    <x v="1"/>
  </r>
  <r>
    <n v="9"/>
    <n v="41"/>
    <n v="3"/>
    <n v="0"/>
    <n v="1"/>
    <n v="5"/>
    <n v="2"/>
    <n v="500"/>
    <n v="2"/>
    <n v="1"/>
    <n v="0.62438930171335749"/>
    <n v="0.37561069828664262"/>
    <x v="1"/>
  </r>
  <r>
    <n v="7"/>
    <n v="31"/>
    <n v="4"/>
    <n v="0"/>
    <n v="3"/>
    <n v="3"/>
    <n v="3"/>
    <n v="0.01"/>
    <n v="4"/>
    <n v="1"/>
    <n v="0.62441653001885644"/>
    <n v="0.37558346998114361"/>
    <x v="1"/>
  </r>
  <r>
    <n v="9"/>
    <n v="40"/>
    <n v="2"/>
    <n v="0"/>
    <n v="3"/>
    <n v="3"/>
    <n v="3"/>
    <n v="0.01"/>
    <n v="5"/>
    <n v="0"/>
    <n v="0.62447284142767034"/>
    <n v="0.37552715857232971"/>
    <x v="1"/>
  </r>
  <r>
    <n v="10"/>
    <n v="33"/>
    <n v="5"/>
    <n v="2"/>
    <n v="3"/>
    <n v="3"/>
    <n v="3"/>
    <n v="0.01"/>
    <n v="7"/>
    <n v="0"/>
    <n v="0.62502524260095615"/>
    <n v="0.37497475739904379"/>
    <x v="1"/>
  </r>
  <r>
    <n v="8"/>
    <n v="36"/>
    <n v="2"/>
    <n v="0"/>
    <n v="3"/>
    <n v="3"/>
    <n v="3"/>
    <n v="0.01"/>
    <n v="5"/>
    <n v="0"/>
    <n v="0.62518119188531096"/>
    <n v="0.37481880811468909"/>
    <x v="1"/>
  </r>
  <r>
    <n v="8"/>
    <n v="36"/>
    <n v="2"/>
    <n v="0"/>
    <n v="3"/>
    <n v="3"/>
    <n v="3"/>
    <n v="0.01"/>
    <n v="5"/>
    <n v="1"/>
    <n v="0.62518119188531096"/>
    <n v="0.37481880811468909"/>
    <x v="1"/>
  </r>
  <r>
    <n v="10"/>
    <n v="45"/>
    <n v="3"/>
    <n v="0"/>
    <n v="0"/>
    <n v="4"/>
    <n v="3"/>
    <n v="0.01"/>
    <n v="5"/>
    <n v="0"/>
    <n v="0.6253330093039029"/>
    <n v="0.37466699069609699"/>
    <x v="1"/>
  </r>
  <r>
    <n v="9"/>
    <n v="41"/>
    <n v="2"/>
    <n v="0"/>
    <n v="3"/>
    <n v="3"/>
    <n v="2"/>
    <n v="4000.01"/>
    <n v="9"/>
    <n v="0"/>
    <n v="0.62554557039342096"/>
    <n v="0.37445442960657899"/>
    <x v="1"/>
  </r>
  <r>
    <n v="14"/>
    <n v="63"/>
    <n v="2"/>
    <n v="0"/>
    <n v="0"/>
    <n v="11"/>
    <n v="1"/>
    <n v="20050"/>
    <n v="4"/>
    <n v="0"/>
    <n v="0.62564711467391687"/>
    <n v="0.37435288532608307"/>
    <x v="1"/>
  </r>
  <r>
    <n v="13"/>
    <n v="58"/>
    <n v="3"/>
    <n v="0"/>
    <n v="0"/>
    <n v="4"/>
    <n v="2"/>
    <n v="900"/>
    <n v="8"/>
    <n v="1"/>
    <n v="0.62575270368416502"/>
    <n v="0.37424729631583498"/>
    <x v="2"/>
  </r>
  <r>
    <n v="6"/>
    <n v="28"/>
    <n v="4"/>
    <n v="0"/>
    <n v="1"/>
    <n v="12"/>
    <n v="2"/>
    <n v="3000"/>
    <n v="3"/>
    <n v="0"/>
    <n v="0.62633552043317597"/>
    <n v="0.37366447956682403"/>
    <x v="2"/>
  </r>
  <r>
    <n v="9"/>
    <n v="44"/>
    <n v="2"/>
    <n v="0"/>
    <n v="0"/>
    <n v="4"/>
    <n v="0"/>
    <n v="5173.7299999999996"/>
    <n v="11"/>
    <n v="0"/>
    <n v="0.62747652656115072"/>
    <n v="0.37252347343884928"/>
    <x v="2"/>
  </r>
  <r>
    <n v="9"/>
    <n v="42"/>
    <n v="0"/>
    <n v="0"/>
    <n v="3"/>
    <n v="3"/>
    <n v="2"/>
    <n v="1100"/>
    <n v="9"/>
    <n v="0"/>
    <n v="0.62840851086178606"/>
    <n v="0.37159148913821399"/>
    <x v="2"/>
  </r>
  <r>
    <n v="11"/>
    <n v="51"/>
    <n v="2"/>
    <n v="0"/>
    <n v="3"/>
    <n v="3"/>
    <n v="0"/>
    <n v="12053.35"/>
    <n v="7"/>
    <n v="0"/>
    <n v="0.62925668308587923"/>
    <n v="0.37074331691412082"/>
    <x v="2"/>
  </r>
  <r>
    <n v="11"/>
    <n v="48"/>
    <n v="5"/>
    <n v="0"/>
    <n v="3"/>
    <n v="3"/>
    <n v="2"/>
    <n v="2600"/>
    <n v="7"/>
    <n v="0"/>
    <n v="0.62963943079019813"/>
    <n v="0.37036056920980193"/>
    <x v="2"/>
  </r>
  <r>
    <n v="8"/>
    <n v="32"/>
    <n v="2"/>
    <n v="1"/>
    <n v="1"/>
    <n v="7"/>
    <n v="3"/>
    <n v="0.01"/>
    <n v="5"/>
    <n v="0"/>
    <n v="0.6298300864303763"/>
    <n v="0.3701699135696237"/>
    <x v="2"/>
  </r>
  <r>
    <n v="10"/>
    <n v="44"/>
    <n v="3"/>
    <n v="0"/>
    <n v="3"/>
    <n v="3"/>
    <n v="3"/>
    <n v="0.01"/>
    <n v="5"/>
    <n v="0"/>
    <n v="0.62991630470867255"/>
    <n v="0.37008369529132751"/>
    <x v="2"/>
  </r>
  <r>
    <n v="9"/>
    <n v="40"/>
    <n v="5"/>
    <n v="0"/>
    <n v="2"/>
    <n v="6"/>
    <n v="2"/>
    <n v="40.799999999999997"/>
    <n v="3"/>
    <n v="1"/>
    <n v="0.63042049147149437"/>
    <n v="0.36957950852850557"/>
    <x v="2"/>
  </r>
  <r>
    <n v="7"/>
    <n v="30"/>
    <n v="5"/>
    <n v="0"/>
    <n v="4"/>
    <n v="9"/>
    <n v="3"/>
    <n v="0.01"/>
    <n v="5"/>
    <n v="0"/>
    <n v="0.6305418748066991"/>
    <n v="0.3694581251933009"/>
    <x v="2"/>
  </r>
  <r>
    <n v="11"/>
    <n v="51"/>
    <n v="1"/>
    <n v="0"/>
    <n v="3"/>
    <n v="8"/>
    <n v="0"/>
    <n v="6105.32"/>
    <n v="10"/>
    <n v="1"/>
    <n v="0.63085875240238454"/>
    <n v="0.36914124759761552"/>
    <x v="2"/>
  </r>
  <r>
    <n v="9"/>
    <n v="42"/>
    <n v="2"/>
    <n v="0"/>
    <n v="0"/>
    <n v="10"/>
    <n v="2"/>
    <n v="1000"/>
    <n v="5"/>
    <n v="1"/>
    <n v="0.63098707651734487"/>
    <n v="0.36901292348265519"/>
    <x v="2"/>
  </r>
  <r>
    <n v="7"/>
    <n v="34"/>
    <n v="3"/>
    <n v="0"/>
    <n v="0"/>
    <n v="4"/>
    <n v="2"/>
    <n v="0.02"/>
    <n v="5"/>
    <n v="1"/>
    <n v="0.63122464567188041"/>
    <n v="0.36877535432811959"/>
    <x v="2"/>
  </r>
  <r>
    <n v="11"/>
    <n v="42"/>
    <n v="0"/>
    <n v="2"/>
    <n v="3"/>
    <n v="3"/>
    <n v="0"/>
    <n v="6000"/>
    <n v="4"/>
    <n v="0"/>
    <n v="0.63167768972128147"/>
    <n v="0.36832231027871859"/>
    <x v="2"/>
  </r>
  <r>
    <n v="7"/>
    <n v="33"/>
    <n v="2"/>
    <n v="0"/>
    <n v="1"/>
    <n v="7"/>
    <n v="3"/>
    <n v="0.01"/>
    <n v="5"/>
    <n v="1"/>
    <n v="0.63178974285826239"/>
    <n v="0.36821025714173761"/>
    <x v="2"/>
  </r>
  <r>
    <n v="12"/>
    <n v="51"/>
    <n v="2"/>
    <n v="1"/>
    <n v="0"/>
    <n v="10"/>
    <n v="0"/>
    <n v="8044.46"/>
    <n v="7"/>
    <n v="0"/>
    <n v="0.63190538851702716"/>
    <n v="0.36809461148297279"/>
    <x v="2"/>
  </r>
  <r>
    <n v="8"/>
    <n v="33"/>
    <n v="2"/>
    <n v="1"/>
    <n v="0"/>
    <n v="4"/>
    <n v="3"/>
    <n v="0.01"/>
    <n v="8"/>
    <n v="0"/>
    <n v="0.63248986631733994"/>
    <n v="0.36751013368266011"/>
    <x v="2"/>
  </r>
  <r>
    <n v="6"/>
    <n v="25"/>
    <n v="4"/>
    <n v="1"/>
    <n v="3"/>
    <n v="3"/>
    <n v="0"/>
    <n v="6000"/>
    <n v="5"/>
    <n v="0"/>
    <n v="0.63262623879258717"/>
    <n v="0.36737376120741277"/>
    <x v="2"/>
  </r>
  <r>
    <n v="7"/>
    <n v="34"/>
    <n v="2"/>
    <n v="0"/>
    <n v="0"/>
    <n v="2"/>
    <n v="3"/>
    <n v="0.01"/>
    <n v="5"/>
    <n v="0"/>
    <n v="0.63278986803801873"/>
    <n v="0.36721013196198132"/>
    <x v="2"/>
  </r>
  <r>
    <n v="6"/>
    <n v="30"/>
    <n v="3"/>
    <n v="0"/>
    <n v="0"/>
    <n v="4"/>
    <n v="2"/>
    <n v="600"/>
    <n v="1"/>
    <n v="0"/>
    <n v="0.63289797337105402"/>
    <n v="0.36710202662894598"/>
    <x v="2"/>
  </r>
  <r>
    <n v="10"/>
    <n v="40"/>
    <n v="3"/>
    <n v="1"/>
    <n v="0"/>
    <n v="11"/>
    <n v="3"/>
    <n v="0.01"/>
    <n v="5"/>
    <n v="0"/>
    <n v="0.63303983623102922"/>
    <n v="0.36696016376897078"/>
    <x v="2"/>
  </r>
  <r>
    <n v="11"/>
    <n v="49"/>
    <n v="5"/>
    <n v="0"/>
    <n v="0"/>
    <n v="2"/>
    <n v="3"/>
    <n v="0.01"/>
    <n v="9"/>
    <n v="1"/>
    <n v="0.63313988570195678"/>
    <n v="0.36686011429804322"/>
    <x v="2"/>
  </r>
  <r>
    <n v="10"/>
    <n v="42"/>
    <n v="0"/>
    <n v="1"/>
    <n v="0"/>
    <n v="4"/>
    <n v="3"/>
    <n v="0.01"/>
    <n v="7"/>
    <n v="1"/>
    <n v="0.63314285319985775"/>
    <n v="0.3668571468001422"/>
    <x v="2"/>
  </r>
  <r>
    <n v="13"/>
    <n v="57"/>
    <n v="5"/>
    <n v="0"/>
    <n v="1"/>
    <n v="7"/>
    <n v="2"/>
    <n v="3052.66"/>
    <n v="8"/>
    <n v="0"/>
    <n v="0.63364693855008292"/>
    <n v="0.36635306144991708"/>
    <x v="2"/>
  </r>
  <r>
    <n v="13"/>
    <n v="53"/>
    <n v="1"/>
    <n v="1"/>
    <n v="1"/>
    <n v="7"/>
    <n v="3"/>
    <n v="0.01"/>
    <n v="5"/>
    <n v="0"/>
    <n v="0.6341936809656521"/>
    <n v="0.36580631903434779"/>
    <x v="2"/>
  </r>
  <r>
    <n v="13"/>
    <n v="49"/>
    <n v="1"/>
    <n v="2"/>
    <n v="1"/>
    <n v="7"/>
    <n v="2"/>
    <n v="1500"/>
    <n v="11"/>
    <n v="0"/>
    <n v="0.63434265110585508"/>
    <n v="0.36565734889414492"/>
    <x v="2"/>
  </r>
  <r>
    <n v="11"/>
    <n v="51"/>
    <n v="2"/>
    <n v="0"/>
    <n v="0"/>
    <n v="4"/>
    <n v="2"/>
    <n v="5000"/>
    <n v="5"/>
    <n v="1"/>
    <n v="0.63441445294883969"/>
    <n v="0.36558554705116031"/>
    <x v="2"/>
  </r>
  <r>
    <n v="11"/>
    <n v="51"/>
    <n v="2"/>
    <n v="0"/>
    <n v="3"/>
    <n v="8"/>
    <n v="0"/>
    <n v="12000"/>
    <n v="11"/>
    <n v="0"/>
    <n v="0.63446550938465995"/>
    <n v="0.36553449061533999"/>
    <x v="2"/>
  </r>
  <r>
    <n v="8"/>
    <n v="37"/>
    <n v="3"/>
    <n v="0"/>
    <n v="3"/>
    <n v="3"/>
    <n v="2"/>
    <n v="350"/>
    <n v="6"/>
    <n v="0"/>
    <n v="0.63464922175913108"/>
    <n v="0.36535077824086898"/>
    <x v="2"/>
  </r>
  <r>
    <n v="7"/>
    <n v="31"/>
    <n v="5"/>
    <n v="0"/>
    <n v="4"/>
    <n v="9"/>
    <n v="2"/>
    <n v="1200"/>
    <n v="1"/>
    <n v="0"/>
    <n v="0.63504253411148692"/>
    <n v="0.36495746588851302"/>
    <x v="2"/>
  </r>
  <r>
    <n v="10"/>
    <n v="47"/>
    <n v="4"/>
    <n v="0"/>
    <n v="1"/>
    <n v="7"/>
    <n v="0"/>
    <n v="6000"/>
    <n v="11"/>
    <n v="0"/>
    <n v="0.63515062043465442"/>
    <n v="0.36484937956534558"/>
    <x v="2"/>
  </r>
  <r>
    <n v="11"/>
    <n v="50"/>
    <n v="3"/>
    <n v="0"/>
    <n v="0"/>
    <n v="2"/>
    <n v="3"/>
    <n v="0.01"/>
    <n v="8"/>
    <n v="0"/>
    <n v="0.63519393754114017"/>
    <n v="0.36480606245885983"/>
    <x v="2"/>
  </r>
  <r>
    <n v="16"/>
    <n v="71"/>
    <n v="5"/>
    <n v="0"/>
    <n v="2"/>
    <n v="1"/>
    <n v="0"/>
    <n v="7106"/>
    <n v="12"/>
    <n v="0"/>
    <n v="0.63528801087453834"/>
    <n v="0.36471198912546171"/>
    <x v="2"/>
  </r>
  <r>
    <n v="10"/>
    <n v="46"/>
    <n v="3"/>
    <n v="0"/>
    <n v="0"/>
    <n v="2"/>
    <n v="3"/>
    <n v="0.01"/>
    <n v="9"/>
    <n v="0"/>
    <n v="0.63559627062924462"/>
    <n v="0.36440372937075538"/>
    <x v="2"/>
  </r>
  <r>
    <n v="10"/>
    <n v="42"/>
    <n v="3"/>
    <n v="1"/>
    <n v="1"/>
    <n v="12"/>
    <n v="0"/>
    <n v="6000"/>
    <n v="5"/>
    <n v="1"/>
    <n v="0.63595258348860884"/>
    <n v="0.36404741651139111"/>
    <x v="2"/>
  </r>
  <r>
    <n v="10"/>
    <n v="44"/>
    <n v="3"/>
    <n v="0"/>
    <n v="3"/>
    <n v="8"/>
    <n v="3"/>
    <n v="0.01"/>
    <n v="6"/>
    <n v="0"/>
    <n v="0.63599427946019049"/>
    <n v="0.36400572053980951"/>
    <x v="2"/>
  </r>
  <r>
    <n v="5"/>
    <n v="25"/>
    <n v="3"/>
    <n v="0"/>
    <n v="3"/>
    <n v="3"/>
    <n v="2"/>
    <n v="5000"/>
    <n v="1"/>
    <n v="0"/>
    <n v="0.63650176549282089"/>
    <n v="0.36349823450717911"/>
    <x v="2"/>
  </r>
  <r>
    <n v="10"/>
    <n v="48"/>
    <n v="0"/>
    <n v="0"/>
    <n v="0"/>
    <n v="4"/>
    <n v="2"/>
    <n v="200"/>
    <n v="10"/>
    <n v="0"/>
    <n v="0.63716979507892191"/>
    <n v="0.36283020492107809"/>
    <x v="2"/>
  </r>
  <r>
    <n v="11"/>
    <n v="51"/>
    <n v="5"/>
    <n v="0"/>
    <n v="0"/>
    <n v="11"/>
    <n v="0"/>
    <n v="16000"/>
    <n v="2"/>
    <n v="1"/>
    <n v="0.63798855541250576"/>
    <n v="0.36201144458749429"/>
    <x v="2"/>
  </r>
  <r>
    <n v="11"/>
    <n v="41"/>
    <n v="3"/>
    <n v="2"/>
    <n v="0"/>
    <n v="4"/>
    <n v="2"/>
    <n v="1268.8699999999999"/>
    <n v="9"/>
    <n v="0"/>
    <n v="0.63820700036034972"/>
    <n v="0.36179299963965028"/>
    <x v="2"/>
  </r>
  <r>
    <n v="10"/>
    <n v="46"/>
    <n v="5"/>
    <n v="0"/>
    <n v="0"/>
    <n v="2"/>
    <n v="2"/>
    <n v="0.02"/>
    <n v="5"/>
    <n v="0"/>
    <n v="0.63877124426368037"/>
    <n v="0.36122875573631957"/>
    <x v="2"/>
  </r>
  <r>
    <n v="11"/>
    <n v="51"/>
    <n v="2"/>
    <n v="0"/>
    <n v="3"/>
    <n v="8"/>
    <n v="0"/>
    <n v="6000"/>
    <n v="4"/>
    <n v="1"/>
    <n v="0.63878282597656044"/>
    <n v="0.3612171740234395"/>
    <x v="2"/>
  </r>
  <r>
    <n v="10"/>
    <n v="47"/>
    <n v="2"/>
    <n v="0"/>
    <n v="3"/>
    <n v="8"/>
    <n v="0"/>
    <n v="9000"/>
    <n v="2"/>
    <n v="1"/>
    <n v="0.63895773843815928"/>
    <n v="0.36104226156184083"/>
    <x v="2"/>
  </r>
  <r>
    <n v="9"/>
    <n v="37"/>
    <n v="3"/>
    <n v="1"/>
    <n v="0"/>
    <n v="4"/>
    <n v="3"/>
    <n v="0.01"/>
    <n v="4"/>
    <n v="0"/>
    <n v="0.6390709961218457"/>
    <n v="0.36092900387815419"/>
    <x v="2"/>
  </r>
  <r>
    <n v="12"/>
    <n v="49"/>
    <n v="4"/>
    <n v="1"/>
    <n v="2"/>
    <n v="1"/>
    <n v="2"/>
    <n v="2800"/>
    <n v="10"/>
    <n v="0"/>
    <n v="0.63939042395529511"/>
    <n v="0.36060957604470489"/>
    <x v="2"/>
  </r>
  <r>
    <n v="11"/>
    <n v="51"/>
    <n v="1"/>
    <n v="0"/>
    <n v="0"/>
    <n v="4"/>
    <n v="3"/>
    <n v="0.01"/>
    <n v="8"/>
    <n v="1"/>
    <n v="0.63948095492572554"/>
    <n v="0.36051904507427451"/>
    <x v="2"/>
  </r>
  <r>
    <n v="14"/>
    <n v="63"/>
    <n v="2"/>
    <n v="0"/>
    <n v="0"/>
    <n v="10"/>
    <n v="2"/>
    <n v="4830.76"/>
    <n v="4"/>
    <n v="1"/>
    <n v="0.64029192332527307"/>
    <n v="0.35970807667472687"/>
    <x v="2"/>
  </r>
  <r>
    <n v="12"/>
    <n v="50"/>
    <n v="3"/>
    <n v="1"/>
    <n v="0"/>
    <n v="4"/>
    <n v="2"/>
    <n v="600"/>
    <n v="4"/>
    <n v="1"/>
    <n v="0.6404837952710345"/>
    <n v="0.3595162047289655"/>
    <x v="2"/>
  </r>
  <r>
    <n v="13"/>
    <n v="56"/>
    <n v="0"/>
    <n v="1"/>
    <n v="3"/>
    <n v="3"/>
    <n v="0"/>
    <n v="14000"/>
    <n v="8"/>
    <n v="1"/>
    <n v="0.64127761211353862"/>
    <n v="0.35872238788646132"/>
    <x v="2"/>
  </r>
  <r>
    <n v="7"/>
    <n v="34"/>
    <n v="0"/>
    <n v="0"/>
    <n v="3"/>
    <n v="3"/>
    <n v="3"/>
    <n v="0.01"/>
    <n v="6"/>
    <n v="0"/>
    <n v="0.64131535207907864"/>
    <n v="0.35868464792092142"/>
    <x v="2"/>
  </r>
  <r>
    <n v="11"/>
    <n v="51"/>
    <n v="0"/>
    <n v="0"/>
    <n v="3"/>
    <n v="3"/>
    <n v="2"/>
    <n v="50"/>
    <n v="9"/>
    <n v="0"/>
    <n v="0.64134745286822548"/>
    <n v="0.35865254713177452"/>
    <x v="2"/>
  </r>
  <r>
    <n v="9"/>
    <n v="40"/>
    <n v="5"/>
    <n v="0"/>
    <n v="1"/>
    <n v="12"/>
    <n v="3"/>
    <n v="0.01"/>
    <n v="4"/>
    <n v="1"/>
    <n v="0.64137227588814771"/>
    <n v="0.35862772411185229"/>
    <x v="2"/>
  </r>
  <r>
    <n v="11"/>
    <n v="52"/>
    <n v="3"/>
    <n v="0"/>
    <n v="0"/>
    <n v="11"/>
    <n v="0"/>
    <n v="10000"/>
    <n v="3"/>
    <n v="1"/>
    <n v="0.64166442830556747"/>
    <n v="0.35833557169443259"/>
    <x v="2"/>
  </r>
  <r>
    <n v="8"/>
    <n v="38"/>
    <n v="1"/>
    <n v="0"/>
    <n v="3"/>
    <n v="8"/>
    <n v="2"/>
    <n v="4884"/>
    <n v="3"/>
    <n v="0"/>
    <n v="0.64193677607367761"/>
    <n v="0.35806322392632239"/>
    <x v="2"/>
  </r>
  <r>
    <n v="12"/>
    <n v="44"/>
    <n v="1"/>
    <n v="2"/>
    <n v="3"/>
    <n v="3"/>
    <n v="3"/>
    <n v="0.01"/>
    <n v="4"/>
    <n v="0"/>
    <n v="0.64200014459337806"/>
    <n v="0.35799985540662199"/>
    <x v="2"/>
  </r>
  <r>
    <n v="14"/>
    <n v="64"/>
    <n v="3"/>
    <n v="0"/>
    <n v="2"/>
    <n v="1"/>
    <n v="0"/>
    <n v="6000"/>
    <n v="1"/>
    <n v="0"/>
    <n v="0.64210227082945748"/>
    <n v="0.35789772917054252"/>
    <x v="2"/>
  </r>
  <r>
    <n v="10"/>
    <n v="47"/>
    <n v="3"/>
    <n v="0"/>
    <n v="0"/>
    <n v="4"/>
    <n v="2"/>
    <n v="2000"/>
    <n v="5"/>
    <n v="0"/>
    <n v="0.64229982647070782"/>
    <n v="0.35770017352929212"/>
    <x v="2"/>
  </r>
  <r>
    <n v="10"/>
    <n v="47"/>
    <n v="5"/>
    <n v="0"/>
    <n v="1"/>
    <n v="7"/>
    <n v="0"/>
    <n v="6000"/>
    <n v="6"/>
    <n v="0"/>
    <n v="0.64270069898247184"/>
    <n v="0.35729930101752821"/>
    <x v="2"/>
  </r>
  <r>
    <n v="11"/>
    <n v="49"/>
    <n v="5"/>
    <n v="0"/>
    <n v="3"/>
    <n v="3"/>
    <n v="2"/>
    <n v="3500"/>
    <n v="8"/>
    <n v="0"/>
    <n v="0.64293107666378047"/>
    <n v="0.35706892333621948"/>
    <x v="2"/>
  </r>
  <r>
    <n v="9"/>
    <n v="41"/>
    <n v="3"/>
    <n v="0"/>
    <n v="1"/>
    <n v="12"/>
    <n v="3"/>
    <n v="0.01"/>
    <n v="4"/>
    <n v="1"/>
    <n v="0.64311130322021326"/>
    <n v="0.35688869677978668"/>
    <x v="2"/>
  </r>
  <r>
    <n v="16"/>
    <n v="65"/>
    <n v="5"/>
    <n v="1"/>
    <n v="0"/>
    <n v="11"/>
    <n v="2"/>
    <n v="600"/>
    <n v="8"/>
    <n v="0"/>
    <n v="0.64361632493405618"/>
    <n v="0.35638367506594382"/>
    <x v="2"/>
  </r>
  <r>
    <n v="7"/>
    <n v="36"/>
    <n v="1"/>
    <n v="0"/>
    <n v="3"/>
    <n v="3"/>
    <n v="0"/>
    <n v="6000"/>
    <n v="1"/>
    <n v="0"/>
    <n v="0.64392735784950628"/>
    <n v="0.35607264215049372"/>
    <x v="2"/>
  </r>
  <r>
    <n v="8"/>
    <n v="33"/>
    <n v="2"/>
    <n v="1"/>
    <n v="1"/>
    <n v="7"/>
    <n v="3"/>
    <n v="0.01"/>
    <n v="4"/>
    <n v="0"/>
    <n v="0.64404094961896541"/>
    <n v="0.35595905038103459"/>
    <x v="2"/>
  </r>
  <r>
    <n v="7"/>
    <n v="25"/>
    <n v="2"/>
    <n v="2"/>
    <n v="0"/>
    <n v="2"/>
    <n v="3"/>
    <n v="0.01"/>
    <n v="5"/>
    <n v="0"/>
    <n v="0.64418891110882015"/>
    <n v="0.35581108889117979"/>
    <x v="2"/>
  </r>
  <r>
    <n v="9"/>
    <n v="46"/>
    <n v="1"/>
    <n v="0"/>
    <n v="0"/>
    <n v="4"/>
    <n v="1"/>
    <n v="48106.7"/>
    <n v="8"/>
    <n v="0"/>
    <n v="0.64431496144581835"/>
    <n v="0.35568503855418171"/>
    <x v="2"/>
  </r>
  <r>
    <n v="8"/>
    <n v="37"/>
    <n v="3"/>
    <n v="0"/>
    <n v="3"/>
    <n v="3"/>
    <n v="3"/>
    <n v="0.01"/>
    <n v="8"/>
    <n v="0"/>
    <n v="0.64433274807760332"/>
    <n v="0.35566725192239668"/>
    <x v="2"/>
  </r>
  <r>
    <n v="16"/>
    <n v="62"/>
    <n v="3"/>
    <n v="2"/>
    <n v="1"/>
    <n v="12"/>
    <n v="0"/>
    <n v="6000"/>
    <n v="5"/>
    <n v="0"/>
    <n v="0.6443947446355951"/>
    <n v="0.3556052553644049"/>
    <x v="2"/>
  </r>
  <r>
    <n v="13"/>
    <n v="55"/>
    <n v="2"/>
    <n v="1"/>
    <n v="3"/>
    <n v="3"/>
    <n v="0"/>
    <n v="6000"/>
    <n v="1"/>
    <n v="1"/>
    <n v="0.64456433183400663"/>
    <n v="0.35543566816599342"/>
    <x v="2"/>
  </r>
  <r>
    <n v="15"/>
    <n v="69"/>
    <n v="0"/>
    <n v="0"/>
    <n v="3"/>
    <n v="3"/>
    <n v="0"/>
    <n v="6000"/>
    <n v="5"/>
    <n v="1"/>
    <n v="0.64497151738920955"/>
    <n v="0.35502848261079051"/>
    <x v="2"/>
  </r>
  <r>
    <n v="7"/>
    <n v="33"/>
    <n v="5"/>
    <n v="0"/>
    <n v="3"/>
    <n v="3"/>
    <n v="2"/>
    <n v="2000"/>
    <n v="11"/>
    <n v="0"/>
    <n v="0.64537195387705848"/>
    <n v="0.35462804612294152"/>
    <x v="2"/>
  </r>
  <r>
    <n v="15"/>
    <n v="64"/>
    <n v="0"/>
    <n v="1"/>
    <n v="0"/>
    <n v="4"/>
    <n v="2"/>
    <n v="4000.01"/>
    <n v="8"/>
    <n v="0"/>
    <n v="0.64547798480554586"/>
    <n v="0.35452201519445409"/>
    <x v="2"/>
  </r>
  <r>
    <n v="13"/>
    <n v="59"/>
    <n v="5"/>
    <n v="0"/>
    <n v="1"/>
    <n v="12"/>
    <n v="0"/>
    <n v="6000"/>
    <n v="10"/>
    <n v="1"/>
    <n v="0.64573572282828984"/>
    <n v="0.35426427717171022"/>
    <x v="2"/>
  </r>
  <r>
    <n v="11"/>
    <n v="52"/>
    <n v="2"/>
    <n v="0"/>
    <n v="3"/>
    <n v="3"/>
    <n v="0"/>
    <n v="6200"/>
    <n v="5"/>
    <n v="1"/>
    <n v="0.64593175676439563"/>
    <n v="0.35406824323560437"/>
    <x v="2"/>
  </r>
  <r>
    <n v="12"/>
    <n v="56"/>
    <n v="5"/>
    <n v="0"/>
    <n v="0"/>
    <n v="4"/>
    <n v="0"/>
    <n v="6000"/>
    <n v="2"/>
    <n v="0"/>
    <n v="0.64599543505100954"/>
    <n v="0.35400456494899052"/>
    <x v="2"/>
  </r>
  <r>
    <n v="12"/>
    <n v="57"/>
    <n v="1"/>
    <n v="0"/>
    <n v="1"/>
    <n v="7"/>
    <n v="0"/>
    <n v="6000"/>
    <n v="1"/>
    <n v="0"/>
    <n v="0.64625651408522"/>
    <n v="0.35374348591478"/>
    <x v="2"/>
  </r>
  <r>
    <n v="9"/>
    <n v="31"/>
    <n v="5"/>
    <n v="2"/>
    <n v="1"/>
    <n v="7"/>
    <n v="3"/>
    <n v="0.01"/>
    <n v="4"/>
    <n v="0"/>
    <n v="0.64640312568489278"/>
    <n v="0.35359687431510722"/>
    <x v="2"/>
  </r>
  <r>
    <n v="10"/>
    <n v="47"/>
    <n v="2"/>
    <n v="0"/>
    <n v="1"/>
    <n v="7"/>
    <n v="2"/>
    <n v="3000"/>
    <n v="4"/>
    <n v="0"/>
    <n v="0.64648509524223519"/>
    <n v="0.35351490475776481"/>
    <x v="2"/>
  </r>
  <r>
    <n v="15"/>
    <n v="67"/>
    <n v="3"/>
    <n v="0"/>
    <n v="0"/>
    <n v="11"/>
    <n v="2"/>
    <n v="1000"/>
    <n v="9"/>
    <n v="1"/>
    <n v="0.64683333165130708"/>
    <n v="0.35316666834869298"/>
    <x v="2"/>
  </r>
  <r>
    <n v="9"/>
    <n v="43"/>
    <n v="2"/>
    <n v="0"/>
    <n v="1"/>
    <n v="7"/>
    <n v="2"/>
    <n v="100.01"/>
    <n v="8"/>
    <n v="1"/>
    <n v="0.64706859251546645"/>
    <n v="0.35293140748453361"/>
    <x v="2"/>
  </r>
  <r>
    <n v="8"/>
    <n v="32"/>
    <n v="5"/>
    <n v="1"/>
    <n v="1"/>
    <n v="7"/>
    <n v="3"/>
    <n v="0.01"/>
    <n v="8"/>
    <n v="1"/>
    <n v="0.64715116812561913"/>
    <n v="0.35284883187438087"/>
    <x v="2"/>
  </r>
  <r>
    <n v="11"/>
    <n v="51"/>
    <n v="1"/>
    <n v="0"/>
    <n v="3"/>
    <n v="3"/>
    <n v="2"/>
    <n v="3000"/>
    <n v="6"/>
    <n v="0"/>
    <n v="0.6471697953526292"/>
    <n v="0.35283020464737092"/>
    <x v="2"/>
  </r>
  <r>
    <n v="11"/>
    <n v="40"/>
    <n v="1"/>
    <n v="2"/>
    <n v="3"/>
    <n v="8"/>
    <n v="3"/>
    <n v="0.01"/>
    <n v="8"/>
    <n v="1"/>
    <n v="0.64780043388342978"/>
    <n v="0.35219956611657027"/>
    <x v="2"/>
  </r>
  <r>
    <n v="9"/>
    <n v="42"/>
    <n v="2"/>
    <n v="0"/>
    <n v="3"/>
    <n v="8"/>
    <n v="2"/>
    <n v="1000"/>
    <n v="6"/>
    <n v="1"/>
    <n v="0.64781849212278408"/>
    <n v="0.35218150787721603"/>
    <x v="2"/>
  </r>
  <r>
    <n v="12"/>
    <n v="51"/>
    <n v="2"/>
    <n v="1"/>
    <n v="0"/>
    <n v="4"/>
    <n v="2"/>
    <n v="1250"/>
    <n v="4"/>
    <n v="0"/>
    <n v="0.64800658503274389"/>
    <n v="0.35199341496725611"/>
    <x v="2"/>
  </r>
  <r>
    <n v="6"/>
    <n v="30"/>
    <n v="4"/>
    <n v="0"/>
    <n v="0"/>
    <n v="4"/>
    <n v="3"/>
    <n v="0.01"/>
    <n v="5"/>
    <n v="1"/>
    <n v="0.64812549313371859"/>
    <n v="0.35187450686628152"/>
    <x v="2"/>
  </r>
  <r>
    <n v="6"/>
    <n v="30"/>
    <n v="4"/>
    <n v="0"/>
    <n v="0"/>
    <n v="4"/>
    <n v="3"/>
    <n v="0.01"/>
    <n v="4"/>
    <n v="1"/>
    <n v="0.64841850668016765"/>
    <n v="0.35158149331983229"/>
    <x v="2"/>
  </r>
  <r>
    <n v="12"/>
    <n v="56"/>
    <n v="3"/>
    <n v="0"/>
    <n v="3"/>
    <n v="3"/>
    <n v="0"/>
    <n v="15266.22"/>
    <n v="3"/>
    <n v="0"/>
    <n v="0.64849883020817067"/>
    <n v="0.35150116979182933"/>
    <x v="2"/>
  </r>
  <r>
    <n v="11"/>
    <n v="51"/>
    <n v="1"/>
    <n v="0"/>
    <n v="3"/>
    <n v="3"/>
    <n v="2"/>
    <n v="3000"/>
    <n v="1"/>
    <n v="0"/>
    <n v="0.64863556437727632"/>
    <n v="0.35136443562272368"/>
    <x v="2"/>
  </r>
  <r>
    <n v="10"/>
    <n v="44"/>
    <n v="5"/>
    <n v="0"/>
    <n v="3"/>
    <n v="8"/>
    <n v="3"/>
    <n v="0.01"/>
    <n v="4"/>
    <n v="1"/>
    <n v="0.64866929080008051"/>
    <n v="0.35133070919991949"/>
    <x v="2"/>
  </r>
  <r>
    <n v="12"/>
    <n v="45"/>
    <n v="3"/>
    <n v="2"/>
    <n v="0"/>
    <n v="11"/>
    <n v="2"/>
    <n v="100"/>
    <n v="1"/>
    <n v="0"/>
    <n v="0.64911667381088056"/>
    <n v="0.35088332618911938"/>
    <x v="2"/>
  </r>
  <r>
    <n v="13"/>
    <n v="59"/>
    <n v="1"/>
    <n v="0"/>
    <n v="1"/>
    <n v="7"/>
    <n v="3"/>
    <n v="0.01"/>
    <n v="5"/>
    <n v="1"/>
    <n v="0.64926655363032593"/>
    <n v="0.35073344636967402"/>
    <x v="2"/>
  </r>
  <r>
    <n v="7"/>
    <n v="35"/>
    <n v="2"/>
    <n v="0"/>
    <n v="0"/>
    <n v="4"/>
    <n v="3"/>
    <n v="0.01"/>
    <n v="4"/>
    <n v="1"/>
    <n v="0.64945437586560772"/>
    <n v="0.35054562413439228"/>
    <x v="2"/>
  </r>
  <r>
    <n v="12"/>
    <n v="57"/>
    <n v="2"/>
    <n v="0"/>
    <n v="2"/>
    <n v="1"/>
    <n v="0"/>
    <n v="9000"/>
    <n v="3"/>
    <n v="0"/>
    <n v="0.64953845987467285"/>
    <n v="0.35046154012532721"/>
    <x v="2"/>
  </r>
  <r>
    <n v="8"/>
    <n v="37"/>
    <n v="5"/>
    <n v="0"/>
    <n v="1"/>
    <n v="7"/>
    <n v="3"/>
    <n v="0.01"/>
    <n v="4"/>
    <n v="1"/>
    <n v="0.64955261543818832"/>
    <n v="0.35044738456181168"/>
    <x v="2"/>
  </r>
  <r>
    <n v="14"/>
    <n v="53"/>
    <n v="2"/>
    <n v="2"/>
    <n v="0"/>
    <n v="11"/>
    <n v="3"/>
    <n v="0.01"/>
    <n v="8"/>
    <n v="0"/>
    <n v="0.64976122501611755"/>
    <n v="0.35023877498388251"/>
    <x v="2"/>
  </r>
  <r>
    <n v="11"/>
    <n v="47"/>
    <n v="1"/>
    <n v="1"/>
    <n v="0"/>
    <n v="2"/>
    <n v="3"/>
    <n v="0.01"/>
    <n v="7"/>
    <n v="0"/>
    <n v="0.64980882204094204"/>
    <n v="0.35019117795905802"/>
    <x v="2"/>
  </r>
  <r>
    <n v="8"/>
    <n v="39"/>
    <n v="4"/>
    <n v="0"/>
    <n v="0"/>
    <n v="4"/>
    <n v="2"/>
    <n v="2241.36"/>
    <n v="4"/>
    <n v="1"/>
    <n v="0.64990057456491868"/>
    <n v="0.35009942543508132"/>
    <x v="2"/>
  </r>
  <r>
    <n v="8"/>
    <n v="41"/>
    <n v="2"/>
    <n v="0"/>
    <n v="0"/>
    <n v="10"/>
    <n v="0"/>
    <n v="5700"/>
    <n v="8"/>
    <n v="0"/>
    <n v="0.6503426047757338"/>
    <n v="0.3496573952242662"/>
    <x v="2"/>
  </r>
  <r>
    <n v="8"/>
    <n v="38"/>
    <n v="5"/>
    <n v="0"/>
    <n v="0"/>
    <n v="2"/>
    <n v="3"/>
    <n v="0.01"/>
    <n v="4"/>
    <n v="1"/>
    <n v="0.650531180944665"/>
    <n v="0.349468819055335"/>
    <x v="2"/>
  </r>
  <r>
    <n v="9"/>
    <n v="36"/>
    <n v="2"/>
    <n v="1"/>
    <n v="4"/>
    <n v="9"/>
    <n v="3"/>
    <n v="0.01"/>
    <n v="7"/>
    <n v="0"/>
    <n v="0.65070717347618323"/>
    <n v="0.34929282652381682"/>
    <x v="2"/>
  </r>
  <r>
    <n v="10"/>
    <n v="49"/>
    <n v="0"/>
    <n v="0"/>
    <n v="3"/>
    <n v="3"/>
    <n v="1"/>
    <n v="21500"/>
    <n v="12"/>
    <n v="0"/>
    <n v="0.65070931003862986"/>
    <n v="0.34929068996137019"/>
    <x v="2"/>
  </r>
  <r>
    <n v="8"/>
    <n v="34"/>
    <n v="3"/>
    <n v="1"/>
    <n v="0"/>
    <n v="2"/>
    <n v="3"/>
    <n v="0.01"/>
    <n v="4"/>
    <n v="0"/>
    <n v="0.65102567098416608"/>
    <n v="0.34897432901583392"/>
    <x v="2"/>
  </r>
  <r>
    <n v="10"/>
    <n v="46"/>
    <n v="4"/>
    <n v="0"/>
    <n v="3"/>
    <n v="3"/>
    <n v="2"/>
    <n v="2000"/>
    <n v="11"/>
    <n v="0"/>
    <n v="0.65102852045699144"/>
    <n v="0.34897147954300861"/>
    <x v="2"/>
  </r>
  <r>
    <n v="8"/>
    <n v="37"/>
    <n v="5"/>
    <n v="0"/>
    <n v="3"/>
    <n v="8"/>
    <n v="2"/>
    <n v="3800"/>
    <n v="8"/>
    <n v="0"/>
    <n v="0.65115904397159263"/>
    <n v="0.34884095602840742"/>
    <x v="2"/>
  </r>
  <r>
    <n v="9"/>
    <n v="38"/>
    <n v="5"/>
    <n v="1"/>
    <n v="3"/>
    <n v="3"/>
    <n v="0"/>
    <n v="6000"/>
    <n v="1"/>
    <n v="1"/>
    <n v="0.65159352979739193"/>
    <n v="0.34840647020260812"/>
    <x v="2"/>
  </r>
  <r>
    <n v="10"/>
    <n v="47"/>
    <n v="3"/>
    <n v="0"/>
    <n v="1"/>
    <n v="7"/>
    <n v="2"/>
    <n v="100"/>
    <n v="10"/>
    <n v="0"/>
    <n v="0.65178376533851989"/>
    <n v="0.34821623466148022"/>
    <x v="2"/>
  </r>
  <r>
    <n v="8"/>
    <n v="38"/>
    <n v="5"/>
    <n v="0"/>
    <n v="0"/>
    <n v="4"/>
    <n v="3"/>
    <n v="0.01"/>
    <n v="8"/>
    <n v="0"/>
    <n v="0.65185737606134442"/>
    <n v="0.34814262393865558"/>
    <x v="2"/>
  </r>
  <r>
    <n v="7"/>
    <n v="35"/>
    <n v="1"/>
    <n v="0"/>
    <n v="3"/>
    <n v="3"/>
    <n v="2"/>
    <n v="100"/>
    <n v="3"/>
    <n v="1"/>
    <n v="0.65186258310809575"/>
    <n v="0.34813741689190419"/>
    <x v="2"/>
  </r>
  <r>
    <n v="8"/>
    <n v="39"/>
    <n v="3"/>
    <n v="0"/>
    <n v="0"/>
    <n v="2"/>
    <n v="3"/>
    <n v="0.01"/>
    <n v="5"/>
    <n v="0"/>
    <n v="0.65195834171272038"/>
    <n v="0.34804165828727968"/>
    <x v="2"/>
  </r>
  <r>
    <n v="16"/>
    <n v="73"/>
    <n v="4"/>
    <n v="0"/>
    <n v="0"/>
    <n v="2"/>
    <n v="1"/>
    <n v="22000"/>
    <n v="4"/>
    <n v="1"/>
    <n v="0.6520243178362759"/>
    <n v="0.3479756821637241"/>
    <x v="2"/>
  </r>
  <r>
    <n v="9"/>
    <n v="43"/>
    <n v="5"/>
    <n v="0"/>
    <n v="0"/>
    <n v="2"/>
    <n v="2"/>
    <n v="50.01"/>
    <n v="8"/>
    <n v="0"/>
    <n v="0.65232949359435233"/>
    <n v="0.34767050640564767"/>
    <x v="2"/>
  </r>
  <r>
    <n v="13"/>
    <n v="60"/>
    <n v="3"/>
    <n v="0"/>
    <n v="0"/>
    <n v="4"/>
    <n v="2"/>
    <n v="3000"/>
    <n v="9"/>
    <n v="0"/>
    <n v="0.65242528610562056"/>
    <n v="0.34757471389437938"/>
    <x v="2"/>
  </r>
  <r>
    <n v="11"/>
    <n v="51"/>
    <n v="5"/>
    <n v="0"/>
    <n v="3"/>
    <n v="3"/>
    <n v="1"/>
    <n v="24160.99"/>
    <n v="6"/>
    <n v="1"/>
    <n v="0.65333356752860849"/>
    <n v="0.34666643247139151"/>
    <x v="2"/>
  </r>
  <r>
    <n v="6"/>
    <n v="30"/>
    <n v="5"/>
    <n v="0"/>
    <n v="0"/>
    <n v="4"/>
    <n v="3"/>
    <n v="0.01"/>
    <n v="5"/>
    <n v="0"/>
    <n v="0.65410038110383284"/>
    <n v="0.34589961889616722"/>
    <x v="2"/>
  </r>
  <r>
    <n v="6"/>
    <n v="30"/>
    <n v="5"/>
    <n v="0"/>
    <n v="0"/>
    <n v="4"/>
    <n v="3"/>
    <n v="0.01"/>
    <n v="5"/>
    <n v="0"/>
    <n v="0.65410038110383284"/>
    <n v="0.34589961889616722"/>
    <x v="2"/>
  </r>
  <r>
    <n v="8"/>
    <n v="32"/>
    <n v="5"/>
    <n v="1"/>
    <n v="1"/>
    <n v="12"/>
    <n v="3"/>
    <n v="0.01"/>
    <n v="5"/>
    <n v="0"/>
    <n v="0.65426562248082076"/>
    <n v="0.34573437751917929"/>
    <x v="2"/>
  </r>
  <r>
    <n v="8"/>
    <n v="39"/>
    <n v="2"/>
    <n v="0"/>
    <n v="3"/>
    <n v="3"/>
    <n v="2"/>
    <n v="3850.36"/>
    <n v="8"/>
    <n v="1"/>
    <n v="0.65431234454493148"/>
    <n v="0.34568765545506852"/>
    <x v="2"/>
  </r>
  <r>
    <n v="10"/>
    <n v="46"/>
    <n v="4"/>
    <n v="0"/>
    <n v="1"/>
    <n v="7"/>
    <n v="3"/>
    <n v="0.01"/>
    <n v="7"/>
    <n v="0"/>
    <n v="0.65498981163017711"/>
    <n v="0.34501018836982289"/>
    <x v="2"/>
  </r>
  <r>
    <n v="11"/>
    <n v="42"/>
    <n v="2"/>
    <n v="2"/>
    <n v="0"/>
    <n v="2"/>
    <n v="3"/>
    <n v="0.01"/>
    <n v="5"/>
    <n v="0"/>
    <n v="0.65513284057836074"/>
    <n v="0.34486715942163931"/>
    <x v="2"/>
  </r>
  <r>
    <n v="11"/>
    <n v="51"/>
    <n v="2"/>
    <n v="0"/>
    <n v="3"/>
    <n v="3"/>
    <n v="2"/>
    <n v="1200"/>
    <n v="1"/>
    <n v="0"/>
    <n v="0.65526184684354849"/>
    <n v="0.34473815315645162"/>
    <x v="2"/>
  </r>
  <r>
    <n v="11"/>
    <n v="50"/>
    <n v="5"/>
    <n v="0"/>
    <n v="1"/>
    <n v="12"/>
    <n v="2"/>
    <n v="1000"/>
    <n v="9"/>
    <n v="0"/>
    <n v="0.655562506217091"/>
    <n v="0.344437493782909"/>
    <x v="2"/>
  </r>
  <r>
    <n v="8"/>
    <n v="30"/>
    <n v="2"/>
    <n v="2"/>
    <n v="0"/>
    <n v="10"/>
    <n v="2"/>
    <n v="99.12"/>
    <n v="10"/>
    <n v="0"/>
    <n v="0.65567137785337315"/>
    <n v="0.34432862214662691"/>
    <x v="2"/>
  </r>
  <r>
    <n v="10"/>
    <n v="47"/>
    <n v="2"/>
    <n v="0"/>
    <n v="0"/>
    <n v="11"/>
    <n v="3"/>
    <n v="0.01"/>
    <n v="5"/>
    <n v="1"/>
    <n v="0.65581910531265786"/>
    <n v="0.3441808946873422"/>
    <x v="2"/>
  </r>
  <r>
    <n v="10"/>
    <n v="48"/>
    <n v="2"/>
    <n v="0"/>
    <n v="1"/>
    <n v="5"/>
    <n v="2"/>
    <n v="952.11"/>
    <n v="12"/>
    <n v="0"/>
    <n v="0.65607203322282626"/>
    <n v="0.34392796677717369"/>
    <x v="2"/>
  </r>
  <r>
    <n v="8"/>
    <n v="34"/>
    <n v="2"/>
    <n v="1"/>
    <n v="0"/>
    <n v="11"/>
    <n v="3"/>
    <n v="0.01"/>
    <n v="4"/>
    <n v="1"/>
    <n v="0.65625590088054253"/>
    <n v="0.34374409911945752"/>
    <x v="2"/>
  </r>
  <r>
    <n v="8"/>
    <n v="37"/>
    <n v="5"/>
    <n v="0"/>
    <n v="3"/>
    <n v="3"/>
    <n v="3"/>
    <n v="0.01"/>
    <n v="8"/>
    <n v="1"/>
    <n v="0.65629454084683481"/>
    <n v="0.34370545915316508"/>
    <x v="2"/>
  </r>
  <r>
    <n v="9"/>
    <n v="44"/>
    <n v="3"/>
    <n v="0"/>
    <n v="3"/>
    <n v="3"/>
    <n v="1"/>
    <n v="25267.06"/>
    <n v="5"/>
    <n v="0"/>
    <n v="0.65629797560354763"/>
    <n v="0.34370202439645242"/>
    <x v="2"/>
  </r>
  <r>
    <n v="10"/>
    <n v="51"/>
    <n v="0"/>
    <n v="0"/>
    <n v="0"/>
    <n v="2"/>
    <n v="0"/>
    <n v="6000"/>
    <n v="1"/>
    <n v="0"/>
    <n v="0.6562981699090904"/>
    <n v="0.34370183009090949"/>
    <x v="2"/>
  </r>
  <r>
    <n v="12"/>
    <n v="54"/>
    <n v="4"/>
    <n v="0"/>
    <n v="3"/>
    <n v="8"/>
    <n v="2"/>
    <n v="2165.6999999999998"/>
    <n v="9"/>
    <n v="0"/>
    <n v="0.65639504096491019"/>
    <n v="0.34360495903508981"/>
    <x v="2"/>
  </r>
  <r>
    <n v="6"/>
    <n v="27"/>
    <n v="3"/>
    <n v="1"/>
    <n v="0"/>
    <n v="4"/>
    <n v="2"/>
    <n v="2600"/>
    <n v="8"/>
    <n v="1"/>
    <n v="0.65642564481644716"/>
    <n v="0.34357435518355289"/>
    <x v="2"/>
  </r>
  <r>
    <n v="12"/>
    <n v="57"/>
    <n v="2"/>
    <n v="0"/>
    <n v="3"/>
    <n v="3"/>
    <n v="0"/>
    <n v="12000"/>
    <n v="6"/>
    <n v="1"/>
    <n v="0.65649778980745943"/>
    <n v="0.34350221019254062"/>
    <x v="2"/>
  </r>
  <r>
    <n v="8"/>
    <n v="37"/>
    <n v="5"/>
    <n v="0"/>
    <n v="3"/>
    <n v="3"/>
    <n v="3"/>
    <n v="0.01"/>
    <n v="7"/>
    <n v="1"/>
    <n v="0.65658435624411537"/>
    <n v="0.34341564375588463"/>
    <x v="2"/>
  </r>
  <r>
    <n v="7"/>
    <n v="36"/>
    <n v="3"/>
    <n v="0"/>
    <n v="0"/>
    <n v="2"/>
    <n v="2"/>
    <n v="1000"/>
    <n v="2"/>
    <n v="1"/>
    <n v="0.65680455890666933"/>
    <n v="0.34319544109333072"/>
    <x v="2"/>
  </r>
  <r>
    <n v="11"/>
    <n v="53"/>
    <n v="1"/>
    <n v="0"/>
    <n v="0"/>
    <n v="4"/>
    <n v="2"/>
    <n v="15"/>
    <n v="8"/>
    <n v="0"/>
    <n v="0.65688059145404076"/>
    <n v="0.34311940854595929"/>
    <x v="2"/>
  </r>
  <r>
    <n v="9"/>
    <n v="39"/>
    <n v="3"/>
    <n v="1"/>
    <n v="3"/>
    <n v="8"/>
    <n v="0"/>
    <n v="6000"/>
    <n v="10"/>
    <n v="0"/>
    <n v="0.65689812133388714"/>
    <n v="0.34310187866611291"/>
    <x v="2"/>
  </r>
  <r>
    <n v="14"/>
    <n v="63"/>
    <n v="3"/>
    <n v="0"/>
    <n v="3"/>
    <n v="3"/>
    <n v="2"/>
    <n v="3914.18"/>
    <n v="5"/>
    <n v="1"/>
    <n v="0.6570045091301685"/>
    <n v="0.3429954908698315"/>
    <x v="2"/>
  </r>
  <r>
    <n v="8"/>
    <n v="37"/>
    <n v="5"/>
    <n v="0"/>
    <n v="3"/>
    <n v="3"/>
    <n v="3"/>
    <n v="0.01"/>
    <n v="5"/>
    <n v="1"/>
    <n v="0.65716363703990543"/>
    <n v="0.34283636296009462"/>
    <x v="2"/>
  </r>
  <r>
    <n v="10"/>
    <n v="46"/>
    <n v="4"/>
    <n v="0"/>
    <n v="3"/>
    <n v="8"/>
    <n v="2"/>
    <n v="1000"/>
    <n v="12"/>
    <n v="0"/>
    <n v="0.65731162254593101"/>
    <n v="0.34268837745406888"/>
    <x v="2"/>
  </r>
  <r>
    <n v="7"/>
    <n v="35"/>
    <n v="5"/>
    <n v="0"/>
    <n v="0"/>
    <n v="4"/>
    <n v="2"/>
    <n v="1300"/>
    <n v="2"/>
    <n v="1"/>
    <n v="0.65746400986433207"/>
    <n v="0.34253599013566788"/>
    <x v="2"/>
  </r>
  <r>
    <n v="5"/>
    <n v="28"/>
    <n v="3"/>
    <n v="0"/>
    <n v="0"/>
    <n v="2"/>
    <n v="2"/>
    <n v="600"/>
    <n v="4"/>
    <n v="0"/>
    <n v="0.65773217369225689"/>
    <n v="0.34226782630774311"/>
    <x v="2"/>
  </r>
  <r>
    <n v="8"/>
    <n v="35"/>
    <n v="0"/>
    <n v="1"/>
    <n v="3"/>
    <n v="3"/>
    <n v="2"/>
    <n v="1200"/>
    <n v="1"/>
    <n v="1"/>
    <n v="0.6577966765477159"/>
    <n v="0.34220332345228421"/>
    <x v="2"/>
  </r>
  <r>
    <n v="7"/>
    <n v="28"/>
    <n v="1"/>
    <n v="2"/>
    <n v="2"/>
    <n v="0"/>
    <n v="0"/>
    <n v="8000"/>
    <n v="1"/>
    <n v="0"/>
    <n v="0.65788813561440107"/>
    <n v="0.34211186438559887"/>
    <x v="2"/>
  </r>
  <r>
    <n v="13"/>
    <n v="58"/>
    <n v="5"/>
    <n v="0"/>
    <n v="0"/>
    <n v="11"/>
    <n v="3"/>
    <n v="0.01"/>
    <n v="5"/>
    <n v="0"/>
    <n v="0.65799820497534078"/>
    <n v="0.34200179502465922"/>
    <x v="2"/>
  </r>
  <r>
    <n v="7"/>
    <n v="35"/>
    <n v="2"/>
    <n v="0"/>
    <n v="3"/>
    <n v="3"/>
    <n v="2"/>
    <n v="500"/>
    <n v="1"/>
    <n v="1"/>
    <n v="0.65824083779513776"/>
    <n v="0.34175916220486219"/>
    <x v="2"/>
  </r>
  <r>
    <n v="9"/>
    <n v="42"/>
    <n v="5"/>
    <n v="0"/>
    <n v="3"/>
    <n v="3"/>
    <n v="2"/>
    <n v="360"/>
    <n v="11"/>
    <n v="1"/>
    <n v="0.65825552893068384"/>
    <n v="0.34174447106931621"/>
    <x v="2"/>
  </r>
  <r>
    <n v="11"/>
    <n v="51"/>
    <n v="4"/>
    <n v="0"/>
    <n v="1"/>
    <n v="7"/>
    <n v="2"/>
    <n v="1200"/>
    <n v="4"/>
    <n v="0"/>
    <n v="0.65838554893666112"/>
    <n v="0.34161445106333888"/>
    <x v="2"/>
  </r>
  <r>
    <n v="8"/>
    <n v="42"/>
    <n v="0"/>
    <n v="0"/>
    <n v="3"/>
    <n v="3"/>
    <n v="0"/>
    <n v="12000"/>
    <n v="14"/>
    <n v="1"/>
    <n v="0.65860884814013965"/>
    <n v="0.34139115185986041"/>
    <x v="2"/>
  </r>
  <r>
    <n v="8"/>
    <n v="38"/>
    <n v="5"/>
    <n v="0"/>
    <n v="3"/>
    <n v="3"/>
    <n v="2"/>
    <n v="900.02"/>
    <n v="11"/>
    <n v="1"/>
    <n v="0.65873938558586342"/>
    <n v="0.34126061441413658"/>
    <x v="2"/>
  </r>
  <r>
    <n v="8"/>
    <n v="35"/>
    <n v="0"/>
    <n v="1"/>
    <n v="1"/>
    <n v="7"/>
    <n v="3"/>
    <n v="0.01"/>
    <n v="6"/>
    <n v="0"/>
    <n v="0.65883766536172861"/>
    <n v="0.34116233463827139"/>
    <x v="2"/>
  </r>
  <r>
    <n v="9"/>
    <n v="43"/>
    <n v="1"/>
    <n v="0"/>
    <n v="3"/>
    <n v="3"/>
    <n v="3"/>
    <n v="0.01"/>
    <n v="8"/>
    <n v="0"/>
    <n v="0.65902227742358899"/>
    <n v="0.34097772257641101"/>
    <x v="2"/>
  </r>
  <r>
    <n v="7"/>
    <n v="37"/>
    <n v="2"/>
    <n v="0"/>
    <n v="3"/>
    <n v="3"/>
    <n v="0"/>
    <n v="15000"/>
    <n v="4"/>
    <n v="1"/>
    <n v="0.65938861444519459"/>
    <n v="0.34061138555480552"/>
    <x v="2"/>
  </r>
  <r>
    <n v="12"/>
    <n v="51"/>
    <n v="1"/>
    <n v="1"/>
    <n v="1"/>
    <n v="12"/>
    <n v="2"/>
    <n v="1000"/>
    <n v="1"/>
    <n v="0"/>
    <n v="0.65939161887234299"/>
    <n v="0.34060838112765701"/>
    <x v="2"/>
  </r>
  <r>
    <n v="11"/>
    <n v="52"/>
    <n v="2"/>
    <n v="0"/>
    <n v="0"/>
    <n v="4"/>
    <n v="3"/>
    <n v="0.01"/>
    <n v="5"/>
    <n v="0"/>
    <n v="0.66003345479283437"/>
    <n v="0.33996654520716563"/>
    <x v="2"/>
  </r>
  <r>
    <n v="9"/>
    <n v="42"/>
    <n v="5"/>
    <n v="0"/>
    <n v="0"/>
    <n v="11"/>
    <n v="3"/>
    <n v="0.01"/>
    <n v="7"/>
    <n v="1"/>
    <n v="0.6601366092199823"/>
    <n v="0.33986339078001759"/>
    <x v="2"/>
  </r>
  <r>
    <n v="11"/>
    <n v="51"/>
    <n v="3"/>
    <n v="0"/>
    <n v="0"/>
    <n v="11"/>
    <n v="3"/>
    <n v="0.01"/>
    <n v="8"/>
    <n v="0"/>
    <n v="0.66019047959643751"/>
    <n v="0.33980952040356238"/>
    <x v="2"/>
  </r>
  <r>
    <n v="9"/>
    <n v="44"/>
    <n v="2"/>
    <n v="0"/>
    <n v="2"/>
    <n v="0"/>
    <n v="2"/>
    <n v="35"/>
    <n v="2"/>
    <n v="0"/>
    <n v="0.66019555993034407"/>
    <n v="0.33980444006965588"/>
    <x v="2"/>
  </r>
  <r>
    <n v="9"/>
    <n v="38"/>
    <n v="5"/>
    <n v="1"/>
    <n v="1"/>
    <n v="5"/>
    <n v="2"/>
    <n v="1000"/>
    <n v="9"/>
    <n v="1"/>
    <n v="0.66060222580880323"/>
    <n v="0.33939777419119682"/>
    <x v="2"/>
  </r>
  <r>
    <n v="16"/>
    <n v="73"/>
    <n v="1"/>
    <n v="0"/>
    <n v="1"/>
    <n v="5"/>
    <n v="2"/>
    <n v="2000.01"/>
    <n v="7"/>
    <n v="0"/>
    <n v="0.66067774410870261"/>
    <n v="0.33932225589129728"/>
    <x v="2"/>
  </r>
  <r>
    <n v="9"/>
    <n v="43"/>
    <n v="3"/>
    <n v="0"/>
    <n v="3"/>
    <n v="3"/>
    <n v="2"/>
    <n v="3000.01"/>
    <n v="5"/>
    <n v="0"/>
    <n v="0.66073138767735817"/>
    <n v="0.33926861232264183"/>
    <x v="2"/>
  </r>
  <r>
    <n v="8"/>
    <n v="39"/>
    <n v="3"/>
    <n v="0"/>
    <n v="3"/>
    <n v="3"/>
    <n v="2"/>
    <n v="50"/>
    <n v="10"/>
    <n v="1"/>
    <n v="0.66103385984333052"/>
    <n v="0.33896614015666948"/>
    <x v="2"/>
  </r>
  <r>
    <n v="11"/>
    <n v="51"/>
    <n v="3"/>
    <n v="0"/>
    <n v="0"/>
    <n v="11"/>
    <n v="3"/>
    <n v="0.01"/>
    <n v="5"/>
    <n v="1"/>
    <n v="0.66105481222157114"/>
    <n v="0.33894518777842891"/>
    <x v="2"/>
  </r>
  <r>
    <n v="11"/>
    <n v="51"/>
    <n v="3"/>
    <n v="0"/>
    <n v="1"/>
    <n v="7"/>
    <n v="3"/>
    <n v="0.01"/>
    <n v="10"/>
    <n v="1"/>
    <n v="0.66106413057949576"/>
    <n v="0.33893586942050419"/>
    <x v="2"/>
  </r>
  <r>
    <n v="9"/>
    <n v="40"/>
    <n v="1"/>
    <n v="1"/>
    <n v="3"/>
    <n v="8"/>
    <n v="0"/>
    <n v="6000"/>
    <n v="1"/>
    <n v="0"/>
    <n v="0.66119760577902653"/>
    <n v="0.33880239422097352"/>
    <x v="2"/>
  </r>
  <r>
    <n v="7"/>
    <n v="34"/>
    <n v="4"/>
    <n v="0"/>
    <n v="3"/>
    <n v="8"/>
    <n v="2"/>
    <n v="3000"/>
    <n v="3"/>
    <n v="1"/>
    <n v="0.66122208183944409"/>
    <n v="0.33877791816055591"/>
    <x v="2"/>
  </r>
  <r>
    <n v="8"/>
    <n v="39"/>
    <n v="4"/>
    <n v="0"/>
    <n v="1"/>
    <n v="7"/>
    <n v="2"/>
    <n v="720"/>
    <n v="1"/>
    <n v="1"/>
    <n v="0.66145876158806161"/>
    <n v="0.33854123841193839"/>
    <x v="2"/>
  </r>
  <r>
    <n v="10"/>
    <n v="47"/>
    <n v="5"/>
    <n v="0"/>
    <n v="0"/>
    <n v="11"/>
    <n v="2"/>
    <n v="3000.01"/>
    <n v="8"/>
    <n v="0"/>
    <n v="0.66171019774039685"/>
    <n v="0.33828980225960309"/>
    <x v="2"/>
  </r>
  <r>
    <n v="8"/>
    <n v="39"/>
    <n v="2"/>
    <n v="0"/>
    <n v="3"/>
    <n v="8"/>
    <n v="2"/>
    <n v="50.01"/>
    <n v="8"/>
    <n v="0"/>
    <n v="0.66186575222337662"/>
    <n v="0.33813424777662338"/>
    <x v="2"/>
  </r>
  <r>
    <n v="8"/>
    <n v="33"/>
    <n v="5"/>
    <n v="1"/>
    <n v="1"/>
    <n v="7"/>
    <n v="3"/>
    <n v="0.01"/>
    <n v="4"/>
    <n v="1"/>
    <n v="0.66191818232984478"/>
    <n v="0.33808181767015522"/>
    <x v="2"/>
  </r>
  <r>
    <n v="13"/>
    <n v="60"/>
    <n v="1"/>
    <n v="0"/>
    <n v="1"/>
    <n v="7"/>
    <n v="3"/>
    <n v="0.01"/>
    <n v="8"/>
    <n v="0"/>
    <n v="0.6619811108272311"/>
    <n v="0.33801888917276901"/>
    <x v="2"/>
  </r>
  <r>
    <n v="12"/>
    <n v="50"/>
    <n v="5"/>
    <n v="1"/>
    <n v="1"/>
    <n v="7"/>
    <n v="2"/>
    <n v="1500"/>
    <n v="5"/>
    <n v="0"/>
    <n v="0.66200173145783936"/>
    <n v="0.33799826854216058"/>
    <x v="2"/>
  </r>
  <r>
    <n v="7"/>
    <n v="32"/>
    <n v="2"/>
    <n v="1"/>
    <n v="0"/>
    <n v="4"/>
    <n v="2"/>
    <n v="3480"/>
    <n v="11"/>
    <n v="1"/>
    <n v="0.66217059984142168"/>
    <n v="0.33782940015857832"/>
    <x v="2"/>
  </r>
  <r>
    <n v="6"/>
    <n v="31"/>
    <n v="2"/>
    <n v="0"/>
    <n v="3"/>
    <n v="8"/>
    <n v="2"/>
    <n v="3664.59"/>
    <n v="6"/>
    <n v="1"/>
    <n v="0.66248978854314255"/>
    <n v="0.33751021145685739"/>
    <x v="2"/>
  </r>
  <r>
    <n v="11"/>
    <n v="50"/>
    <n v="3"/>
    <n v="0"/>
    <n v="3"/>
    <n v="8"/>
    <n v="3"/>
    <n v="0.01"/>
    <n v="6"/>
    <n v="1"/>
    <n v="0.66269905889732683"/>
    <n v="0.33730094110267322"/>
    <x v="2"/>
  </r>
  <r>
    <n v="14"/>
    <n v="63"/>
    <n v="3"/>
    <n v="0"/>
    <n v="3"/>
    <n v="8"/>
    <n v="2"/>
    <n v="3000"/>
    <n v="7"/>
    <n v="0"/>
    <n v="0.66291769075354279"/>
    <n v="0.33708230924645721"/>
    <x v="2"/>
  </r>
  <r>
    <n v="15"/>
    <n v="67"/>
    <n v="3"/>
    <n v="0"/>
    <n v="3"/>
    <n v="8"/>
    <n v="2"/>
    <n v="5000"/>
    <n v="2"/>
    <n v="1"/>
    <n v="0.66295815281914716"/>
    <n v="0.33704184718085278"/>
    <x v="2"/>
  </r>
  <r>
    <n v="10"/>
    <n v="48"/>
    <n v="4"/>
    <n v="0"/>
    <n v="3"/>
    <n v="8"/>
    <n v="0"/>
    <n v="9085.23"/>
    <n v="6"/>
    <n v="1"/>
    <n v="0.66336905557448644"/>
    <n v="0.33663094442551361"/>
    <x v="2"/>
  </r>
  <r>
    <n v="9"/>
    <n v="43"/>
    <n v="4"/>
    <n v="0"/>
    <n v="2"/>
    <n v="6"/>
    <n v="2"/>
    <n v="3000"/>
    <n v="6"/>
    <n v="1"/>
    <n v="0.66365305575463585"/>
    <n v="0.33634694424536421"/>
    <x v="2"/>
  </r>
  <r>
    <n v="9"/>
    <n v="42"/>
    <n v="4"/>
    <n v="0"/>
    <n v="3"/>
    <n v="3"/>
    <n v="3"/>
    <n v="0.01"/>
    <n v="6"/>
    <n v="1"/>
    <n v="0.66379318184866376"/>
    <n v="0.3362068181513363"/>
    <x v="2"/>
  </r>
  <r>
    <n v="10"/>
    <n v="46"/>
    <n v="3"/>
    <n v="0"/>
    <n v="3"/>
    <n v="8"/>
    <n v="3"/>
    <n v="0.01"/>
    <n v="4"/>
    <n v="0"/>
    <n v="0.66394786232935554"/>
    <n v="0.33605213767064451"/>
    <x v="2"/>
  </r>
  <r>
    <n v="8"/>
    <n v="33"/>
    <n v="3"/>
    <n v="1"/>
    <n v="3"/>
    <n v="8"/>
    <n v="3"/>
    <n v="0.01"/>
    <n v="4"/>
    <n v="0"/>
    <n v="0.66409301873627991"/>
    <n v="0.33590698126372021"/>
    <x v="2"/>
  </r>
  <r>
    <n v="13"/>
    <n v="54"/>
    <n v="3"/>
    <n v="1"/>
    <n v="3"/>
    <n v="8"/>
    <n v="2"/>
    <n v="1500"/>
    <n v="2"/>
    <n v="0"/>
    <n v="0.66436217369381922"/>
    <n v="0.33563782630618072"/>
    <x v="2"/>
  </r>
  <r>
    <n v="11"/>
    <n v="52"/>
    <n v="3"/>
    <n v="0"/>
    <n v="1"/>
    <n v="7"/>
    <n v="2"/>
    <n v="1500"/>
    <n v="8"/>
    <n v="0"/>
    <n v="0.66471009450115059"/>
    <n v="0.33528990549884929"/>
    <x v="2"/>
  </r>
  <r>
    <n v="11"/>
    <n v="51"/>
    <n v="1"/>
    <n v="0"/>
    <n v="3"/>
    <n v="8"/>
    <n v="3"/>
    <n v="0.01"/>
    <n v="4"/>
    <n v="0"/>
    <n v="0.66496161847783619"/>
    <n v="0.33503838152216392"/>
    <x v="2"/>
  </r>
  <r>
    <n v="11"/>
    <n v="51"/>
    <n v="4"/>
    <n v="0"/>
    <n v="1"/>
    <n v="12"/>
    <n v="2"/>
    <n v="335"/>
    <n v="3"/>
    <n v="0"/>
    <n v="0.6651286358318369"/>
    <n v="0.3348713641681631"/>
    <x v="2"/>
  </r>
  <r>
    <n v="10"/>
    <n v="50"/>
    <n v="1"/>
    <n v="0"/>
    <n v="2"/>
    <n v="6"/>
    <n v="1"/>
    <n v="31105.32"/>
    <n v="8"/>
    <n v="0"/>
    <n v="0.66515268968469254"/>
    <n v="0.33484731031530751"/>
    <x v="2"/>
  </r>
  <r>
    <n v="7"/>
    <n v="37"/>
    <n v="2"/>
    <n v="0"/>
    <n v="3"/>
    <n v="8"/>
    <n v="0"/>
    <n v="12000"/>
    <n v="8"/>
    <n v="1"/>
    <n v="0.665457672685972"/>
    <n v="0.334542327314028"/>
    <x v="2"/>
  </r>
  <r>
    <n v="8"/>
    <n v="41"/>
    <n v="2"/>
    <n v="0"/>
    <n v="0"/>
    <n v="4"/>
    <n v="2"/>
    <n v="490.01"/>
    <n v="5"/>
    <n v="0"/>
    <n v="0.66549543451666293"/>
    <n v="0.33450456548333712"/>
    <x v="2"/>
  </r>
  <r>
    <n v="11"/>
    <n v="53"/>
    <n v="3"/>
    <n v="0"/>
    <n v="0"/>
    <n v="2"/>
    <n v="2"/>
    <n v="4000"/>
    <n v="5"/>
    <n v="0"/>
    <n v="0.66562963397257824"/>
    <n v="0.33437036602742182"/>
    <x v="2"/>
  </r>
  <r>
    <n v="10"/>
    <n v="48"/>
    <n v="2"/>
    <n v="0"/>
    <n v="1"/>
    <n v="12"/>
    <n v="2"/>
    <n v="600"/>
    <n v="8"/>
    <n v="0"/>
    <n v="0.66596072128517259"/>
    <n v="0.33403927871482753"/>
    <x v="2"/>
  </r>
  <r>
    <n v="9"/>
    <n v="39"/>
    <n v="2"/>
    <n v="1"/>
    <n v="1"/>
    <n v="5"/>
    <n v="3"/>
    <n v="0.01"/>
    <n v="11"/>
    <n v="0"/>
    <n v="0.66603315834420318"/>
    <n v="0.33396684165579688"/>
    <x v="2"/>
  </r>
  <r>
    <n v="7"/>
    <n v="35"/>
    <n v="5"/>
    <n v="0"/>
    <n v="0"/>
    <n v="4"/>
    <n v="3"/>
    <n v="0.01"/>
    <n v="7"/>
    <n v="0"/>
    <n v="0.66634364927298506"/>
    <n v="0.33365635072701488"/>
    <x v="2"/>
  </r>
  <r>
    <n v="8"/>
    <n v="39"/>
    <n v="4"/>
    <n v="0"/>
    <n v="3"/>
    <n v="3"/>
    <n v="2"/>
    <n v="1200"/>
    <n v="9"/>
    <n v="1"/>
    <n v="0.66677604987404049"/>
    <n v="0.33322395012595962"/>
    <x v="2"/>
  </r>
  <r>
    <n v="8"/>
    <n v="36"/>
    <n v="3"/>
    <n v="1"/>
    <n v="0"/>
    <n v="4"/>
    <n v="2"/>
    <n v="5000"/>
    <n v="11"/>
    <n v="0"/>
    <n v="0.66681479570433089"/>
    <n v="0.33318520429566922"/>
    <x v="2"/>
  </r>
  <r>
    <n v="7"/>
    <n v="31"/>
    <n v="3"/>
    <n v="1"/>
    <n v="0"/>
    <n v="4"/>
    <n v="3"/>
    <n v="0.01"/>
    <n v="7"/>
    <n v="1"/>
    <n v="0.66682722413828133"/>
    <n v="0.33317277586171867"/>
    <x v="2"/>
  </r>
  <r>
    <n v="10"/>
    <n v="50"/>
    <n v="1"/>
    <n v="0"/>
    <n v="3"/>
    <n v="3"/>
    <n v="0"/>
    <n v="9000"/>
    <n v="3"/>
    <n v="0"/>
    <n v="0.66737342802422606"/>
    <n v="0.33262657197577389"/>
    <x v="2"/>
  </r>
  <r>
    <n v="12"/>
    <n v="57"/>
    <n v="0"/>
    <n v="0"/>
    <n v="3"/>
    <n v="3"/>
    <n v="2"/>
    <n v="1000"/>
    <n v="9"/>
    <n v="1"/>
    <n v="0.66752497364268992"/>
    <n v="0.33247502635731008"/>
    <x v="2"/>
  </r>
  <r>
    <n v="8"/>
    <n v="40"/>
    <n v="3"/>
    <n v="0"/>
    <n v="0"/>
    <n v="4"/>
    <n v="3"/>
    <n v="0.01"/>
    <n v="5"/>
    <n v="0"/>
    <n v="0.66792410151800907"/>
    <n v="0.33207589848199098"/>
    <x v="2"/>
  </r>
  <r>
    <n v="11"/>
    <n v="51"/>
    <n v="4"/>
    <n v="0"/>
    <n v="1"/>
    <n v="7"/>
    <n v="3"/>
    <n v="0.01"/>
    <n v="6"/>
    <n v="0"/>
    <n v="0.66807305997547872"/>
    <n v="0.33192694002452128"/>
    <x v="2"/>
  </r>
  <r>
    <n v="10"/>
    <n v="44"/>
    <n v="3"/>
    <n v="1"/>
    <n v="0"/>
    <n v="4"/>
    <n v="2"/>
    <n v="1000"/>
    <n v="5"/>
    <n v="0"/>
    <n v="0.66861458394467355"/>
    <n v="0.3313854160553264"/>
    <x v="2"/>
  </r>
  <r>
    <n v="8"/>
    <n v="32"/>
    <n v="5"/>
    <n v="1"/>
    <n v="4"/>
    <n v="9"/>
    <n v="3"/>
    <n v="0.01"/>
    <n v="8"/>
    <n v="0"/>
    <n v="0.66880677100974806"/>
    <n v="0.331193228990252"/>
    <x v="2"/>
  </r>
  <r>
    <n v="9"/>
    <n v="45"/>
    <n v="1"/>
    <n v="0"/>
    <n v="0"/>
    <n v="4"/>
    <n v="3"/>
    <n v="0.01"/>
    <n v="5"/>
    <n v="0"/>
    <n v="0.66893184381522852"/>
    <n v="0.33106815618477148"/>
    <x v="2"/>
  </r>
  <r>
    <n v="8"/>
    <n v="41"/>
    <n v="1"/>
    <n v="0"/>
    <n v="0"/>
    <n v="4"/>
    <n v="3"/>
    <n v="0.01"/>
    <n v="5"/>
    <n v="1"/>
    <n v="0.66960070228994439"/>
    <n v="0.33039929771005561"/>
    <x v="2"/>
  </r>
  <r>
    <n v="11"/>
    <n v="51"/>
    <n v="3"/>
    <n v="0"/>
    <n v="3"/>
    <n v="3"/>
    <n v="3"/>
    <n v="0.01"/>
    <n v="7"/>
    <n v="0"/>
    <n v="0.66969075361499331"/>
    <n v="0.33030924638500669"/>
    <x v="2"/>
  </r>
  <r>
    <n v="10"/>
    <n v="47"/>
    <n v="3"/>
    <n v="0"/>
    <n v="3"/>
    <n v="3"/>
    <n v="3"/>
    <n v="0.01"/>
    <n v="9"/>
    <n v="0"/>
    <n v="0.66979064617737949"/>
    <n v="0.33020935382262051"/>
    <x v="2"/>
  </r>
  <r>
    <n v="10"/>
    <n v="47"/>
    <n v="5"/>
    <n v="0"/>
    <n v="3"/>
    <n v="3"/>
    <n v="2"/>
    <n v="3000"/>
    <n v="9"/>
    <n v="0"/>
    <n v="0.67062168851984993"/>
    <n v="0.32937831148015012"/>
    <x v="2"/>
  </r>
  <r>
    <n v="14"/>
    <n v="63"/>
    <n v="3"/>
    <n v="0"/>
    <n v="4"/>
    <n v="9"/>
    <n v="2"/>
    <n v="100"/>
    <n v="10"/>
    <n v="1"/>
    <n v="0.67063429508309214"/>
    <n v="0.32936570491690792"/>
    <x v="2"/>
  </r>
  <r>
    <n v="11"/>
    <n v="48"/>
    <n v="0"/>
    <n v="1"/>
    <n v="1"/>
    <n v="7"/>
    <n v="3"/>
    <n v="0.01"/>
    <n v="4"/>
    <n v="1"/>
    <n v="0.6707981657733173"/>
    <n v="0.32920183422668281"/>
    <x v="2"/>
  </r>
  <r>
    <n v="8"/>
    <n v="38"/>
    <n v="4"/>
    <n v="0"/>
    <n v="3"/>
    <n v="8"/>
    <n v="3"/>
    <n v="0.01"/>
    <n v="5"/>
    <n v="1"/>
    <n v="0.67084253732867016"/>
    <n v="0.32915746267132989"/>
    <x v="2"/>
  </r>
  <r>
    <n v="13"/>
    <n v="60"/>
    <n v="3"/>
    <n v="0"/>
    <n v="3"/>
    <n v="3"/>
    <n v="2"/>
    <n v="300"/>
    <n v="9"/>
    <n v="1"/>
    <n v="0.67125175133550918"/>
    <n v="0.32874824866449093"/>
    <x v="2"/>
  </r>
  <r>
    <n v="7"/>
    <n v="34"/>
    <n v="5"/>
    <n v="0"/>
    <n v="3"/>
    <n v="3"/>
    <n v="3"/>
    <n v="0.01"/>
    <n v="5"/>
    <n v="1"/>
    <n v="0.67125685708996163"/>
    <n v="0.32874314291003842"/>
    <x v="2"/>
  </r>
  <r>
    <n v="14"/>
    <n v="63"/>
    <n v="4"/>
    <n v="0"/>
    <n v="1"/>
    <n v="12"/>
    <n v="3"/>
    <n v="0.01"/>
    <n v="8"/>
    <n v="0"/>
    <n v="0.67157001242083358"/>
    <n v="0.32842998757916642"/>
    <x v="2"/>
  </r>
  <r>
    <n v="8"/>
    <n v="41"/>
    <n v="2"/>
    <n v="0"/>
    <n v="0"/>
    <n v="2"/>
    <n v="3"/>
    <n v="0.01"/>
    <n v="8"/>
    <n v="0"/>
    <n v="0.67213296372626885"/>
    <n v="0.32786703627373109"/>
    <x v="2"/>
  </r>
  <r>
    <n v="8"/>
    <n v="39"/>
    <n v="3"/>
    <n v="0"/>
    <n v="3"/>
    <n v="3"/>
    <n v="3"/>
    <n v="0.01"/>
    <n v="5"/>
    <n v="1"/>
    <n v="0.67225944826575168"/>
    <n v="0.32774055173424832"/>
    <x v="2"/>
  </r>
  <r>
    <n v="8"/>
    <n v="39"/>
    <n v="3"/>
    <n v="0"/>
    <n v="3"/>
    <n v="3"/>
    <n v="3"/>
    <n v="0.01"/>
    <n v="5"/>
    <n v="0"/>
    <n v="0.67225944826575168"/>
    <n v="0.32774055173424832"/>
    <x v="2"/>
  </r>
  <r>
    <n v="9"/>
    <n v="45"/>
    <n v="2"/>
    <n v="0"/>
    <n v="0"/>
    <n v="2"/>
    <n v="3"/>
    <n v="0.01"/>
    <n v="5"/>
    <n v="0"/>
    <n v="0.67231660321710018"/>
    <n v="0.32768339678289982"/>
    <x v="2"/>
  </r>
  <r>
    <n v="8"/>
    <n v="35"/>
    <n v="4"/>
    <n v="1"/>
    <n v="0"/>
    <n v="4"/>
    <n v="3"/>
    <n v="0.01"/>
    <n v="4"/>
    <n v="1"/>
    <n v="0.67282843827671623"/>
    <n v="0.32717156172328382"/>
    <x v="2"/>
  </r>
  <r>
    <n v="10"/>
    <n v="51"/>
    <n v="1"/>
    <n v="0"/>
    <n v="0"/>
    <n v="11"/>
    <n v="0"/>
    <n v="6000"/>
    <n v="1"/>
    <n v="0"/>
    <n v="0.67316791398745901"/>
    <n v="0.32683208601254099"/>
    <x v="2"/>
  </r>
  <r>
    <n v="7"/>
    <n v="35"/>
    <n v="2"/>
    <n v="0"/>
    <n v="3"/>
    <n v="8"/>
    <n v="3"/>
    <n v="0.01"/>
    <n v="5"/>
    <n v="1"/>
    <n v="0.6731767876360053"/>
    <n v="0.3268232123639947"/>
    <x v="2"/>
  </r>
  <r>
    <n v="13"/>
    <n v="63"/>
    <n v="0"/>
    <n v="0"/>
    <n v="3"/>
    <n v="3"/>
    <n v="0"/>
    <n v="6000"/>
    <n v="4"/>
    <n v="0"/>
    <n v="0.67363760337736556"/>
    <n v="0.32636239662263439"/>
    <x v="2"/>
  </r>
  <r>
    <n v="10"/>
    <n v="43"/>
    <n v="5"/>
    <n v="1"/>
    <n v="0"/>
    <n v="2"/>
    <n v="3"/>
    <n v="0.01"/>
    <n v="8"/>
    <n v="0"/>
    <n v="0.67373909083137873"/>
    <n v="0.32626090916862122"/>
    <x v="2"/>
  </r>
  <r>
    <n v="9"/>
    <n v="43"/>
    <n v="1"/>
    <n v="0"/>
    <n v="4"/>
    <n v="9"/>
    <n v="3"/>
    <n v="0.01"/>
    <n v="4"/>
    <n v="0"/>
    <n v="0.67380422462519785"/>
    <n v="0.32619577537480221"/>
    <x v="2"/>
  </r>
  <r>
    <n v="8"/>
    <n v="39"/>
    <n v="5"/>
    <n v="0"/>
    <n v="3"/>
    <n v="3"/>
    <n v="2"/>
    <n v="750"/>
    <n v="5"/>
    <n v="1"/>
    <n v="0.67388452167762547"/>
    <n v="0.32611547832237447"/>
    <x v="2"/>
  </r>
  <r>
    <n v="8"/>
    <n v="39"/>
    <n v="5"/>
    <n v="0"/>
    <n v="0"/>
    <n v="11"/>
    <n v="3"/>
    <n v="0.01"/>
    <n v="8"/>
    <n v="1"/>
    <n v="0.67388586531436945"/>
    <n v="0.32611413468563061"/>
    <x v="2"/>
  </r>
  <r>
    <n v="4"/>
    <n v="25"/>
    <n v="0"/>
    <n v="0"/>
    <n v="3"/>
    <n v="3"/>
    <n v="2"/>
    <n v="1200"/>
    <n v="5"/>
    <n v="0"/>
    <n v="0.67392775682989225"/>
    <n v="0.32607224317010769"/>
    <x v="2"/>
  </r>
  <r>
    <n v="13"/>
    <n v="59"/>
    <n v="1"/>
    <n v="1"/>
    <n v="0"/>
    <n v="2"/>
    <n v="1"/>
    <n v="26000"/>
    <n v="4"/>
    <n v="0"/>
    <n v="0.67410047799868067"/>
    <n v="0.32589952200131928"/>
    <x v="2"/>
  </r>
  <r>
    <n v="9"/>
    <n v="40"/>
    <n v="1"/>
    <n v="1"/>
    <n v="1"/>
    <n v="5"/>
    <n v="3"/>
    <n v="0.01"/>
    <n v="8"/>
    <n v="0"/>
    <n v="0.67437151537487017"/>
    <n v="0.32562848462512989"/>
    <x v="2"/>
  </r>
  <r>
    <n v="7"/>
    <n v="35"/>
    <n v="5"/>
    <n v="0"/>
    <n v="1"/>
    <n v="5"/>
    <n v="3"/>
    <n v="0.01"/>
    <n v="5"/>
    <n v="1"/>
    <n v="0.67440537120421484"/>
    <n v="0.32559462879578521"/>
    <x v="2"/>
  </r>
  <r>
    <n v="7"/>
    <n v="36"/>
    <n v="1"/>
    <n v="0"/>
    <n v="3"/>
    <n v="3"/>
    <n v="3"/>
    <n v="0.01"/>
    <n v="5"/>
    <n v="0"/>
    <n v="0.67458852456544105"/>
    <n v="0.32541147543455889"/>
    <x v="2"/>
  </r>
  <r>
    <n v="8"/>
    <n v="42"/>
    <n v="2"/>
    <n v="0"/>
    <n v="3"/>
    <n v="3"/>
    <n v="0"/>
    <n v="5424"/>
    <n v="7"/>
    <n v="0"/>
    <n v="0.6746509426531565"/>
    <n v="0.3253490573468435"/>
    <x v="2"/>
  </r>
  <r>
    <n v="5"/>
    <n v="24"/>
    <n v="2"/>
    <n v="1"/>
    <n v="1"/>
    <n v="5"/>
    <n v="2"/>
    <n v="800"/>
    <n v="1"/>
    <n v="0"/>
    <n v="0.67482909505792876"/>
    <n v="0.32517090494207118"/>
    <x v="2"/>
  </r>
  <r>
    <n v="7"/>
    <n v="26"/>
    <n v="2"/>
    <n v="2"/>
    <n v="3"/>
    <n v="8"/>
    <n v="2"/>
    <n v="1200"/>
    <n v="1"/>
    <n v="0"/>
    <n v="0.67506238995873802"/>
    <n v="0.32493761004126198"/>
    <x v="2"/>
  </r>
  <r>
    <n v="11"/>
    <n v="51"/>
    <n v="4"/>
    <n v="0"/>
    <n v="3"/>
    <n v="3"/>
    <n v="3"/>
    <n v="0.01"/>
    <n v="8"/>
    <n v="0"/>
    <n v="0.67520105132344832"/>
    <n v="0.32479894867655162"/>
    <x v="2"/>
  </r>
  <r>
    <n v="12"/>
    <n v="60"/>
    <n v="2"/>
    <n v="0"/>
    <n v="0"/>
    <n v="2"/>
    <n v="0"/>
    <n v="11000"/>
    <n v="11"/>
    <n v="0"/>
    <n v="0.67539068260466451"/>
    <n v="0.32460931739533549"/>
    <x v="2"/>
  </r>
  <r>
    <n v="10"/>
    <n v="49"/>
    <n v="1"/>
    <n v="0"/>
    <n v="3"/>
    <n v="3"/>
    <n v="2"/>
    <n v="2600"/>
    <n v="4"/>
    <n v="1"/>
    <n v="0.67550826283102028"/>
    <n v="0.32449173716897972"/>
    <x v="2"/>
  </r>
  <r>
    <n v="9"/>
    <n v="45"/>
    <n v="1"/>
    <n v="0"/>
    <n v="3"/>
    <n v="3"/>
    <n v="2"/>
    <n v="300"/>
    <n v="9"/>
    <n v="0"/>
    <n v="0.67557452140587571"/>
    <n v="0.32442547859412418"/>
    <x v="2"/>
  </r>
  <r>
    <n v="11"/>
    <n v="49"/>
    <n v="4"/>
    <n v="1"/>
    <n v="1"/>
    <n v="7"/>
    <n v="0"/>
    <n v="6000"/>
    <n v="5"/>
    <n v="0"/>
    <n v="0.67572497342969906"/>
    <n v="0.32427502657030099"/>
    <x v="2"/>
  </r>
  <r>
    <n v="10"/>
    <n v="47"/>
    <n v="2"/>
    <n v="1"/>
    <n v="0"/>
    <n v="2"/>
    <n v="0"/>
    <n v="14000"/>
    <n v="6"/>
    <n v="0"/>
    <n v="0.67588206832504416"/>
    <n v="0.32411793167495578"/>
    <x v="2"/>
  </r>
  <r>
    <n v="11"/>
    <n v="54"/>
    <n v="2"/>
    <n v="0"/>
    <n v="0"/>
    <n v="4"/>
    <n v="2"/>
    <n v="420"/>
    <n v="8"/>
    <n v="0"/>
    <n v="0.67595568877515022"/>
    <n v="0.32404431122484978"/>
    <x v="2"/>
  </r>
  <r>
    <n v="9"/>
    <n v="42"/>
    <n v="0"/>
    <n v="1"/>
    <n v="0"/>
    <n v="2"/>
    <n v="2"/>
    <n v="1000"/>
    <n v="5"/>
    <n v="1"/>
    <n v="0.67599096468505426"/>
    <n v="0.32400903531494568"/>
    <x v="2"/>
  </r>
  <r>
    <n v="13"/>
    <n v="61"/>
    <n v="3"/>
    <n v="0"/>
    <n v="1"/>
    <n v="7"/>
    <n v="2"/>
    <n v="3000"/>
    <n v="8"/>
    <n v="0"/>
    <n v="0.67613559368476051"/>
    <n v="0.32386440631523949"/>
    <x v="2"/>
  </r>
  <r>
    <n v="9"/>
    <n v="44"/>
    <n v="2"/>
    <n v="0"/>
    <n v="1"/>
    <n v="12"/>
    <n v="3"/>
    <n v="0.01"/>
    <n v="9"/>
    <n v="0"/>
    <n v="0.67627094309823232"/>
    <n v="0.32372905690176768"/>
    <x v="2"/>
  </r>
  <r>
    <n v="8"/>
    <n v="42"/>
    <n v="0"/>
    <n v="0"/>
    <n v="0"/>
    <n v="4"/>
    <n v="3"/>
    <n v="0.01"/>
    <n v="7"/>
    <n v="0"/>
    <n v="0.67648847245316401"/>
    <n v="0.32351152754683599"/>
    <x v="2"/>
  </r>
  <r>
    <n v="7"/>
    <n v="36"/>
    <n v="1"/>
    <n v="0"/>
    <n v="4"/>
    <n v="9"/>
    <n v="2"/>
    <n v="2194.27"/>
    <n v="9"/>
    <n v="0"/>
    <n v="0.67648981354848292"/>
    <n v="0.32351018645151708"/>
    <x v="2"/>
  </r>
  <r>
    <n v="10"/>
    <n v="51"/>
    <n v="1"/>
    <n v="0"/>
    <n v="3"/>
    <n v="3"/>
    <n v="0"/>
    <n v="19126.39"/>
    <n v="3"/>
    <n v="1"/>
    <n v="0.67703670871933674"/>
    <n v="0.32296329128066331"/>
    <x v="2"/>
  </r>
  <r>
    <n v="11"/>
    <n v="53"/>
    <n v="3"/>
    <n v="0"/>
    <n v="0"/>
    <n v="11"/>
    <n v="2"/>
    <n v="1500"/>
    <n v="5"/>
    <n v="0"/>
    <n v="0.67741498358212593"/>
    <n v="0.32258501641787413"/>
    <x v="2"/>
  </r>
  <r>
    <n v="8"/>
    <n v="39"/>
    <n v="3"/>
    <n v="0"/>
    <n v="3"/>
    <n v="8"/>
    <n v="3"/>
    <n v="0.01"/>
    <n v="7"/>
    <n v="1"/>
    <n v="0.67771687939987157"/>
    <n v="0.32228312060012843"/>
    <x v="2"/>
  </r>
  <r>
    <n v="10"/>
    <n v="48"/>
    <n v="2"/>
    <n v="0"/>
    <n v="3"/>
    <n v="3"/>
    <n v="3"/>
    <n v="0.01"/>
    <n v="7"/>
    <n v="0"/>
    <n v="0.67779995579091068"/>
    <n v="0.32220004420908938"/>
    <x v="2"/>
  </r>
  <r>
    <n v="7"/>
    <n v="33"/>
    <n v="2"/>
    <n v="1"/>
    <n v="0"/>
    <n v="4"/>
    <n v="2"/>
    <n v="480"/>
    <n v="6"/>
    <n v="0"/>
    <n v="0.67796050061782753"/>
    <n v="0.32203949938217252"/>
    <x v="2"/>
  </r>
  <r>
    <n v="8"/>
    <n v="36"/>
    <n v="1"/>
    <n v="1"/>
    <n v="1"/>
    <n v="7"/>
    <n v="3"/>
    <n v="0.01"/>
    <n v="5"/>
    <n v="0"/>
    <n v="0.67828028414232544"/>
    <n v="0.3217197158576745"/>
    <x v="2"/>
  </r>
  <r>
    <n v="11"/>
    <n v="53"/>
    <n v="0"/>
    <n v="0"/>
    <n v="3"/>
    <n v="3"/>
    <n v="3"/>
    <n v="0.01"/>
    <n v="8"/>
    <n v="0"/>
    <n v="0.67851189041824211"/>
    <n v="0.32148810958175789"/>
    <x v="2"/>
  </r>
  <r>
    <n v="6"/>
    <n v="32"/>
    <n v="5"/>
    <n v="0"/>
    <n v="0"/>
    <n v="11"/>
    <n v="2"/>
    <n v="360"/>
    <n v="8"/>
    <n v="0"/>
    <n v="0.67862041695505915"/>
    <n v="0.32137958304494091"/>
    <x v="2"/>
  </r>
  <r>
    <n v="8"/>
    <n v="40"/>
    <n v="4"/>
    <n v="0"/>
    <n v="1"/>
    <n v="12"/>
    <n v="2"/>
    <n v="5000"/>
    <n v="3"/>
    <n v="0"/>
    <n v="0.67873323709857858"/>
    <n v="0.32126676290142142"/>
    <x v="2"/>
  </r>
  <r>
    <n v="8"/>
    <n v="40"/>
    <n v="5"/>
    <n v="0"/>
    <n v="1"/>
    <n v="7"/>
    <n v="2"/>
    <n v="3000"/>
    <n v="4"/>
    <n v="0"/>
    <n v="0.67890604848632763"/>
    <n v="0.32109395151367243"/>
    <x v="2"/>
  </r>
  <r>
    <n v="15"/>
    <n v="69"/>
    <n v="4"/>
    <n v="0"/>
    <n v="0"/>
    <n v="2"/>
    <n v="3"/>
    <n v="0.01"/>
    <n v="8"/>
    <n v="0"/>
    <n v="0.67902632903742255"/>
    <n v="0.32097367096257751"/>
    <x v="2"/>
  </r>
  <r>
    <n v="10"/>
    <n v="50"/>
    <n v="3"/>
    <n v="0"/>
    <n v="0"/>
    <n v="2"/>
    <n v="2"/>
    <n v="2000"/>
    <n v="9"/>
    <n v="0"/>
    <n v="0.67912678006066196"/>
    <n v="0.32087321993933798"/>
    <x v="2"/>
  </r>
  <r>
    <n v="10"/>
    <n v="51"/>
    <n v="1"/>
    <n v="0"/>
    <n v="3"/>
    <n v="3"/>
    <n v="0"/>
    <n v="15013.76"/>
    <n v="0"/>
    <n v="1"/>
    <n v="0.67932433399043868"/>
    <n v="0.32067566600956132"/>
    <x v="2"/>
  </r>
  <r>
    <n v="11"/>
    <n v="56"/>
    <n v="0"/>
    <n v="0"/>
    <n v="0"/>
    <n v="11"/>
    <n v="0"/>
    <n v="6000"/>
    <n v="1"/>
    <n v="0"/>
    <n v="0.67991857872383887"/>
    <n v="0.32008142127616118"/>
    <x v="2"/>
  </r>
  <r>
    <n v="10"/>
    <n v="49"/>
    <n v="3"/>
    <n v="0"/>
    <n v="1"/>
    <n v="7"/>
    <n v="2"/>
    <n v="600"/>
    <n v="4"/>
    <n v="0"/>
    <n v="0.68008036441355113"/>
    <n v="0.31991963558644892"/>
    <x v="2"/>
  </r>
  <r>
    <n v="12"/>
    <n v="60"/>
    <n v="2"/>
    <n v="0"/>
    <n v="0"/>
    <n v="4"/>
    <n v="0"/>
    <n v="9604.34"/>
    <n v="4"/>
    <n v="0"/>
    <n v="0.68024371231806857"/>
    <n v="0.31975628768193137"/>
    <x v="2"/>
  </r>
  <r>
    <n v="9"/>
    <n v="45"/>
    <n v="1"/>
    <n v="0"/>
    <n v="3"/>
    <n v="8"/>
    <n v="2"/>
    <n v="4800"/>
    <n v="8"/>
    <n v="0"/>
    <n v="0.68026488016985576"/>
    <n v="0.31973511983014419"/>
    <x v="2"/>
  </r>
  <r>
    <n v="7"/>
    <n v="34"/>
    <n v="1"/>
    <n v="1"/>
    <n v="3"/>
    <n v="3"/>
    <n v="0"/>
    <n v="13000"/>
    <n v="2"/>
    <n v="0"/>
    <n v="0.68027053910209934"/>
    <n v="0.31972946089790072"/>
    <x v="2"/>
  </r>
  <r>
    <n v="6"/>
    <n v="32"/>
    <n v="1"/>
    <n v="0"/>
    <n v="3"/>
    <n v="8"/>
    <n v="3"/>
    <n v="0.01"/>
    <n v="8"/>
    <n v="1"/>
    <n v="0.68040339917898285"/>
    <n v="0.3195966008210171"/>
    <x v="2"/>
  </r>
  <r>
    <n v="11"/>
    <n v="53"/>
    <n v="5"/>
    <n v="0"/>
    <n v="3"/>
    <n v="8"/>
    <n v="0"/>
    <n v="12053.35"/>
    <n v="7"/>
    <n v="0"/>
    <n v="0.68042621041510865"/>
    <n v="0.31957378958489141"/>
    <x v="2"/>
  </r>
  <r>
    <n v="10"/>
    <n v="51"/>
    <n v="1"/>
    <n v="0"/>
    <n v="3"/>
    <n v="3"/>
    <n v="0"/>
    <n v="5350.99"/>
    <n v="8"/>
    <n v="0"/>
    <n v="0.68047531935472583"/>
    <n v="0.31952468064527417"/>
    <x v="2"/>
  </r>
  <r>
    <n v="11"/>
    <n v="46"/>
    <n v="5"/>
    <n v="1"/>
    <n v="3"/>
    <n v="3"/>
    <n v="3"/>
    <n v="0.01"/>
    <n v="5"/>
    <n v="0"/>
    <n v="0.68060835154060118"/>
    <n v="0.31939164845939882"/>
    <x v="2"/>
  </r>
  <r>
    <n v="7"/>
    <n v="36"/>
    <n v="2"/>
    <n v="0"/>
    <n v="3"/>
    <n v="3"/>
    <n v="3"/>
    <n v="0.01"/>
    <n v="4"/>
    <n v="0"/>
    <n v="0.68061509863383096"/>
    <n v="0.31938490136616898"/>
    <x v="2"/>
  </r>
  <r>
    <n v="7"/>
    <n v="34"/>
    <n v="1"/>
    <n v="1"/>
    <n v="3"/>
    <n v="3"/>
    <n v="0"/>
    <n v="6950"/>
    <n v="8"/>
    <n v="0"/>
    <n v="0.68071357134219479"/>
    <n v="0.31928642865780532"/>
    <x v="2"/>
  </r>
  <r>
    <n v="10"/>
    <n v="51"/>
    <n v="1"/>
    <n v="0"/>
    <n v="0"/>
    <n v="2"/>
    <n v="2"/>
    <n v="5000"/>
    <n v="5"/>
    <n v="0"/>
    <n v="0.68084046081628968"/>
    <n v="0.31915953918371032"/>
    <x v="2"/>
  </r>
  <r>
    <n v="11"/>
    <n v="51"/>
    <n v="5"/>
    <n v="0"/>
    <n v="3"/>
    <n v="3"/>
    <n v="3"/>
    <n v="0.01"/>
    <n v="8"/>
    <n v="0"/>
    <n v="0.68094251506070558"/>
    <n v="0.31905748493929442"/>
    <x v="2"/>
  </r>
  <r>
    <n v="8"/>
    <n v="37"/>
    <n v="1"/>
    <n v="1"/>
    <n v="1"/>
    <n v="7"/>
    <n v="2"/>
    <n v="1000"/>
    <n v="5"/>
    <n v="0"/>
    <n v="0.68144727760203727"/>
    <n v="0.31855272239796267"/>
    <x v="2"/>
  </r>
  <r>
    <n v="5"/>
    <n v="28"/>
    <n v="5"/>
    <n v="0"/>
    <n v="0"/>
    <n v="4"/>
    <n v="3"/>
    <n v="0.01"/>
    <n v="5"/>
    <n v="0"/>
    <n v="0.68145818806438374"/>
    <n v="0.31854181193561631"/>
    <x v="2"/>
  </r>
  <r>
    <n v="11"/>
    <n v="52"/>
    <n v="4"/>
    <n v="0"/>
    <n v="1"/>
    <n v="7"/>
    <n v="3"/>
    <n v="0.01"/>
    <n v="5"/>
    <n v="0"/>
    <n v="0.68155806848724265"/>
    <n v="0.31844193151275729"/>
    <x v="2"/>
  </r>
  <r>
    <n v="11"/>
    <n v="51"/>
    <n v="2"/>
    <n v="1"/>
    <n v="2"/>
    <n v="1"/>
    <n v="0"/>
    <n v="6000"/>
    <n v="33"/>
    <n v="0"/>
    <n v="0.6816668772159491"/>
    <n v="0.3183331227840509"/>
    <x v="2"/>
  </r>
  <r>
    <n v="7"/>
    <n v="37"/>
    <n v="3"/>
    <n v="0"/>
    <n v="1"/>
    <n v="7"/>
    <n v="2"/>
    <n v="720"/>
    <n v="5"/>
    <n v="0"/>
    <n v="0.68172877404652488"/>
    <n v="0.31827122595347512"/>
    <x v="2"/>
  </r>
  <r>
    <n v="7"/>
    <n v="37"/>
    <n v="3"/>
    <n v="0"/>
    <n v="1"/>
    <n v="7"/>
    <n v="2"/>
    <n v="650"/>
    <n v="4"/>
    <n v="1"/>
    <n v="0.68203199439951179"/>
    <n v="0.31796800560048821"/>
    <x v="2"/>
  </r>
  <r>
    <n v="8"/>
    <n v="41"/>
    <n v="2"/>
    <n v="0"/>
    <n v="3"/>
    <n v="3"/>
    <n v="2"/>
    <n v="3000"/>
    <n v="5"/>
    <n v="1"/>
    <n v="0.68213952887775331"/>
    <n v="0.31786047112224669"/>
    <x v="2"/>
  </r>
  <r>
    <n v="9"/>
    <n v="47"/>
    <n v="1"/>
    <n v="0"/>
    <n v="3"/>
    <n v="3"/>
    <n v="0"/>
    <n v="7522.49"/>
    <n v="1"/>
    <n v="0"/>
    <n v="0.68232459815756374"/>
    <n v="0.31767540184243631"/>
    <x v="2"/>
  </r>
  <r>
    <n v="10"/>
    <n v="46"/>
    <n v="1"/>
    <n v="1"/>
    <n v="0"/>
    <n v="4"/>
    <n v="2"/>
    <n v="5000"/>
    <n v="4"/>
    <n v="0"/>
    <n v="0.68233167645565396"/>
    <n v="0.3176683235443461"/>
    <x v="2"/>
  </r>
  <r>
    <n v="13"/>
    <n v="62"/>
    <n v="5"/>
    <n v="0"/>
    <n v="3"/>
    <n v="3"/>
    <n v="0"/>
    <n v="18000"/>
    <n v="12"/>
    <n v="0"/>
    <n v="0.68274319541946238"/>
    <n v="0.31725680458053762"/>
    <x v="2"/>
  </r>
  <r>
    <n v="12"/>
    <n v="59"/>
    <n v="2"/>
    <n v="0"/>
    <n v="3"/>
    <n v="3"/>
    <n v="0"/>
    <n v="12107.64"/>
    <n v="6"/>
    <n v="1"/>
    <n v="0.68306634855580373"/>
    <n v="0.31693365144419622"/>
    <x v="2"/>
  </r>
  <r>
    <n v="10"/>
    <n v="52"/>
    <n v="2"/>
    <n v="0"/>
    <n v="0"/>
    <n v="4"/>
    <n v="0"/>
    <n v="6000"/>
    <n v="3"/>
    <n v="0"/>
    <n v="0.68309416345886476"/>
    <n v="0.3169058365411353"/>
    <x v="2"/>
  </r>
  <r>
    <n v="7"/>
    <n v="36"/>
    <n v="4"/>
    <n v="0"/>
    <n v="3"/>
    <n v="3"/>
    <n v="2"/>
    <n v="500"/>
    <n v="1"/>
    <n v="1"/>
    <n v="0.68314072640165491"/>
    <n v="0.31685927359834509"/>
    <x v="2"/>
  </r>
  <r>
    <n v="10"/>
    <n v="49"/>
    <n v="2"/>
    <n v="0"/>
    <n v="2"/>
    <n v="1"/>
    <n v="3"/>
    <n v="0.01"/>
    <n v="4"/>
    <n v="1"/>
    <n v="0.68315406408339885"/>
    <n v="0.3168459359166011"/>
    <x v="2"/>
  </r>
  <r>
    <n v="8"/>
    <n v="39"/>
    <n v="4"/>
    <n v="0"/>
    <n v="3"/>
    <n v="8"/>
    <n v="3"/>
    <n v="0.01"/>
    <n v="8"/>
    <n v="0"/>
    <n v="0.6831566310271141"/>
    <n v="0.3168433689728859"/>
    <x v="2"/>
  </r>
  <r>
    <n v="8"/>
    <n v="42"/>
    <n v="0"/>
    <n v="0"/>
    <n v="3"/>
    <n v="3"/>
    <n v="2"/>
    <n v="3052.66"/>
    <n v="7"/>
    <n v="0"/>
    <n v="0.6832039857079264"/>
    <n v="0.31679601429207371"/>
    <x v="2"/>
  </r>
  <r>
    <n v="9"/>
    <n v="45"/>
    <n v="5"/>
    <n v="0"/>
    <n v="0"/>
    <n v="4"/>
    <n v="2"/>
    <n v="480"/>
    <n v="1"/>
    <n v="0"/>
    <n v="0.6832879344960352"/>
    <n v="0.31671206550396491"/>
    <x v="2"/>
  </r>
  <r>
    <n v="9"/>
    <n v="45"/>
    <n v="2"/>
    <n v="0"/>
    <n v="3"/>
    <n v="3"/>
    <n v="2"/>
    <n v="1000"/>
    <n v="1"/>
    <n v="0"/>
    <n v="0.68329646127295884"/>
    <n v="0.31670353872704121"/>
    <x v="2"/>
  </r>
  <r>
    <n v="15"/>
    <n v="70"/>
    <n v="2"/>
    <n v="0"/>
    <n v="0"/>
    <n v="4"/>
    <n v="3"/>
    <n v="0.01"/>
    <n v="7"/>
    <n v="1"/>
    <n v="0.68333340762110106"/>
    <n v="0.31666659237889899"/>
    <x v="2"/>
  </r>
  <r>
    <n v="10"/>
    <n v="50"/>
    <n v="0"/>
    <n v="0"/>
    <n v="3"/>
    <n v="3"/>
    <n v="2"/>
    <n v="1000"/>
    <n v="4"/>
    <n v="0"/>
    <n v="0.68344613611548466"/>
    <n v="0.31655386388451529"/>
    <x v="2"/>
  </r>
  <r>
    <n v="10"/>
    <n v="51"/>
    <n v="1"/>
    <n v="0"/>
    <n v="0"/>
    <n v="4"/>
    <n v="2"/>
    <n v="1000"/>
    <n v="9"/>
    <n v="0"/>
    <n v="0.68350370515893522"/>
    <n v="0.31649629484106478"/>
    <x v="2"/>
  </r>
  <r>
    <n v="8"/>
    <n v="39"/>
    <n v="5"/>
    <n v="0"/>
    <n v="3"/>
    <n v="3"/>
    <n v="3"/>
    <n v="0.01"/>
    <n v="5"/>
    <n v="1"/>
    <n v="0.68374301198218002"/>
    <n v="0.31625698801781998"/>
    <x v="2"/>
  </r>
  <r>
    <n v="8"/>
    <n v="42"/>
    <n v="3"/>
    <n v="0"/>
    <n v="0"/>
    <n v="4"/>
    <n v="2"/>
    <n v="3000"/>
    <n v="3"/>
    <n v="1"/>
    <n v="0.68414426588625765"/>
    <n v="0.31585573411374229"/>
    <x v="2"/>
  </r>
  <r>
    <n v="12"/>
    <n v="49"/>
    <n v="1"/>
    <n v="2"/>
    <n v="3"/>
    <n v="8"/>
    <n v="0"/>
    <n v="6000"/>
    <n v="1"/>
    <n v="0"/>
    <n v="0.68449889872271719"/>
    <n v="0.31550110127728292"/>
    <x v="2"/>
  </r>
  <r>
    <n v="10"/>
    <n v="49"/>
    <n v="4"/>
    <n v="0"/>
    <n v="1"/>
    <n v="7"/>
    <n v="2"/>
    <n v="840.01"/>
    <n v="8"/>
    <n v="0"/>
    <n v="0.68458350598438789"/>
    <n v="0.31541649401561211"/>
    <x v="2"/>
  </r>
  <r>
    <n v="10"/>
    <n v="48"/>
    <n v="5"/>
    <n v="0"/>
    <n v="1"/>
    <n v="5"/>
    <n v="3"/>
    <n v="0.01"/>
    <n v="8"/>
    <n v="1"/>
    <n v="0.6846946495858911"/>
    <n v="0.3153053504141089"/>
    <x v="2"/>
  </r>
  <r>
    <n v="13"/>
    <n v="61"/>
    <n v="3"/>
    <n v="0"/>
    <n v="3"/>
    <n v="3"/>
    <n v="2"/>
    <n v="4200"/>
    <n v="2"/>
    <n v="0"/>
    <n v="0.68497647484580448"/>
    <n v="0.31502352515419552"/>
    <x v="2"/>
  </r>
  <r>
    <n v="6"/>
    <n v="32"/>
    <n v="3"/>
    <n v="0"/>
    <n v="1"/>
    <n v="12"/>
    <n v="3"/>
    <n v="0.01"/>
    <n v="5"/>
    <n v="0"/>
    <n v="0.6850752157307497"/>
    <n v="0.3149247842692503"/>
    <x v="2"/>
  </r>
  <r>
    <n v="13"/>
    <n v="62"/>
    <n v="1"/>
    <n v="0"/>
    <n v="3"/>
    <n v="3"/>
    <n v="2"/>
    <n v="1530"/>
    <n v="9"/>
    <n v="1"/>
    <n v="0.68559657739834301"/>
    <n v="0.31440342260165699"/>
    <x v="2"/>
  </r>
  <r>
    <n v="12"/>
    <n v="61"/>
    <n v="1"/>
    <n v="0"/>
    <n v="0"/>
    <n v="4"/>
    <n v="0"/>
    <n v="12000"/>
    <n v="8"/>
    <n v="0"/>
    <n v="0.68562901734450532"/>
    <n v="0.31437098265549468"/>
    <x v="2"/>
  </r>
  <r>
    <n v="10"/>
    <n v="51"/>
    <n v="2"/>
    <n v="0"/>
    <n v="0"/>
    <n v="2"/>
    <n v="2"/>
    <n v="2500"/>
    <n v="11"/>
    <n v="0"/>
    <n v="0.68573552686349148"/>
    <n v="0.31426447313650863"/>
    <x v="2"/>
  </r>
  <r>
    <n v="6"/>
    <n v="34"/>
    <n v="3"/>
    <n v="0"/>
    <n v="0"/>
    <n v="4"/>
    <n v="2"/>
    <n v="480"/>
    <n v="5"/>
    <n v="1"/>
    <n v="0.68576996422518977"/>
    <n v="0.31423003577481018"/>
    <x v="2"/>
  </r>
  <r>
    <n v="11"/>
    <n v="54"/>
    <n v="5"/>
    <n v="0"/>
    <n v="3"/>
    <n v="3"/>
    <n v="0"/>
    <n v="16719.810000000001"/>
    <n v="5"/>
    <n v="0"/>
    <n v="0.68643585509038951"/>
    <n v="0.31356414490961049"/>
    <x v="2"/>
  </r>
  <r>
    <n v="9"/>
    <n v="42"/>
    <n v="2"/>
    <n v="1"/>
    <n v="0"/>
    <n v="2"/>
    <n v="2"/>
    <n v="600.01"/>
    <n v="9"/>
    <n v="0"/>
    <n v="0.6864377178935982"/>
    <n v="0.3135622821064018"/>
    <x v="2"/>
  </r>
  <r>
    <n v="11"/>
    <n v="51"/>
    <n v="5"/>
    <n v="0"/>
    <n v="3"/>
    <n v="8"/>
    <n v="3"/>
    <n v="0.01"/>
    <n v="9"/>
    <n v="1"/>
    <n v="0.68659940974660794"/>
    <n v="0.31340059025339201"/>
    <x v="2"/>
  </r>
  <r>
    <n v="11"/>
    <n v="55"/>
    <n v="4"/>
    <n v="0"/>
    <n v="2"/>
    <n v="0"/>
    <n v="1"/>
    <n v="33964.949999999997"/>
    <n v="8"/>
    <n v="0"/>
    <n v="0.68672595909040479"/>
    <n v="0.31327404090959521"/>
    <x v="2"/>
  </r>
  <r>
    <n v="10"/>
    <n v="52"/>
    <n v="0"/>
    <n v="0"/>
    <n v="3"/>
    <n v="3"/>
    <n v="0"/>
    <n v="6000"/>
    <n v="10"/>
    <n v="0"/>
    <n v="0.68701746643307915"/>
    <n v="0.31298253356692091"/>
    <x v="2"/>
  </r>
  <r>
    <n v="12"/>
    <n v="51"/>
    <n v="4"/>
    <n v="1"/>
    <n v="3"/>
    <n v="3"/>
    <n v="3"/>
    <n v="0.01"/>
    <n v="5"/>
    <n v="0"/>
    <n v="0.68727672846830923"/>
    <n v="0.31272327153169083"/>
    <x v="2"/>
  </r>
  <r>
    <n v="11"/>
    <n v="54"/>
    <n v="1"/>
    <n v="0"/>
    <n v="3"/>
    <n v="3"/>
    <n v="2"/>
    <n v="1017.55"/>
    <n v="8"/>
    <n v="1"/>
    <n v="0.68735158546831887"/>
    <n v="0.31264841453168107"/>
    <x v="2"/>
  </r>
  <r>
    <n v="10"/>
    <n v="51"/>
    <n v="2"/>
    <n v="0"/>
    <n v="0"/>
    <n v="2"/>
    <n v="2"/>
    <n v="1800"/>
    <n v="5"/>
    <n v="0"/>
    <n v="0.68763705235335315"/>
    <n v="0.31236294764664679"/>
    <x v="2"/>
  </r>
  <r>
    <n v="16"/>
    <n v="76"/>
    <n v="0"/>
    <n v="0"/>
    <n v="3"/>
    <n v="3"/>
    <n v="1"/>
    <n v="20664.939999999999"/>
    <n v="9"/>
    <n v="1"/>
    <n v="0.68777755128439655"/>
    <n v="0.31222244871560351"/>
    <x v="2"/>
  </r>
  <r>
    <n v="10"/>
    <n v="51"/>
    <n v="2"/>
    <n v="0"/>
    <n v="3"/>
    <n v="3"/>
    <n v="0"/>
    <n v="5300"/>
    <n v="2"/>
    <n v="0"/>
    <n v="0.68784250117519652"/>
    <n v="0.31215749882480343"/>
    <x v="2"/>
  </r>
  <r>
    <n v="10"/>
    <n v="50"/>
    <n v="5"/>
    <n v="0"/>
    <n v="3"/>
    <n v="3"/>
    <n v="0"/>
    <n v="10000"/>
    <n v="9"/>
    <n v="0"/>
    <n v="0.68830728868794788"/>
    <n v="0.31169271131205212"/>
    <x v="2"/>
  </r>
  <r>
    <n v="13"/>
    <n v="58"/>
    <n v="1"/>
    <n v="1"/>
    <n v="0"/>
    <n v="2"/>
    <n v="3"/>
    <n v="0.01"/>
    <n v="7"/>
    <n v="0"/>
    <n v="0.68840569378170291"/>
    <n v="0.31159430621829709"/>
    <x v="2"/>
  </r>
  <r>
    <n v="10"/>
    <n v="51"/>
    <n v="2"/>
    <n v="0"/>
    <n v="0"/>
    <n v="4"/>
    <n v="2"/>
    <n v="3000"/>
    <n v="9"/>
    <n v="1"/>
    <n v="0.68847523880046702"/>
    <n v="0.31152476119953298"/>
    <x v="2"/>
  </r>
  <r>
    <n v="9"/>
    <n v="40"/>
    <n v="3"/>
    <n v="1"/>
    <n v="1"/>
    <n v="7"/>
    <n v="3"/>
    <n v="0.01"/>
    <n v="5"/>
    <n v="0"/>
    <n v="0.68900315558476799"/>
    <n v="0.31099684441523201"/>
    <x v="2"/>
  </r>
  <r>
    <n v="15"/>
    <n v="58"/>
    <n v="5"/>
    <n v="2"/>
    <n v="3"/>
    <n v="3"/>
    <n v="3"/>
    <n v="0.01"/>
    <n v="7"/>
    <n v="0"/>
    <n v="0.68926655918777968"/>
    <n v="0.31073344081222032"/>
    <x v="2"/>
  </r>
  <r>
    <n v="12"/>
    <n v="60"/>
    <n v="2"/>
    <n v="0"/>
    <n v="2"/>
    <n v="1"/>
    <n v="0"/>
    <n v="8400"/>
    <n v="3"/>
    <n v="0"/>
    <n v="0.68965323042035265"/>
    <n v="0.31034676957964741"/>
    <x v="2"/>
  </r>
  <r>
    <n v="9"/>
    <n v="42"/>
    <n v="3"/>
    <n v="1"/>
    <n v="3"/>
    <n v="3"/>
    <n v="0"/>
    <n v="7200"/>
    <n v="11"/>
    <n v="1"/>
    <n v="0.68983681236954664"/>
    <n v="0.31016318763045342"/>
    <x v="2"/>
  </r>
  <r>
    <n v="8"/>
    <n v="37"/>
    <n v="1"/>
    <n v="1"/>
    <n v="3"/>
    <n v="3"/>
    <n v="2"/>
    <n v="1500"/>
    <n v="1"/>
    <n v="0"/>
    <n v="0.68990112808345216"/>
    <n v="0.31009887191654789"/>
    <x v="2"/>
  </r>
  <r>
    <n v="10"/>
    <n v="52"/>
    <n v="2"/>
    <n v="0"/>
    <n v="1"/>
    <n v="5"/>
    <n v="0"/>
    <n v="8000"/>
    <n v="2"/>
    <n v="0"/>
    <n v="0.68997550092768556"/>
    <n v="0.31002449907231439"/>
    <x v="2"/>
  </r>
  <r>
    <n v="9"/>
    <n v="46"/>
    <n v="3"/>
    <n v="0"/>
    <n v="0"/>
    <n v="2"/>
    <n v="3"/>
    <n v="0.01"/>
    <n v="9"/>
    <n v="1"/>
    <n v="0.68997818317913606"/>
    <n v="0.31002181682086399"/>
    <x v="2"/>
  </r>
  <r>
    <n v="9"/>
    <n v="46"/>
    <n v="1"/>
    <n v="0"/>
    <n v="1"/>
    <n v="7"/>
    <n v="3"/>
    <n v="0.01"/>
    <n v="11"/>
    <n v="0"/>
    <n v="0.69012723842066226"/>
    <n v="0.3098727615793378"/>
    <x v="2"/>
  </r>
  <r>
    <n v="8"/>
    <n v="42"/>
    <n v="1"/>
    <n v="0"/>
    <n v="3"/>
    <n v="3"/>
    <n v="2"/>
    <n v="1000"/>
    <n v="4"/>
    <n v="0"/>
    <n v="0.69040221966170612"/>
    <n v="0.30959778033829388"/>
    <x v="2"/>
  </r>
  <r>
    <n v="8"/>
    <n v="42"/>
    <n v="1"/>
    <n v="0"/>
    <n v="3"/>
    <n v="3"/>
    <n v="2"/>
    <n v="0.02"/>
    <n v="5"/>
    <n v="1"/>
    <n v="0.69047192889910525"/>
    <n v="0.30952807110089481"/>
    <x v="2"/>
  </r>
  <r>
    <n v="9"/>
    <n v="48"/>
    <n v="2"/>
    <n v="0"/>
    <n v="0"/>
    <n v="10"/>
    <n v="0"/>
    <n v="6000"/>
    <n v="4"/>
    <n v="0"/>
    <n v="0.69055204728633235"/>
    <n v="0.30944795271366771"/>
    <x v="2"/>
  </r>
  <r>
    <n v="10"/>
    <n v="49"/>
    <n v="4"/>
    <n v="0"/>
    <n v="1"/>
    <n v="12"/>
    <n v="2"/>
    <n v="540"/>
    <n v="8"/>
    <n v="0"/>
    <n v="0.69058322110547821"/>
    <n v="0.30941677889452179"/>
    <x v="2"/>
  </r>
  <r>
    <n v="16"/>
    <n v="76"/>
    <n v="4"/>
    <n v="0"/>
    <n v="0"/>
    <n v="4"/>
    <n v="0"/>
    <n v="6000"/>
    <n v="2"/>
    <n v="1"/>
    <n v="0.69078410260186618"/>
    <n v="0.30921589739813388"/>
    <x v="2"/>
  </r>
  <r>
    <n v="12"/>
    <n v="59"/>
    <n v="3"/>
    <n v="0"/>
    <n v="3"/>
    <n v="3"/>
    <n v="0"/>
    <n v="6000"/>
    <n v="6"/>
    <n v="0"/>
    <n v="0.69083863327500117"/>
    <n v="0.30916136672499878"/>
    <x v="2"/>
  </r>
  <r>
    <n v="9"/>
    <n v="44"/>
    <n v="5"/>
    <n v="0"/>
    <n v="3"/>
    <n v="8"/>
    <n v="2"/>
    <n v="1200"/>
    <n v="9"/>
    <n v="0"/>
    <n v="0.69094501599694191"/>
    <n v="0.30905498400305809"/>
    <x v="2"/>
  </r>
  <r>
    <n v="7"/>
    <n v="41"/>
    <n v="1"/>
    <n v="0"/>
    <n v="0"/>
    <n v="4"/>
    <n v="0"/>
    <n v="9000"/>
    <n v="1"/>
    <n v="0"/>
    <n v="0.69183257761506911"/>
    <n v="0.30816742238493089"/>
    <x v="2"/>
  </r>
  <r>
    <n v="7"/>
    <n v="37"/>
    <n v="2"/>
    <n v="0"/>
    <n v="3"/>
    <n v="3"/>
    <n v="3"/>
    <n v="0.01"/>
    <n v="10"/>
    <n v="0"/>
    <n v="0.69190984657090127"/>
    <n v="0.30809015342909868"/>
    <x v="2"/>
  </r>
  <r>
    <n v="10"/>
    <n v="51"/>
    <n v="2"/>
    <n v="0"/>
    <n v="3"/>
    <n v="8"/>
    <n v="0"/>
    <n v="6000"/>
    <n v="6"/>
    <n v="0"/>
    <n v="0.69237179967344176"/>
    <n v="0.30762820032655819"/>
    <x v="2"/>
  </r>
  <r>
    <n v="14"/>
    <n v="60"/>
    <n v="3"/>
    <n v="1"/>
    <n v="3"/>
    <n v="3"/>
    <n v="3"/>
    <n v="0.01"/>
    <n v="8"/>
    <n v="0"/>
    <n v="0.69240579736257579"/>
    <n v="0.30759420263742421"/>
    <x v="2"/>
  </r>
  <r>
    <n v="11"/>
    <n v="49"/>
    <n v="1"/>
    <n v="1"/>
    <n v="3"/>
    <n v="8"/>
    <n v="2"/>
    <n v="0.02"/>
    <n v="8"/>
    <n v="0"/>
    <n v="0.69242065506907047"/>
    <n v="0.30757934493092948"/>
    <x v="2"/>
  </r>
  <r>
    <n v="6"/>
    <n v="32"/>
    <n v="0"/>
    <n v="1"/>
    <n v="2"/>
    <n v="1"/>
    <n v="0"/>
    <n v="5264"/>
    <n v="12"/>
    <n v="1"/>
    <n v="0.69259774115887018"/>
    <n v="0.30740225884112982"/>
    <x v="2"/>
  </r>
  <r>
    <n v="11"/>
    <n v="49"/>
    <n v="2"/>
    <n v="1"/>
    <n v="0"/>
    <n v="11"/>
    <n v="3"/>
    <n v="0.01"/>
    <n v="8"/>
    <n v="0"/>
    <n v="0.69274174791764309"/>
    <n v="0.30725825208235691"/>
    <x v="2"/>
  </r>
  <r>
    <n v="9"/>
    <n v="44"/>
    <n v="5"/>
    <n v="0"/>
    <n v="3"/>
    <n v="8"/>
    <n v="2"/>
    <n v="241.46"/>
    <n v="3"/>
    <n v="1"/>
    <n v="0.69291778619422417"/>
    <n v="0.30708221380577583"/>
    <x v="2"/>
  </r>
  <r>
    <n v="8"/>
    <n v="42"/>
    <n v="3"/>
    <n v="0"/>
    <n v="0"/>
    <n v="4"/>
    <n v="3"/>
    <n v="0.01"/>
    <n v="8"/>
    <n v="1"/>
    <n v="0.69323839154831823"/>
    <n v="0.30676160845168182"/>
    <x v="2"/>
  </r>
  <r>
    <n v="10"/>
    <n v="51"/>
    <n v="1"/>
    <n v="0"/>
    <n v="1"/>
    <n v="7"/>
    <n v="2"/>
    <n v="3000"/>
    <n v="6"/>
    <n v="0"/>
    <n v="0.69326886283150246"/>
    <n v="0.30673113716849748"/>
    <x v="2"/>
  </r>
  <r>
    <n v="10"/>
    <n v="52"/>
    <n v="1"/>
    <n v="0"/>
    <n v="1"/>
    <n v="12"/>
    <n v="0"/>
    <n v="6000"/>
    <n v="1"/>
    <n v="0"/>
    <n v="0.69352179376411371"/>
    <n v="0.30647820623588629"/>
    <x v="2"/>
  </r>
  <r>
    <n v="10"/>
    <n v="52"/>
    <n v="3"/>
    <n v="0"/>
    <n v="0"/>
    <n v="11"/>
    <n v="0"/>
    <n v="12106.7"/>
    <n v="7"/>
    <n v="0"/>
    <n v="0.69376426898611898"/>
    <n v="0.30623573101388102"/>
    <x v="2"/>
  </r>
  <r>
    <n v="10"/>
    <n v="50"/>
    <n v="5"/>
    <n v="0"/>
    <n v="0"/>
    <n v="4"/>
    <n v="2"/>
    <n v="1000"/>
    <n v="6"/>
    <n v="0"/>
    <n v="0.69398410403051858"/>
    <n v="0.30601589596948142"/>
    <x v="2"/>
  </r>
  <r>
    <n v="11"/>
    <n v="56"/>
    <n v="1"/>
    <n v="0"/>
    <n v="3"/>
    <n v="3"/>
    <n v="0"/>
    <n v="6000"/>
    <n v="2"/>
    <n v="0"/>
    <n v="0.69418826791866473"/>
    <n v="0.30581173208133527"/>
    <x v="2"/>
  </r>
  <r>
    <n v="8"/>
    <n v="43"/>
    <n v="1"/>
    <n v="0"/>
    <n v="0"/>
    <n v="11"/>
    <n v="2"/>
    <n v="1200"/>
    <n v="4"/>
    <n v="0"/>
    <n v="0.69434103306670114"/>
    <n v="0.30565896693329891"/>
    <x v="2"/>
  </r>
  <r>
    <n v="8"/>
    <n v="37"/>
    <n v="5"/>
    <n v="1"/>
    <n v="0"/>
    <n v="4"/>
    <n v="2"/>
    <n v="1000"/>
    <n v="5"/>
    <n v="0"/>
    <n v="0.69439503496490984"/>
    <n v="0.30560496503509021"/>
    <x v="2"/>
  </r>
  <r>
    <n v="10"/>
    <n v="51"/>
    <n v="0"/>
    <n v="0"/>
    <n v="3"/>
    <n v="3"/>
    <n v="2"/>
    <n v="3000"/>
    <n v="8"/>
    <n v="0"/>
    <n v="0.69454729573069907"/>
    <n v="0.30545270426930088"/>
    <x v="2"/>
  </r>
  <r>
    <n v="9"/>
    <n v="46"/>
    <n v="2"/>
    <n v="0"/>
    <n v="1"/>
    <n v="12"/>
    <n v="2"/>
    <n v="500"/>
    <n v="1"/>
    <n v="0"/>
    <n v="0.69476625182319285"/>
    <n v="0.30523374817680721"/>
    <x v="2"/>
  </r>
  <r>
    <n v="10"/>
    <n v="49"/>
    <n v="2"/>
    <n v="0"/>
    <n v="4"/>
    <n v="9"/>
    <n v="2"/>
    <n v="1000"/>
    <n v="4"/>
    <n v="0"/>
    <n v="0.69496759528255903"/>
    <n v="0.30503240471744097"/>
    <x v="2"/>
  </r>
  <r>
    <n v="11"/>
    <n v="50"/>
    <n v="5"/>
    <n v="1"/>
    <n v="1"/>
    <n v="7"/>
    <n v="0"/>
    <n v="6000"/>
    <n v="2"/>
    <n v="0"/>
    <n v="0.6951961112473185"/>
    <n v="0.3048038887526815"/>
    <x v="2"/>
  </r>
  <r>
    <n v="10"/>
    <n v="51"/>
    <n v="1"/>
    <n v="0"/>
    <n v="4"/>
    <n v="9"/>
    <n v="0"/>
    <n v="6000"/>
    <n v="1"/>
    <n v="0"/>
    <n v="0.69535348093527294"/>
    <n v="0.30464651906472712"/>
    <x v="2"/>
  </r>
  <r>
    <n v="11"/>
    <n v="48"/>
    <n v="2"/>
    <n v="1"/>
    <n v="3"/>
    <n v="8"/>
    <n v="3"/>
    <n v="0.01"/>
    <n v="5"/>
    <n v="0"/>
    <n v="0.69539326864114348"/>
    <n v="0.30460673135885652"/>
    <x v="2"/>
  </r>
  <r>
    <n v="11"/>
    <n v="50"/>
    <n v="0"/>
    <n v="1"/>
    <n v="2"/>
    <n v="1"/>
    <n v="3"/>
    <n v="0.01"/>
    <n v="5"/>
    <n v="0"/>
    <n v="0.69558204859466821"/>
    <n v="0.30441795140533168"/>
    <x v="2"/>
  </r>
  <r>
    <n v="6"/>
    <n v="36"/>
    <n v="0"/>
    <n v="0"/>
    <n v="0"/>
    <n v="4"/>
    <n v="2"/>
    <n v="45"/>
    <n v="2"/>
    <n v="1"/>
    <n v="0.69559589827851154"/>
    <n v="0.30440410172148841"/>
    <x v="2"/>
  </r>
  <r>
    <n v="12"/>
    <n v="60"/>
    <n v="1"/>
    <n v="0"/>
    <n v="3"/>
    <n v="3"/>
    <n v="1"/>
    <n v="22500"/>
    <n v="8"/>
    <n v="0"/>
    <n v="0.69560744306885702"/>
    <n v="0.30439255693114298"/>
    <x v="2"/>
  </r>
  <r>
    <n v="12"/>
    <n v="60"/>
    <n v="2"/>
    <n v="0"/>
    <n v="3"/>
    <n v="3"/>
    <n v="0"/>
    <n v="10007.67"/>
    <n v="9"/>
    <n v="1"/>
    <n v="0.69584754663909987"/>
    <n v="0.30415245336090008"/>
    <x v="2"/>
  </r>
  <r>
    <n v="5"/>
    <n v="29"/>
    <n v="4"/>
    <n v="0"/>
    <n v="3"/>
    <n v="3"/>
    <n v="2"/>
    <n v="1420"/>
    <n v="5"/>
    <n v="1"/>
    <n v="0.69589751398762667"/>
    <n v="0.30410248601237327"/>
    <x v="2"/>
  </r>
  <r>
    <n v="10"/>
    <n v="52"/>
    <n v="1"/>
    <n v="0"/>
    <n v="0"/>
    <n v="4"/>
    <n v="2"/>
    <n v="5000"/>
    <n v="5"/>
    <n v="0"/>
    <n v="0.6960988968720192"/>
    <n v="0.30390110312798069"/>
    <x v="2"/>
  </r>
  <r>
    <n v="13"/>
    <n v="64"/>
    <n v="1"/>
    <n v="0"/>
    <n v="3"/>
    <n v="8"/>
    <n v="0"/>
    <n v="12000"/>
    <n v="4"/>
    <n v="0"/>
    <n v="0.69613070111587705"/>
    <n v="0.30386929888412301"/>
    <x v="2"/>
  </r>
  <r>
    <n v="12"/>
    <n v="59"/>
    <n v="4"/>
    <n v="0"/>
    <n v="3"/>
    <n v="3"/>
    <n v="0"/>
    <n v="6053.36"/>
    <n v="7"/>
    <n v="0"/>
    <n v="0.69613801615713533"/>
    <n v="0.30386198384286472"/>
    <x v="2"/>
  </r>
  <r>
    <n v="8"/>
    <n v="41"/>
    <n v="5"/>
    <n v="0"/>
    <n v="2"/>
    <n v="6"/>
    <n v="2"/>
    <n v="50"/>
    <n v="9"/>
    <n v="0"/>
    <n v="0.69639419399166069"/>
    <n v="0.30360580600833942"/>
    <x v="2"/>
  </r>
  <r>
    <n v="6"/>
    <n v="34"/>
    <n v="2"/>
    <n v="0"/>
    <n v="0"/>
    <n v="11"/>
    <n v="3"/>
    <n v="0.01"/>
    <n v="8"/>
    <n v="1"/>
    <n v="0.69708818404589534"/>
    <n v="0.30291181595410471"/>
    <x v="2"/>
  </r>
  <r>
    <n v="11"/>
    <n v="49"/>
    <n v="3"/>
    <n v="1"/>
    <n v="3"/>
    <n v="3"/>
    <n v="2"/>
    <n v="4000"/>
    <n v="5"/>
    <n v="0"/>
    <n v="0.69720605732072349"/>
    <n v="0.30279394267927662"/>
    <x v="2"/>
  </r>
  <r>
    <n v="10"/>
    <n v="50"/>
    <n v="1"/>
    <n v="0"/>
    <n v="1"/>
    <n v="12"/>
    <n v="3"/>
    <n v="0.01"/>
    <n v="4"/>
    <n v="0"/>
    <n v="0.6972285789951983"/>
    <n v="0.3027714210048017"/>
    <x v="2"/>
  </r>
  <r>
    <n v="6"/>
    <n v="36"/>
    <n v="1"/>
    <n v="0"/>
    <n v="0"/>
    <n v="2"/>
    <n v="2"/>
    <n v="650"/>
    <n v="7"/>
    <n v="0"/>
    <n v="0.69727102470294633"/>
    <n v="0.30272897529705362"/>
    <x v="2"/>
  </r>
  <r>
    <n v="8"/>
    <n v="45"/>
    <n v="2"/>
    <n v="0"/>
    <n v="0"/>
    <n v="4"/>
    <n v="0"/>
    <n v="6000"/>
    <n v="1"/>
    <n v="0"/>
    <n v="0.69779404332281469"/>
    <n v="0.30220595667718531"/>
    <x v="2"/>
  </r>
  <r>
    <n v="6"/>
    <n v="35"/>
    <n v="5"/>
    <n v="0"/>
    <n v="0"/>
    <n v="11"/>
    <n v="0"/>
    <n v="6000"/>
    <n v="1"/>
    <n v="0"/>
    <n v="0.69843259085056408"/>
    <n v="0.30156740914943592"/>
    <x v="2"/>
  </r>
  <r>
    <n v="11"/>
    <n v="49"/>
    <n v="5"/>
    <n v="1"/>
    <n v="0"/>
    <n v="2"/>
    <n v="3"/>
    <n v="0.01"/>
    <n v="10"/>
    <n v="0"/>
    <n v="0.69844433871497702"/>
    <n v="0.30155566128502298"/>
    <x v="2"/>
  </r>
  <r>
    <n v="7"/>
    <n v="29"/>
    <n v="2"/>
    <n v="2"/>
    <n v="2"/>
    <n v="1"/>
    <n v="2"/>
    <n v="1000"/>
    <n v="5"/>
    <n v="0"/>
    <n v="0.6984702386538304"/>
    <n v="0.30152976134616949"/>
    <x v="2"/>
  </r>
  <r>
    <n v="15"/>
    <n v="66"/>
    <n v="5"/>
    <n v="1"/>
    <n v="3"/>
    <n v="3"/>
    <n v="0"/>
    <n v="10500"/>
    <n v="1"/>
    <n v="1"/>
    <n v="0.69875251918625669"/>
    <n v="0.30124748081374331"/>
    <x v="2"/>
  </r>
  <r>
    <n v="7"/>
    <n v="37"/>
    <n v="2"/>
    <n v="0"/>
    <n v="3"/>
    <n v="8"/>
    <n v="3"/>
    <n v="0.01"/>
    <n v="5"/>
    <n v="0"/>
    <n v="0.69908316713309482"/>
    <n v="0.30091683286690513"/>
    <x v="2"/>
  </r>
  <r>
    <n v="9"/>
    <n v="40"/>
    <n v="5"/>
    <n v="1"/>
    <n v="2"/>
    <n v="1"/>
    <n v="3"/>
    <n v="0.01"/>
    <n v="5"/>
    <n v="0"/>
    <n v="0.69921362391347097"/>
    <n v="0.30078637608652897"/>
    <x v="2"/>
  </r>
  <r>
    <n v="13"/>
    <n v="58"/>
    <n v="3"/>
    <n v="1"/>
    <n v="0"/>
    <n v="2"/>
    <n v="3"/>
    <n v="0.01"/>
    <n v="8"/>
    <n v="0"/>
    <n v="0.69930618876051787"/>
    <n v="0.30069381123948208"/>
    <x v="2"/>
  </r>
  <r>
    <n v="11"/>
    <n v="50"/>
    <n v="4"/>
    <n v="1"/>
    <n v="0"/>
    <n v="4"/>
    <n v="2"/>
    <n v="3000"/>
    <n v="3"/>
    <n v="0"/>
    <n v="0.6994964722950151"/>
    <n v="0.3005035277049849"/>
    <x v="2"/>
  </r>
  <r>
    <n v="12"/>
    <n v="49"/>
    <n v="3"/>
    <n v="2"/>
    <n v="0"/>
    <n v="2"/>
    <n v="3"/>
    <n v="0.01"/>
    <n v="5"/>
    <n v="0"/>
    <n v="0.69961816519139841"/>
    <n v="0.30038183480860159"/>
    <x v="2"/>
  </r>
  <r>
    <n v="7"/>
    <n v="39"/>
    <n v="2"/>
    <n v="0"/>
    <n v="1"/>
    <n v="7"/>
    <n v="2"/>
    <n v="1670"/>
    <n v="10"/>
    <n v="1"/>
    <n v="0.70010894561664094"/>
    <n v="0.29989105438335911"/>
    <x v="2"/>
  </r>
  <r>
    <n v="9"/>
    <n v="48"/>
    <n v="4"/>
    <n v="0"/>
    <n v="1"/>
    <n v="5"/>
    <n v="0"/>
    <n v="12000"/>
    <n v="2"/>
    <n v="0"/>
    <n v="0.70039645992331789"/>
    <n v="0.29960354007668222"/>
    <x v="2"/>
  </r>
  <r>
    <n v="10"/>
    <n v="52"/>
    <n v="2"/>
    <n v="0"/>
    <n v="3"/>
    <n v="3"/>
    <n v="0"/>
    <n v="6000"/>
    <n v="1"/>
    <n v="0"/>
    <n v="0.70064744055687589"/>
    <n v="0.29935255944312422"/>
    <x v="2"/>
  </r>
  <r>
    <n v="7"/>
    <n v="37"/>
    <n v="5"/>
    <n v="0"/>
    <n v="0"/>
    <n v="11"/>
    <n v="3"/>
    <n v="0.01"/>
    <n v="5"/>
    <n v="1"/>
    <n v="0.70120392864427639"/>
    <n v="0.29879607135572361"/>
    <x v="2"/>
  </r>
  <r>
    <n v="8"/>
    <n v="41"/>
    <n v="4"/>
    <n v="0"/>
    <n v="2"/>
    <n v="6"/>
    <n v="3"/>
    <n v="0.01"/>
    <n v="5"/>
    <n v="1"/>
    <n v="0.70122025641221053"/>
    <n v="0.29877974358778953"/>
    <x v="2"/>
  </r>
  <r>
    <n v="10"/>
    <n v="53"/>
    <n v="3"/>
    <n v="0"/>
    <n v="0"/>
    <n v="4"/>
    <n v="0"/>
    <n v="6053.34"/>
    <n v="4"/>
    <n v="0"/>
    <n v="0.70122396852021374"/>
    <n v="0.29877603147978621"/>
    <x v="2"/>
  </r>
  <r>
    <n v="14"/>
    <n v="69"/>
    <n v="2"/>
    <n v="0"/>
    <n v="2"/>
    <n v="1"/>
    <n v="1"/>
    <n v="31800"/>
    <n v="6"/>
    <n v="0"/>
    <n v="0.70163208987677095"/>
    <n v="0.298367910123229"/>
    <x v="2"/>
  </r>
  <r>
    <n v="10"/>
    <n v="51"/>
    <n v="4"/>
    <n v="0"/>
    <n v="3"/>
    <n v="8"/>
    <n v="0"/>
    <n v="15000"/>
    <n v="1"/>
    <n v="0"/>
    <n v="0.70177408727741997"/>
    <n v="0.29822591272257998"/>
    <x v="2"/>
  </r>
  <r>
    <n v="12"/>
    <n v="60"/>
    <n v="2"/>
    <n v="0"/>
    <n v="0"/>
    <n v="4"/>
    <n v="2"/>
    <n v="3000"/>
    <n v="2"/>
    <n v="1"/>
    <n v="0.701850645039092"/>
    <n v="0.29814935496090789"/>
    <x v="2"/>
  </r>
  <r>
    <n v="7"/>
    <n v="36"/>
    <n v="5"/>
    <n v="0"/>
    <n v="3"/>
    <n v="8"/>
    <n v="3"/>
    <n v="0.01"/>
    <n v="8"/>
    <n v="0"/>
    <n v="0.70220382263876124"/>
    <n v="0.2977961773612387"/>
    <x v="2"/>
  </r>
  <r>
    <n v="11"/>
    <n v="53"/>
    <n v="0"/>
    <n v="1"/>
    <n v="1"/>
    <n v="7"/>
    <n v="0"/>
    <n v="10937.59"/>
    <n v="8"/>
    <n v="0"/>
    <n v="0.70221498980787067"/>
    <n v="0.29778501019212938"/>
    <x v="2"/>
  </r>
  <r>
    <n v="11"/>
    <n v="51"/>
    <n v="3"/>
    <n v="1"/>
    <n v="3"/>
    <n v="3"/>
    <n v="0"/>
    <n v="6053.36"/>
    <n v="8"/>
    <n v="0"/>
    <n v="0.70249125090090092"/>
    <n v="0.29750874909909908"/>
    <x v="2"/>
  </r>
  <r>
    <n v="6"/>
    <n v="33"/>
    <n v="5"/>
    <n v="0"/>
    <n v="2"/>
    <n v="1"/>
    <n v="3"/>
    <n v="0.01"/>
    <n v="4"/>
    <n v="0"/>
    <n v="0.70251420024382938"/>
    <n v="0.29748579975617062"/>
    <x v="2"/>
  </r>
  <r>
    <n v="12"/>
    <n v="55"/>
    <n v="0"/>
    <n v="1"/>
    <n v="3"/>
    <n v="3"/>
    <n v="2"/>
    <n v="2500"/>
    <n v="16"/>
    <n v="0"/>
    <n v="0.70281267623498955"/>
    <n v="0.2971873237650105"/>
    <x v="2"/>
  </r>
  <r>
    <n v="9"/>
    <n v="44"/>
    <n v="0"/>
    <n v="1"/>
    <n v="0"/>
    <n v="4"/>
    <n v="2"/>
    <n v="3000"/>
    <n v="7"/>
    <n v="0"/>
    <n v="0.70285738785952911"/>
    <n v="0.29714261214047089"/>
    <x v="2"/>
  </r>
  <r>
    <n v="10"/>
    <n v="50"/>
    <n v="4"/>
    <n v="0"/>
    <n v="3"/>
    <n v="3"/>
    <n v="2"/>
    <n v="4200.01"/>
    <n v="10"/>
    <n v="0"/>
    <n v="0.7030779172363486"/>
    <n v="0.29692208276365128"/>
    <x v="2"/>
  </r>
  <r>
    <n v="9"/>
    <n v="45"/>
    <n v="3"/>
    <n v="0"/>
    <n v="3"/>
    <n v="8"/>
    <n v="3"/>
    <n v="0.01"/>
    <n v="5"/>
    <n v="0"/>
    <n v="0.70332770402976108"/>
    <n v="0.29667229597023892"/>
    <x v="2"/>
  </r>
  <r>
    <n v="11"/>
    <n v="50"/>
    <n v="3"/>
    <n v="1"/>
    <n v="0"/>
    <n v="4"/>
    <n v="3"/>
    <n v="0.01"/>
    <n v="5"/>
    <n v="1"/>
    <n v="0.70367791193098328"/>
    <n v="0.29632208806901672"/>
    <x v="2"/>
  </r>
  <r>
    <n v="7"/>
    <n v="39"/>
    <n v="3"/>
    <n v="0"/>
    <n v="2"/>
    <n v="0"/>
    <n v="2"/>
    <n v="120"/>
    <n v="11"/>
    <n v="0"/>
    <n v="0.70377305419594371"/>
    <n v="0.29622694580405629"/>
    <x v="2"/>
  </r>
  <r>
    <n v="10"/>
    <n v="50"/>
    <n v="5"/>
    <n v="0"/>
    <n v="0"/>
    <n v="4"/>
    <n v="3"/>
    <n v="0.01"/>
    <n v="5"/>
    <n v="1"/>
    <n v="0.70385426810930174"/>
    <n v="0.29614573189069832"/>
    <x v="2"/>
  </r>
  <r>
    <n v="11"/>
    <n v="56"/>
    <n v="1"/>
    <n v="0"/>
    <n v="0"/>
    <n v="11"/>
    <n v="2"/>
    <n v="4000"/>
    <n v="5"/>
    <n v="0"/>
    <n v="0.70387207606517843"/>
    <n v="0.29612792393482151"/>
    <x v="2"/>
  </r>
  <r>
    <n v="7"/>
    <n v="41"/>
    <n v="2"/>
    <n v="0"/>
    <n v="2"/>
    <n v="1"/>
    <n v="0"/>
    <n v="6053.35"/>
    <n v="11"/>
    <n v="0"/>
    <n v="0.70417971095847509"/>
    <n v="0.29582028904152491"/>
    <x v="2"/>
  </r>
  <r>
    <n v="10"/>
    <n v="53"/>
    <n v="1"/>
    <n v="0"/>
    <n v="3"/>
    <n v="3"/>
    <n v="0"/>
    <n v="9901"/>
    <n v="9"/>
    <n v="0"/>
    <n v="0.70426439230867477"/>
    <n v="0.29573560769132518"/>
    <x v="2"/>
  </r>
  <r>
    <n v="13"/>
    <n v="66"/>
    <n v="0"/>
    <n v="0"/>
    <n v="0"/>
    <n v="11"/>
    <n v="0"/>
    <n v="6000"/>
    <n v="1"/>
    <n v="0"/>
    <n v="0.70426717621817292"/>
    <n v="0.29573282378182703"/>
    <x v="2"/>
  </r>
  <r>
    <n v="7"/>
    <n v="38"/>
    <n v="3"/>
    <n v="0"/>
    <n v="1"/>
    <n v="7"/>
    <n v="3"/>
    <n v="0.01"/>
    <n v="4"/>
    <n v="0"/>
    <n v="0.70440392946313712"/>
    <n v="0.29559607053686288"/>
    <x v="2"/>
  </r>
  <r>
    <n v="10"/>
    <n v="52"/>
    <n v="3"/>
    <n v="0"/>
    <n v="3"/>
    <n v="3"/>
    <n v="0"/>
    <n v="6053.35"/>
    <n v="7"/>
    <n v="1"/>
    <n v="0.70451446208433555"/>
    <n v="0.29548553791566451"/>
    <x v="2"/>
  </r>
  <r>
    <n v="10"/>
    <n v="46"/>
    <n v="2"/>
    <n v="1"/>
    <n v="3"/>
    <n v="3"/>
    <n v="2"/>
    <n v="420"/>
    <n v="11"/>
    <n v="0"/>
    <n v="0.7045332544147348"/>
    <n v="0.2954667455852652"/>
    <x v="2"/>
  </r>
  <r>
    <n v="13"/>
    <n v="62"/>
    <n v="3"/>
    <n v="0"/>
    <n v="3"/>
    <n v="8"/>
    <n v="2"/>
    <n v="1000"/>
    <n v="2"/>
    <n v="0"/>
    <n v="0.70464456554768062"/>
    <n v="0.29535543445231938"/>
    <x v="2"/>
  </r>
  <r>
    <n v="11"/>
    <n v="55"/>
    <n v="3"/>
    <n v="0"/>
    <n v="1"/>
    <n v="7"/>
    <n v="2"/>
    <n v="4000"/>
    <n v="1"/>
    <n v="0"/>
    <n v="0.70471314641995453"/>
    <n v="0.29528685358004542"/>
    <x v="2"/>
  </r>
  <r>
    <n v="10"/>
    <n v="51"/>
    <n v="2"/>
    <n v="0"/>
    <n v="1"/>
    <n v="5"/>
    <n v="3"/>
    <n v="0.01"/>
    <n v="13"/>
    <n v="0"/>
    <n v="0.70487459122814"/>
    <n v="0.29512540877186"/>
    <x v="2"/>
  </r>
  <r>
    <n v="11"/>
    <n v="55"/>
    <n v="2"/>
    <n v="0"/>
    <n v="3"/>
    <n v="3"/>
    <n v="2"/>
    <n v="4000"/>
    <n v="7"/>
    <n v="0"/>
    <n v="0.70489597739734022"/>
    <n v="0.29510402260265978"/>
    <x v="2"/>
  </r>
  <r>
    <n v="14"/>
    <n v="67"/>
    <n v="4"/>
    <n v="0"/>
    <n v="4"/>
    <n v="9"/>
    <n v="0"/>
    <n v="15000"/>
    <n v="6"/>
    <n v="0"/>
    <n v="0.70498745875036661"/>
    <n v="0.29501254124963339"/>
    <x v="2"/>
  </r>
  <r>
    <n v="8"/>
    <n v="44"/>
    <n v="1"/>
    <n v="0"/>
    <n v="0"/>
    <n v="2"/>
    <n v="3"/>
    <n v="0.01"/>
    <n v="8"/>
    <n v="1"/>
    <n v="0.70517548334793545"/>
    <n v="0.29482451665206449"/>
    <x v="2"/>
  </r>
  <r>
    <n v="9"/>
    <n v="49"/>
    <n v="3"/>
    <n v="0"/>
    <n v="0"/>
    <n v="11"/>
    <n v="0"/>
    <n v="20000"/>
    <n v="4"/>
    <n v="0"/>
    <n v="0.7051844647618265"/>
    <n v="0.2948155352381735"/>
    <x v="2"/>
  </r>
  <r>
    <n v="8"/>
    <n v="38"/>
    <n v="3"/>
    <n v="1"/>
    <n v="0"/>
    <n v="4"/>
    <n v="3"/>
    <n v="0.01"/>
    <n v="5"/>
    <n v="0"/>
    <n v="0.70556465175255423"/>
    <n v="0.29443534824744583"/>
    <x v="2"/>
  </r>
  <r>
    <n v="11"/>
    <n v="54"/>
    <n v="3"/>
    <n v="0"/>
    <n v="2"/>
    <n v="6"/>
    <n v="3"/>
    <n v="0.01"/>
    <n v="7"/>
    <n v="0"/>
    <n v="0.70585794482685627"/>
    <n v="0.29414205517314368"/>
    <x v="2"/>
  </r>
  <r>
    <n v="6"/>
    <n v="36"/>
    <n v="1"/>
    <n v="0"/>
    <n v="2"/>
    <n v="0"/>
    <n v="2"/>
    <n v="600"/>
    <n v="10"/>
    <n v="1"/>
    <n v="0.70608232544398108"/>
    <n v="0.29391767455601892"/>
    <x v="2"/>
  </r>
  <r>
    <n v="12"/>
    <n v="54"/>
    <n v="4"/>
    <n v="1"/>
    <n v="0"/>
    <n v="11"/>
    <n v="2"/>
    <n v="420"/>
    <n v="9"/>
    <n v="0"/>
    <n v="0.70614877403129883"/>
    <n v="0.29385122596870111"/>
    <x v="2"/>
  </r>
  <r>
    <n v="10"/>
    <n v="51"/>
    <n v="2"/>
    <n v="0"/>
    <n v="3"/>
    <n v="3"/>
    <n v="2"/>
    <n v="500"/>
    <n v="9"/>
    <n v="0"/>
    <n v="0.70616142272030169"/>
    <n v="0.29383857727969831"/>
    <x v="2"/>
  </r>
  <r>
    <n v="11"/>
    <n v="44"/>
    <n v="5"/>
    <n v="2"/>
    <n v="1"/>
    <n v="12"/>
    <n v="2"/>
    <n v="50"/>
    <n v="7"/>
    <n v="0"/>
    <n v="0.70632267540013371"/>
    <n v="0.29367732459986629"/>
    <x v="2"/>
  </r>
  <r>
    <n v="13"/>
    <n v="57"/>
    <n v="3"/>
    <n v="1"/>
    <n v="3"/>
    <n v="3"/>
    <n v="3"/>
    <n v="0.01"/>
    <n v="5"/>
    <n v="1"/>
    <n v="0.70649912136293214"/>
    <n v="0.29350087863706781"/>
    <x v="2"/>
  </r>
  <r>
    <n v="6"/>
    <n v="37"/>
    <n v="1"/>
    <n v="0"/>
    <n v="3"/>
    <n v="3"/>
    <n v="0"/>
    <n v="13000"/>
    <n v="6"/>
    <n v="1"/>
    <n v="0.70653967382216498"/>
    <n v="0.29346032617783502"/>
    <x v="2"/>
  </r>
  <r>
    <n v="6"/>
    <n v="34"/>
    <n v="2"/>
    <n v="0"/>
    <n v="3"/>
    <n v="3"/>
    <n v="3"/>
    <n v="0.01"/>
    <n v="5"/>
    <n v="0"/>
    <n v="0.70654941073501809"/>
    <n v="0.29345058926498191"/>
    <x v="2"/>
  </r>
  <r>
    <n v="7"/>
    <n v="34"/>
    <n v="5"/>
    <n v="1"/>
    <n v="0"/>
    <n v="4"/>
    <n v="2"/>
    <n v="900"/>
    <n v="9"/>
    <n v="0"/>
    <n v="0.70660747616194253"/>
    <n v="0.29339252383805747"/>
    <x v="2"/>
  </r>
  <r>
    <n v="10"/>
    <n v="47"/>
    <n v="0"/>
    <n v="1"/>
    <n v="3"/>
    <n v="3"/>
    <n v="2"/>
    <n v="50.01"/>
    <n v="8"/>
    <n v="0"/>
    <n v="0.70702924147538715"/>
    <n v="0.29297075852461291"/>
    <x v="2"/>
  </r>
  <r>
    <n v="6"/>
    <n v="35"/>
    <n v="0"/>
    <n v="0"/>
    <n v="3"/>
    <n v="3"/>
    <n v="3"/>
    <n v="0.01"/>
    <n v="8"/>
    <n v="0"/>
    <n v="0.70731876220558143"/>
    <n v="0.29268123779441862"/>
    <x v="2"/>
  </r>
  <r>
    <n v="8"/>
    <n v="41"/>
    <n v="5"/>
    <n v="0"/>
    <n v="1"/>
    <n v="12"/>
    <n v="3"/>
    <n v="0.01"/>
    <n v="5"/>
    <n v="0"/>
    <n v="0.70763592441542156"/>
    <n v="0.29236407558457839"/>
    <x v="2"/>
  </r>
  <r>
    <n v="12"/>
    <n v="57"/>
    <n v="1"/>
    <n v="1"/>
    <n v="0"/>
    <n v="11"/>
    <n v="0"/>
    <n v="6000"/>
    <n v="5"/>
    <n v="0"/>
    <n v="0.70816581858190353"/>
    <n v="0.29183418141809653"/>
    <x v="2"/>
  </r>
  <r>
    <n v="11"/>
    <n v="50"/>
    <n v="1"/>
    <n v="1"/>
    <n v="3"/>
    <n v="3"/>
    <n v="3"/>
    <n v="0.01"/>
    <n v="8"/>
    <n v="0"/>
    <n v="0.70851822096294625"/>
    <n v="0.29148177903705369"/>
    <x v="2"/>
  </r>
  <r>
    <n v="13"/>
    <n v="59"/>
    <n v="2"/>
    <n v="1"/>
    <n v="0"/>
    <n v="4"/>
    <n v="3"/>
    <n v="0.01"/>
    <n v="8"/>
    <n v="0"/>
    <n v="0.70865201393781296"/>
    <n v="0.29134798606218698"/>
    <x v="2"/>
  </r>
  <r>
    <n v="8"/>
    <n v="46"/>
    <n v="1"/>
    <n v="0"/>
    <n v="2"/>
    <n v="0"/>
    <n v="0"/>
    <n v="12053.35"/>
    <n v="6"/>
    <n v="0"/>
    <n v="0.70876618119993573"/>
    <n v="0.29123381880006421"/>
    <x v="2"/>
  </r>
  <r>
    <n v="11"/>
    <n v="54"/>
    <n v="3"/>
    <n v="0"/>
    <n v="3"/>
    <n v="3"/>
    <n v="3"/>
    <n v="0.01"/>
    <n v="5"/>
    <n v="0"/>
    <n v="0.708864920910108"/>
    <n v="0.291135079089892"/>
    <x v="2"/>
  </r>
  <r>
    <n v="10"/>
    <n v="52"/>
    <n v="4"/>
    <n v="0"/>
    <n v="3"/>
    <n v="3"/>
    <n v="0"/>
    <n v="5044.0600000000004"/>
    <n v="11"/>
    <n v="0"/>
    <n v="0.70923620882560212"/>
    <n v="0.29076379117439788"/>
    <x v="2"/>
  </r>
  <r>
    <n v="7"/>
    <n v="41"/>
    <n v="1"/>
    <n v="0"/>
    <n v="3"/>
    <n v="3"/>
    <n v="0"/>
    <n v="6000"/>
    <n v="2"/>
    <n v="0"/>
    <n v="0.70930976106085775"/>
    <n v="0.29069023893914231"/>
    <x v="2"/>
  </r>
  <r>
    <n v="5"/>
    <n v="31"/>
    <n v="2"/>
    <n v="0"/>
    <n v="0"/>
    <n v="10"/>
    <n v="3"/>
    <n v="0.01"/>
    <n v="6"/>
    <n v="0"/>
    <n v="0.70966265160675335"/>
    <n v="0.29033734839324671"/>
    <x v="2"/>
  </r>
  <r>
    <n v="6"/>
    <n v="35"/>
    <n v="5"/>
    <n v="0"/>
    <n v="0"/>
    <n v="4"/>
    <n v="2"/>
    <n v="600"/>
    <n v="4"/>
    <n v="0"/>
    <n v="0.70977410307247601"/>
    <n v="0.29022589692752399"/>
    <x v="2"/>
  </r>
  <r>
    <n v="11"/>
    <n v="52"/>
    <n v="2"/>
    <n v="1"/>
    <n v="3"/>
    <n v="3"/>
    <n v="0"/>
    <n v="6000.01"/>
    <n v="7"/>
    <n v="1"/>
    <n v="0.70980382366173067"/>
    <n v="0.29019617633826927"/>
    <x v="2"/>
  </r>
  <r>
    <n v="10"/>
    <n v="51"/>
    <n v="4"/>
    <n v="0"/>
    <n v="0"/>
    <n v="11"/>
    <n v="2"/>
    <n v="2400"/>
    <n v="1"/>
    <n v="0"/>
    <n v="0.7099783444148583"/>
    <n v="0.2900216555851417"/>
    <x v="2"/>
  </r>
  <r>
    <n v="8"/>
    <n v="43"/>
    <n v="2"/>
    <n v="0"/>
    <n v="1"/>
    <n v="7"/>
    <n v="3"/>
    <n v="0.01"/>
    <n v="7"/>
    <n v="0"/>
    <n v="0.70999345676394587"/>
    <n v="0.29000654323605418"/>
    <x v="2"/>
  </r>
  <r>
    <n v="12"/>
    <n v="58"/>
    <n v="3"/>
    <n v="0"/>
    <n v="4"/>
    <n v="9"/>
    <n v="2"/>
    <n v="250"/>
    <n v="10"/>
    <n v="0"/>
    <n v="0.71041035548070219"/>
    <n v="0.28958964451929792"/>
    <x v="2"/>
  </r>
  <r>
    <n v="11"/>
    <n v="57"/>
    <n v="5"/>
    <n v="0"/>
    <n v="0"/>
    <n v="4"/>
    <n v="0"/>
    <n v="10000"/>
    <n v="3"/>
    <n v="0"/>
    <n v="0.71046476147954907"/>
    <n v="0.28953523852045088"/>
    <x v="2"/>
  </r>
  <r>
    <n v="10"/>
    <n v="51"/>
    <n v="5"/>
    <n v="0"/>
    <n v="3"/>
    <n v="8"/>
    <n v="1"/>
    <n v="25000"/>
    <n v="10"/>
    <n v="0"/>
    <n v="0.71061979163668387"/>
    <n v="0.28938020836331613"/>
    <x v="2"/>
  </r>
  <r>
    <n v="12"/>
    <n v="49"/>
    <n v="5"/>
    <n v="2"/>
    <n v="0"/>
    <n v="2"/>
    <n v="3"/>
    <n v="0.01"/>
    <n v="4"/>
    <n v="0"/>
    <n v="0.71082007413621429"/>
    <n v="0.28917992586378582"/>
    <x v="2"/>
  </r>
  <r>
    <n v="9"/>
    <n v="46"/>
    <n v="5"/>
    <n v="0"/>
    <n v="3"/>
    <n v="3"/>
    <n v="2"/>
    <n v="5000"/>
    <n v="2"/>
    <n v="0"/>
    <n v="0.71101395942575318"/>
    <n v="0.28898604057424693"/>
    <x v="2"/>
  </r>
  <r>
    <n v="12"/>
    <n v="59"/>
    <n v="3"/>
    <n v="0"/>
    <n v="3"/>
    <n v="3"/>
    <n v="2"/>
    <n v="3000"/>
    <n v="3"/>
    <n v="0"/>
    <n v="0.71110453715275634"/>
    <n v="0.28889546284724371"/>
    <x v="2"/>
  </r>
  <r>
    <n v="8"/>
    <n v="44"/>
    <n v="2"/>
    <n v="0"/>
    <n v="0"/>
    <n v="2"/>
    <n v="3"/>
    <n v="0.01"/>
    <n v="5"/>
    <n v="1"/>
    <n v="0.71140632405336701"/>
    <n v="0.28859367594663299"/>
    <x v="2"/>
  </r>
  <r>
    <n v="10"/>
    <n v="51"/>
    <n v="3"/>
    <n v="0"/>
    <n v="1"/>
    <n v="12"/>
    <n v="2"/>
    <n v="2400"/>
    <n v="1"/>
    <n v="1"/>
    <n v="0.71154315155941439"/>
    <n v="0.28845684844058561"/>
    <x v="2"/>
  </r>
  <r>
    <n v="10"/>
    <n v="50"/>
    <n v="5"/>
    <n v="0"/>
    <n v="1"/>
    <n v="7"/>
    <n v="3"/>
    <n v="0.01"/>
    <n v="9"/>
    <n v="0"/>
    <n v="0.71207280008371288"/>
    <n v="0.28792719991628712"/>
    <x v="2"/>
  </r>
  <r>
    <n v="13"/>
    <n v="64"/>
    <n v="1"/>
    <n v="0"/>
    <n v="1"/>
    <n v="5"/>
    <n v="3"/>
    <n v="0.01"/>
    <n v="5"/>
    <n v="1"/>
    <n v="0.71212065744550246"/>
    <n v="0.28787934255449749"/>
    <x v="2"/>
  </r>
  <r>
    <n v="11"/>
    <n v="57"/>
    <n v="2"/>
    <n v="0"/>
    <n v="3"/>
    <n v="8"/>
    <n v="0"/>
    <n v="15000"/>
    <n v="11"/>
    <n v="0"/>
    <n v="0.71251497544576969"/>
    <n v="0.28748502455423031"/>
    <x v="2"/>
  </r>
  <r>
    <n v="9"/>
    <n v="41"/>
    <n v="5"/>
    <n v="1"/>
    <n v="1"/>
    <n v="7"/>
    <n v="3"/>
    <n v="0.01"/>
    <n v="5"/>
    <n v="0"/>
    <n v="0.71264021064131389"/>
    <n v="0.28735978935868611"/>
    <x v="2"/>
  </r>
  <r>
    <n v="10"/>
    <n v="45"/>
    <n v="3"/>
    <n v="1"/>
    <n v="3"/>
    <n v="8"/>
    <n v="3"/>
    <n v="0.01"/>
    <n v="10"/>
    <n v="0"/>
    <n v="0.71269895578917453"/>
    <n v="0.28730104421082547"/>
    <x v="3"/>
  </r>
  <r>
    <n v="8"/>
    <n v="43"/>
    <n v="3"/>
    <n v="0"/>
    <n v="3"/>
    <n v="3"/>
    <n v="2"/>
    <n v="50"/>
    <n v="10"/>
    <n v="0"/>
    <n v="0.71271343908154594"/>
    <n v="0.28728656091845411"/>
    <x v="3"/>
  </r>
  <r>
    <n v="12"/>
    <n v="56"/>
    <n v="4"/>
    <n v="1"/>
    <n v="0"/>
    <n v="11"/>
    <n v="0"/>
    <n v="6000"/>
    <n v="2"/>
    <n v="0"/>
    <n v="0.71281217210285863"/>
    <n v="0.28718782789714142"/>
    <x v="3"/>
  </r>
  <r>
    <n v="7"/>
    <n v="40"/>
    <n v="3"/>
    <n v="0"/>
    <n v="3"/>
    <n v="8"/>
    <n v="0"/>
    <n v="6000"/>
    <n v="4"/>
    <n v="0"/>
    <n v="0.71286561754509936"/>
    <n v="0.28713438245490058"/>
    <x v="3"/>
  </r>
  <r>
    <n v="13"/>
    <n v="59"/>
    <n v="4"/>
    <n v="1"/>
    <n v="3"/>
    <n v="8"/>
    <n v="0"/>
    <n v="9000"/>
    <n v="2"/>
    <n v="0"/>
    <n v="0.71297114231576619"/>
    <n v="0.28702885768423381"/>
    <x v="3"/>
  </r>
  <r>
    <n v="8"/>
    <n v="44"/>
    <n v="1"/>
    <n v="0"/>
    <n v="3"/>
    <n v="3"/>
    <n v="2"/>
    <n v="1000"/>
    <n v="11"/>
    <n v="1"/>
    <n v="0.71368562841019423"/>
    <n v="0.28631437158980572"/>
    <x v="3"/>
  </r>
  <r>
    <n v="9"/>
    <n v="46"/>
    <n v="5"/>
    <n v="0"/>
    <n v="1"/>
    <n v="7"/>
    <n v="3"/>
    <n v="0.01"/>
    <n v="5"/>
    <n v="0"/>
    <n v="0.7137433102663141"/>
    <n v="0.2862566897336859"/>
    <x v="3"/>
  </r>
  <r>
    <n v="9"/>
    <n v="37"/>
    <n v="4"/>
    <n v="2"/>
    <n v="1"/>
    <n v="12"/>
    <n v="2"/>
    <n v="840"/>
    <n v="9"/>
    <n v="0"/>
    <n v="0.7137489681296294"/>
    <n v="0.2862510318703706"/>
    <x v="3"/>
  </r>
  <r>
    <n v="6"/>
    <n v="36"/>
    <n v="4"/>
    <n v="0"/>
    <n v="3"/>
    <n v="3"/>
    <n v="0"/>
    <n v="6000"/>
    <n v="1"/>
    <n v="0"/>
    <n v="0.71403748243047649"/>
    <n v="0.28596251756952351"/>
    <x v="3"/>
  </r>
  <r>
    <n v="8"/>
    <n v="45"/>
    <n v="2"/>
    <n v="0"/>
    <n v="3"/>
    <n v="3"/>
    <n v="0"/>
    <n v="6000"/>
    <n v="1"/>
    <n v="0"/>
    <n v="0.71434880421065616"/>
    <n v="0.28565119578934378"/>
    <x v="3"/>
  </r>
  <r>
    <n v="9"/>
    <n v="51"/>
    <n v="1"/>
    <n v="0"/>
    <n v="0"/>
    <n v="4"/>
    <n v="0"/>
    <n v="6026.67"/>
    <n v="9"/>
    <n v="1"/>
    <n v="0.71453545196930035"/>
    <n v="0.28546454803069971"/>
    <x v="3"/>
  </r>
  <r>
    <n v="11"/>
    <n v="56"/>
    <n v="1"/>
    <n v="0"/>
    <n v="0"/>
    <n v="11"/>
    <n v="3"/>
    <n v="0.01"/>
    <n v="4"/>
    <n v="1"/>
    <n v="0.71454191878209927"/>
    <n v="0.28545808121790073"/>
    <x v="3"/>
  </r>
  <r>
    <n v="12"/>
    <n v="62"/>
    <n v="2"/>
    <n v="0"/>
    <n v="0"/>
    <n v="11"/>
    <n v="0"/>
    <n v="6053.34"/>
    <n v="4"/>
    <n v="0"/>
    <n v="0.71491717153598888"/>
    <n v="0.28508282846401112"/>
    <x v="3"/>
  </r>
  <r>
    <n v="10"/>
    <n v="47"/>
    <n v="3"/>
    <n v="1"/>
    <n v="2"/>
    <n v="1"/>
    <n v="2"/>
    <n v="3000"/>
    <n v="5"/>
    <n v="0"/>
    <n v="0.71496162583974621"/>
    <n v="0.28503837416025368"/>
    <x v="3"/>
  </r>
  <r>
    <n v="11"/>
    <n v="46"/>
    <n v="3"/>
    <n v="2"/>
    <n v="0"/>
    <n v="4"/>
    <n v="3"/>
    <n v="0.01"/>
    <n v="5"/>
    <n v="0"/>
    <n v="0.71497170371043528"/>
    <n v="0.28502829628956478"/>
    <x v="3"/>
  </r>
  <r>
    <n v="8"/>
    <n v="42"/>
    <n v="0"/>
    <n v="1"/>
    <n v="0"/>
    <n v="11"/>
    <n v="0"/>
    <n v="12034.35"/>
    <n v="7"/>
    <n v="1"/>
    <n v="0.71507423031445227"/>
    <n v="0.28492576968554773"/>
    <x v="3"/>
  </r>
  <r>
    <n v="10"/>
    <n v="53"/>
    <n v="3"/>
    <n v="0"/>
    <n v="3"/>
    <n v="3"/>
    <n v="0"/>
    <n v="11053.35"/>
    <n v="7"/>
    <n v="0"/>
    <n v="0.71524711256685869"/>
    <n v="0.28475288743314131"/>
    <x v="3"/>
  </r>
  <r>
    <n v="10"/>
    <n v="52"/>
    <n v="3"/>
    <n v="0"/>
    <n v="0"/>
    <n v="11"/>
    <n v="2"/>
    <n v="4000"/>
    <n v="5"/>
    <n v="0"/>
    <n v="0.71533374967133678"/>
    <n v="0.28466625032866322"/>
    <x v="3"/>
  </r>
  <r>
    <n v="5"/>
    <n v="32"/>
    <n v="2"/>
    <n v="0"/>
    <n v="1"/>
    <n v="7"/>
    <n v="2"/>
    <n v="840"/>
    <n v="5"/>
    <n v="0"/>
    <n v="0.71540799586253112"/>
    <n v="0.28459200413746888"/>
    <x v="3"/>
  </r>
  <r>
    <n v="10"/>
    <n v="51"/>
    <n v="2"/>
    <n v="0"/>
    <n v="3"/>
    <n v="3"/>
    <n v="3"/>
    <n v="0.01"/>
    <n v="8"/>
    <n v="0"/>
    <n v="0.7156357508647766"/>
    <n v="0.2843642491352234"/>
    <x v="3"/>
  </r>
  <r>
    <n v="9"/>
    <n v="41"/>
    <n v="2"/>
    <n v="1"/>
    <n v="4"/>
    <n v="9"/>
    <n v="3"/>
    <n v="0.01"/>
    <n v="5"/>
    <n v="0"/>
    <n v="0.71617917457898739"/>
    <n v="0.28382082542101261"/>
    <x v="3"/>
  </r>
  <r>
    <n v="4"/>
    <n v="28"/>
    <n v="4"/>
    <n v="0"/>
    <n v="0"/>
    <n v="4"/>
    <n v="2"/>
    <n v="3000"/>
    <n v="7"/>
    <n v="0"/>
    <n v="0.71636053202092387"/>
    <n v="0.28363946797907608"/>
    <x v="3"/>
  </r>
  <r>
    <n v="12"/>
    <n v="62"/>
    <n v="4"/>
    <n v="0"/>
    <n v="0"/>
    <n v="2"/>
    <n v="0"/>
    <n v="6000"/>
    <n v="1"/>
    <n v="0"/>
    <n v="0.71637034335163241"/>
    <n v="0.28362965664836759"/>
    <x v="3"/>
  </r>
  <r>
    <n v="10"/>
    <n v="51"/>
    <n v="2"/>
    <n v="0"/>
    <n v="3"/>
    <n v="3"/>
    <n v="3"/>
    <n v="0.01"/>
    <n v="5"/>
    <n v="1"/>
    <n v="0.71641963227703809"/>
    <n v="0.28358036772296191"/>
    <x v="3"/>
  </r>
  <r>
    <n v="9"/>
    <n v="50"/>
    <n v="3"/>
    <n v="0"/>
    <n v="1"/>
    <n v="5"/>
    <n v="0"/>
    <n v="20000"/>
    <n v="4"/>
    <n v="0"/>
    <n v="0.71662288088622439"/>
    <n v="0.28337711911377561"/>
    <x v="3"/>
  </r>
  <r>
    <n v="12"/>
    <n v="59"/>
    <n v="4"/>
    <n v="0"/>
    <n v="3"/>
    <n v="3"/>
    <n v="2"/>
    <n v="3000"/>
    <n v="2"/>
    <n v="1"/>
    <n v="0.71673880769133169"/>
    <n v="0.28326119230866842"/>
    <x v="3"/>
  </r>
  <r>
    <n v="14"/>
    <n v="70"/>
    <n v="1"/>
    <n v="0"/>
    <n v="3"/>
    <n v="3"/>
    <n v="0"/>
    <n v="6000"/>
    <n v="2"/>
    <n v="0"/>
    <n v="0.71728938035594392"/>
    <n v="0.28271061964405608"/>
    <x v="3"/>
  </r>
  <r>
    <n v="11"/>
    <n v="59"/>
    <n v="0"/>
    <n v="0"/>
    <n v="1"/>
    <n v="7"/>
    <n v="0"/>
    <n v="8500"/>
    <n v="5"/>
    <n v="0"/>
    <n v="0.71732212154670549"/>
    <n v="0.28267787845329451"/>
    <x v="3"/>
  </r>
  <r>
    <n v="14"/>
    <n v="65"/>
    <n v="2"/>
    <n v="1"/>
    <n v="3"/>
    <n v="3"/>
    <n v="0"/>
    <n v="11693.35"/>
    <n v="11"/>
    <n v="0"/>
    <n v="0.71732399961049387"/>
    <n v="0.28267600038950619"/>
    <x v="3"/>
  </r>
  <r>
    <n v="8"/>
    <n v="43"/>
    <n v="5"/>
    <n v="0"/>
    <n v="0"/>
    <n v="4"/>
    <n v="3"/>
    <n v="0.01"/>
    <n v="5"/>
    <n v="0"/>
    <n v="0.71746804204398029"/>
    <n v="0.28253195795601971"/>
    <x v="3"/>
  </r>
  <r>
    <n v="6"/>
    <n v="30"/>
    <n v="5"/>
    <n v="1"/>
    <n v="2"/>
    <n v="1"/>
    <n v="2"/>
    <n v="600"/>
    <n v="1"/>
    <n v="0"/>
    <n v="0.71770997926467017"/>
    <n v="0.28229002073532988"/>
    <x v="3"/>
  </r>
  <r>
    <n v="10"/>
    <n v="52"/>
    <n v="3"/>
    <n v="0"/>
    <n v="0"/>
    <n v="4"/>
    <n v="3"/>
    <n v="0.01"/>
    <n v="5"/>
    <n v="1"/>
    <n v="0.71777710521199267"/>
    <n v="0.28222289478800727"/>
    <x v="3"/>
  </r>
  <r>
    <n v="9"/>
    <n v="43"/>
    <n v="2"/>
    <n v="1"/>
    <n v="3"/>
    <n v="3"/>
    <n v="2"/>
    <n v="1100"/>
    <n v="8"/>
    <n v="1"/>
    <n v="0.71807523712145338"/>
    <n v="0.28192476287854662"/>
    <x v="3"/>
  </r>
  <r>
    <n v="10"/>
    <n v="53"/>
    <n v="1"/>
    <n v="0"/>
    <n v="1"/>
    <n v="7"/>
    <n v="2"/>
    <n v="4000"/>
    <n v="5"/>
    <n v="0"/>
    <n v="0.71818316902587243"/>
    <n v="0.28181683097412757"/>
    <x v="3"/>
  </r>
  <r>
    <n v="12"/>
    <n v="62"/>
    <n v="1"/>
    <n v="0"/>
    <n v="3"/>
    <n v="3"/>
    <n v="0"/>
    <n v="6000"/>
    <n v="3"/>
    <n v="1"/>
    <n v="0.71825331906480983"/>
    <n v="0.28174668093519017"/>
    <x v="3"/>
  </r>
  <r>
    <n v="7"/>
    <n v="39"/>
    <n v="5"/>
    <n v="0"/>
    <n v="0"/>
    <n v="4"/>
    <n v="3"/>
    <n v="0.01"/>
    <n v="4"/>
    <n v="1"/>
    <n v="0.71834024492759441"/>
    <n v="0.28165975507240559"/>
    <x v="3"/>
  </r>
  <r>
    <n v="8"/>
    <n v="43"/>
    <n v="4"/>
    <n v="0"/>
    <n v="3"/>
    <n v="3"/>
    <n v="2"/>
    <n v="100.01"/>
    <n v="8"/>
    <n v="0"/>
    <n v="0.71857240234236119"/>
    <n v="0.28142759765763881"/>
    <x v="3"/>
  </r>
  <r>
    <n v="11"/>
    <n v="49"/>
    <n v="5"/>
    <n v="1"/>
    <n v="3"/>
    <n v="3"/>
    <n v="3"/>
    <n v="0.01"/>
    <n v="4"/>
    <n v="0"/>
    <n v="0.71877125884559179"/>
    <n v="0.28122874115440821"/>
    <x v="3"/>
  </r>
  <r>
    <n v="10"/>
    <n v="51"/>
    <n v="4"/>
    <n v="0"/>
    <n v="1"/>
    <n v="7"/>
    <n v="3"/>
    <n v="0.01"/>
    <n v="8"/>
    <n v="1"/>
    <n v="0.71922662888524069"/>
    <n v="0.28077337111475931"/>
    <x v="3"/>
  </r>
  <r>
    <n v="10"/>
    <n v="53"/>
    <n v="1"/>
    <n v="0"/>
    <n v="0"/>
    <n v="4"/>
    <n v="3"/>
    <n v="0.01"/>
    <n v="5"/>
    <n v="0"/>
    <n v="0.71930778168050269"/>
    <n v="0.28069221831949731"/>
    <x v="3"/>
  </r>
  <r>
    <n v="7"/>
    <n v="36"/>
    <n v="3"/>
    <n v="1"/>
    <n v="0"/>
    <n v="2"/>
    <n v="2"/>
    <n v="1200"/>
    <n v="4"/>
    <n v="0"/>
    <n v="0.71943670683671701"/>
    <n v="0.28056329316328299"/>
    <x v="3"/>
  </r>
  <r>
    <n v="7"/>
    <n v="41"/>
    <n v="3"/>
    <n v="0"/>
    <n v="0"/>
    <n v="2"/>
    <n v="2"/>
    <n v="500"/>
    <n v="8"/>
    <n v="0"/>
    <n v="0.71971526573081934"/>
    <n v="0.28028473426918071"/>
    <x v="3"/>
  </r>
  <r>
    <n v="7"/>
    <n v="41"/>
    <n v="2"/>
    <n v="0"/>
    <n v="3"/>
    <n v="8"/>
    <n v="0"/>
    <n v="6000"/>
    <n v="4"/>
    <n v="1"/>
    <n v="0.71974835641115209"/>
    <n v="0.28025164358884791"/>
    <x v="3"/>
  </r>
  <r>
    <n v="9"/>
    <n v="48"/>
    <n v="2"/>
    <n v="0"/>
    <n v="3"/>
    <n v="3"/>
    <n v="2"/>
    <n v="4000"/>
    <n v="2"/>
    <n v="0"/>
    <n v="0.7197788114744974"/>
    <n v="0.28022118852550248"/>
    <x v="3"/>
  </r>
  <r>
    <n v="11"/>
    <n v="51"/>
    <n v="3"/>
    <n v="1"/>
    <n v="1"/>
    <n v="12"/>
    <n v="2"/>
    <n v="3000"/>
    <n v="8"/>
    <n v="0"/>
    <n v="0.72004552117148646"/>
    <n v="0.27995447882851349"/>
    <x v="3"/>
  </r>
  <r>
    <n v="10"/>
    <n v="53"/>
    <n v="2"/>
    <n v="0"/>
    <n v="0"/>
    <n v="10"/>
    <n v="2"/>
    <n v="3200"/>
    <n v="8"/>
    <n v="0"/>
    <n v="0.72056124343151873"/>
    <n v="0.27943875656848122"/>
    <x v="3"/>
  </r>
  <r>
    <n v="13"/>
    <n v="65"/>
    <n v="1"/>
    <n v="0"/>
    <n v="4"/>
    <n v="9"/>
    <n v="1"/>
    <n v="21000"/>
    <n v="8"/>
    <n v="0"/>
    <n v="0.72059148526736605"/>
    <n v="0.27940851473263401"/>
    <x v="3"/>
  </r>
  <r>
    <n v="6"/>
    <n v="34"/>
    <n v="2"/>
    <n v="1"/>
    <n v="0"/>
    <n v="4"/>
    <n v="0"/>
    <n v="12000"/>
    <n v="1"/>
    <n v="1"/>
    <n v="0.72074209410480883"/>
    <n v="0.27925790589519123"/>
    <x v="3"/>
  </r>
  <r>
    <n v="9"/>
    <n v="48"/>
    <n v="2"/>
    <n v="0"/>
    <n v="0"/>
    <n v="11"/>
    <n v="3"/>
    <n v="0.01"/>
    <n v="5"/>
    <n v="0"/>
    <n v="0.720835020685336"/>
    <n v="0.27916497931466389"/>
    <x v="3"/>
  </r>
  <r>
    <n v="8"/>
    <n v="45"/>
    <n v="0"/>
    <n v="0"/>
    <n v="3"/>
    <n v="3"/>
    <n v="2"/>
    <n v="4000"/>
    <n v="5"/>
    <n v="0"/>
    <n v="0.72113527311280201"/>
    <n v="0.27886472688719799"/>
    <x v="3"/>
  </r>
  <r>
    <n v="7"/>
    <n v="38"/>
    <n v="5"/>
    <n v="0"/>
    <n v="3"/>
    <n v="3"/>
    <n v="3"/>
    <n v="0.01"/>
    <n v="8"/>
    <n v="0"/>
    <n v="0.72125881795921964"/>
    <n v="0.27874118204078041"/>
    <x v="3"/>
  </r>
  <r>
    <n v="13"/>
    <n v="64"/>
    <n v="3"/>
    <n v="0"/>
    <n v="3"/>
    <n v="3"/>
    <n v="2"/>
    <n v="4017.56"/>
    <n v="7"/>
    <n v="1"/>
    <n v="0.72134169577617857"/>
    <n v="0.27865830422382137"/>
    <x v="3"/>
  </r>
  <r>
    <n v="8"/>
    <n v="42"/>
    <n v="5"/>
    <n v="0"/>
    <n v="3"/>
    <n v="3"/>
    <n v="3"/>
    <n v="0.01"/>
    <n v="5"/>
    <n v="0"/>
    <n v="0.72142634604429345"/>
    <n v="0.27857365395570649"/>
    <x v="3"/>
  </r>
  <r>
    <n v="9"/>
    <n v="45"/>
    <n v="1"/>
    <n v="1"/>
    <n v="0"/>
    <n v="4"/>
    <n v="2"/>
    <n v="2000"/>
    <n v="5"/>
    <n v="0"/>
    <n v="0.72143668517264481"/>
    <n v="0.27856331482735508"/>
    <x v="3"/>
  </r>
  <r>
    <n v="16"/>
    <n v="77"/>
    <n v="0"/>
    <n v="0"/>
    <n v="3"/>
    <n v="8"/>
    <n v="2"/>
    <n v="5000"/>
    <n v="5"/>
    <n v="0"/>
    <n v="0.72146940032744411"/>
    <n v="0.27853059967255589"/>
    <x v="3"/>
  </r>
  <r>
    <n v="9"/>
    <n v="42"/>
    <n v="5"/>
    <n v="1"/>
    <n v="3"/>
    <n v="3"/>
    <n v="2"/>
    <n v="300"/>
    <n v="9"/>
    <n v="0"/>
    <n v="0.72185301890486553"/>
    <n v="0.27814698109513453"/>
    <x v="3"/>
  </r>
  <r>
    <n v="9"/>
    <n v="44"/>
    <n v="2"/>
    <n v="1"/>
    <n v="0"/>
    <n v="10"/>
    <n v="2"/>
    <n v="0.02"/>
    <n v="5"/>
    <n v="0"/>
    <n v="0.72189627105722598"/>
    <n v="0.27810372894277402"/>
    <x v="3"/>
  </r>
  <r>
    <n v="10"/>
    <n v="50"/>
    <n v="5"/>
    <n v="0"/>
    <n v="4"/>
    <n v="9"/>
    <n v="2"/>
    <n v="3000"/>
    <n v="8"/>
    <n v="0"/>
    <n v="0.721952119645769"/>
    <n v="0.27804788035423111"/>
    <x v="3"/>
  </r>
  <r>
    <n v="12"/>
    <n v="59"/>
    <n v="5"/>
    <n v="0"/>
    <n v="3"/>
    <n v="3"/>
    <n v="2"/>
    <n v="4000"/>
    <n v="1"/>
    <n v="0"/>
    <n v="0.72198280633076761"/>
    <n v="0.27801719366923239"/>
    <x v="3"/>
  </r>
  <r>
    <n v="9"/>
    <n v="48"/>
    <n v="2"/>
    <n v="0"/>
    <n v="1"/>
    <n v="7"/>
    <n v="3"/>
    <n v="0.01"/>
    <n v="5"/>
    <n v="0"/>
    <n v="0.72213450491602316"/>
    <n v="0.27786549508397679"/>
    <x v="3"/>
  </r>
  <r>
    <n v="11"/>
    <n v="55"/>
    <n v="5"/>
    <n v="0"/>
    <n v="3"/>
    <n v="3"/>
    <n v="2"/>
    <n v="2000"/>
    <n v="4"/>
    <n v="0"/>
    <n v="0.72246208927616973"/>
    <n v="0.27753791072383027"/>
    <x v="3"/>
  </r>
  <r>
    <n v="9"/>
    <n v="38"/>
    <n v="3"/>
    <n v="2"/>
    <n v="0"/>
    <n v="11"/>
    <n v="3"/>
    <n v="0.01"/>
    <n v="10"/>
    <n v="0"/>
    <n v="0.72266084167604761"/>
    <n v="0.27733915832395228"/>
    <x v="3"/>
  </r>
  <r>
    <n v="9"/>
    <n v="48"/>
    <n v="1"/>
    <n v="0"/>
    <n v="3"/>
    <n v="3"/>
    <n v="3"/>
    <n v="0.01"/>
    <n v="9"/>
    <n v="0"/>
    <n v="0.72282601441968497"/>
    <n v="0.27717398558031497"/>
    <x v="3"/>
  </r>
  <r>
    <n v="7"/>
    <n v="42"/>
    <n v="3"/>
    <n v="0"/>
    <n v="2"/>
    <n v="0"/>
    <n v="0"/>
    <n v="6000"/>
    <n v="3"/>
    <n v="0"/>
    <n v="0.72284832924502773"/>
    <n v="0.27715167075497232"/>
    <x v="3"/>
  </r>
  <r>
    <n v="9"/>
    <n v="51"/>
    <n v="0"/>
    <n v="0"/>
    <n v="3"/>
    <n v="3"/>
    <n v="0"/>
    <n v="6105.32"/>
    <n v="18"/>
    <n v="0"/>
    <n v="0.72298257106492381"/>
    <n v="0.27701742893507619"/>
    <x v="3"/>
  </r>
  <r>
    <n v="8"/>
    <n v="44"/>
    <n v="4"/>
    <n v="0"/>
    <n v="1"/>
    <n v="7"/>
    <n v="2"/>
    <n v="500"/>
    <n v="10"/>
    <n v="1"/>
    <n v="0.72301340673315773"/>
    <n v="0.27698659326684227"/>
    <x v="3"/>
  </r>
  <r>
    <n v="10"/>
    <n v="53"/>
    <n v="2"/>
    <n v="0"/>
    <n v="1"/>
    <n v="7"/>
    <n v="2"/>
    <n v="5000"/>
    <n v="4"/>
    <n v="0"/>
    <n v="0.72341074700215424"/>
    <n v="0.27658925299784581"/>
    <x v="3"/>
  </r>
  <r>
    <n v="14"/>
    <n v="72"/>
    <n v="1"/>
    <n v="0"/>
    <n v="0"/>
    <n v="4"/>
    <n v="0"/>
    <n v="12000"/>
    <n v="2"/>
    <n v="1"/>
    <n v="0.72351218031547981"/>
    <n v="0.27648781968452019"/>
    <x v="3"/>
  </r>
  <r>
    <n v="7"/>
    <n v="34"/>
    <n v="5"/>
    <n v="1"/>
    <n v="3"/>
    <n v="3"/>
    <n v="2"/>
    <n v="420"/>
    <n v="7"/>
    <n v="0"/>
    <n v="0.72354048469414389"/>
    <n v="0.27645951530585611"/>
    <x v="3"/>
  </r>
  <r>
    <n v="8"/>
    <n v="45"/>
    <n v="2"/>
    <n v="0"/>
    <n v="0"/>
    <n v="10"/>
    <n v="2"/>
    <n v="420"/>
    <n v="4"/>
    <n v="0"/>
    <n v="0.72370410418746323"/>
    <n v="0.27629589581253677"/>
    <x v="3"/>
  </r>
  <r>
    <n v="9"/>
    <n v="51"/>
    <n v="1"/>
    <n v="0"/>
    <n v="2"/>
    <n v="1"/>
    <n v="0"/>
    <n v="6053.35"/>
    <n v="5"/>
    <n v="0"/>
    <n v="0.723720667204796"/>
    <n v="0.27627933279520411"/>
    <x v="3"/>
  </r>
  <r>
    <n v="10"/>
    <n v="53"/>
    <n v="1"/>
    <n v="0"/>
    <n v="1"/>
    <n v="12"/>
    <n v="2"/>
    <n v="600"/>
    <n v="9"/>
    <n v="0"/>
    <n v="0.72377255175179644"/>
    <n v="0.27622744824820361"/>
    <x v="3"/>
  </r>
  <r>
    <n v="12"/>
    <n v="61"/>
    <n v="1"/>
    <n v="0"/>
    <n v="3"/>
    <n v="3"/>
    <n v="2"/>
    <n v="1020"/>
    <n v="9"/>
    <n v="0"/>
    <n v="0.72391730007518507"/>
    <n v="0.27608269992481488"/>
    <x v="3"/>
  </r>
  <r>
    <n v="10"/>
    <n v="40"/>
    <n v="4"/>
    <n v="2"/>
    <n v="4"/>
    <n v="9"/>
    <n v="3"/>
    <n v="0.01"/>
    <n v="9"/>
    <n v="1"/>
    <n v="0.72404932109315701"/>
    <n v="0.27595067890684299"/>
    <x v="3"/>
  </r>
  <r>
    <n v="13"/>
    <n v="65"/>
    <n v="1"/>
    <n v="0"/>
    <n v="3"/>
    <n v="3"/>
    <n v="2"/>
    <n v="1000"/>
    <n v="6"/>
    <n v="1"/>
    <n v="0.7240902796416816"/>
    <n v="0.2759097203583184"/>
    <x v="3"/>
  </r>
  <r>
    <n v="8"/>
    <n v="38"/>
    <n v="5"/>
    <n v="1"/>
    <n v="0"/>
    <n v="11"/>
    <n v="3"/>
    <n v="0.01"/>
    <n v="5"/>
    <n v="0"/>
    <n v="0.7241157928641071"/>
    <n v="0.27588420713589279"/>
    <x v="3"/>
  </r>
  <r>
    <n v="9"/>
    <n v="51"/>
    <n v="1"/>
    <n v="0"/>
    <n v="0"/>
    <n v="11"/>
    <n v="0"/>
    <n v="6000"/>
    <n v="2"/>
    <n v="0"/>
    <n v="0.72411764300980541"/>
    <n v="0.27588235699019459"/>
    <x v="3"/>
  </r>
  <r>
    <n v="11"/>
    <n v="57"/>
    <n v="2"/>
    <n v="0"/>
    <n v="0"/>
    <n v="4"/>
    <n v="3"/>
    <n v="0.01"/>
    <n v="4"/>
    <n v="0"/>
    <n v="0.72424089078337794"/>
    <n v="0.275759109216622"/>
    <x v="3"/>
  </r>
  <r>
    <n v="13"/>
    <n v="68"/>
    <n v="1"/>
    <n v="0"/>
    <n v="0"/>
    <n v="2"/>
    <n v="1"/>
    <n v="30000"/>
    <n v="4"/>
    <n v="1"/>
    <n v="0.72440781347690331"/>
    <n v="0.27559218652309669"/>
    <x v="3"/>
  </r>
  <r>
    <n v="6"/>
    <n v="37"/>
    <n v="2"/>
    <n v="0"/>
    <n v="0"/>
    <n v="10"/>
    <n v="2"/>
    <n v="1000"/>
    <n v="5"/>
    <n v="0"/>
    <n v="0.72446806264046826"/>
    <n v="0.27553193735953169"/>
    <x v="3"/>
  </r>
  <r>
    <n v="6"/>
    <n v="35"/>
    <n v="2"/>
    <n v="0"/>
    <n v="3"/>
    <n v="8"/>
    <n v="3"/>
    <n v="0.01"/>
    <n v="4"/>
    <n v="1"/>
    <n v="0.72463883139833629"/>
    <n v="0.27536116860166371"/>
    <x v="3"/>
  </r>
  <r>
    <n v="5"/>
    <n v="34"/>
    <n v="5"/>
    <n v="0"/>
    <n v="0"/>
    <n v="2"/>
    <n v="0"/>
    <n v="6000"/>
    <n v="5"/>
    <n v="0"/>
    <n v="0.72488868601190126"/>
    <n v="0.27511131398809868"/>
    <x v="3"/>
  </r>
  <r>
    <n v="8"/>
    <n v="47"/>
    <n v="1"/>
    <n v="0"/>
    <n v="0"/>
    <n v="11"/>
    <n v="0"/>
    <n v="6000"/>
    <n v="1"/>
    <n v="0"/>
    <n v="0.7249771868036774"/>
    <n v="0.2750228131963226"/>
    <x v="3"/>
  </r>
  <r>
    <n v="12"/>
    <n v="64"/>
    <n v="0"/>
    <n v="0"/>
    <n v="3"/>
    <n v="3"/>
    <n v="1"/>
    <n v="70000"/>
    <n v="4"/>
    <n v="0"/>
    <n v="0.72501294020514517"/>
    <n v="0.27498705979485483"/>
    <x v="3"/>
  </r>
  <r>
    <n v="8"/>
    <n v="42"/>
    <n v="2"/>
    <n v="1"/>
    <n v="2"/>
    <n v="1"/>
    <n v="0"/>
    <n v="16000"/>
    <n v="5"/>
    <n v="0"/>
    <n v="0.72529844786537501"/>
    <n v="0.27470155213462499"/>
    <x v="3"/>
  </r>
  <r>
    <n v="10"/>
    <n v="52"/>
    <n v="1"/>
    <n v="0"/>
    <n v="4"/>
    <n v="9"/>
    <n v="2"/>
    <n v="50"/>
    <n v="9"/>
    <n v="0"/>
    <n v="0.7256714544766445"/>
    <n v="0.27432854552335562"/>
    <x v="3"/>
  </r>
  <r>
    <n v="7"/>
    <n v="39"/>
    <n v="4"/>
    <n v="0"/>
    <n v="3"/>
    <n v="8"/>
    <n v="2"/>
    <n v="2000"/>
    <n v="1"/>
    <n v="1"/>
    <n v="0.72587514416123033"/>
    <n v="0.27412485583876972"/>
    <x v="3"/>
  </r>
  <r>
    <n v="10"/>
    <n v="55"/>
    <n v="0"/>
    <n v="0"/>
    <n v="3"/>
    <n v="3"/>
    <n v="0"/>
    <n v="6053.34"/>
    <n v="4"/>
    <n v="0"/>
    <n v="0.72598719715052429"/>
    <n v="0.27401280284947571"/>
    <x v="3"/>
  </r>
  <r>
    <n v="5"/>
    <n v="33"/>
    <n v="2"/>
    <n v="0"/>
    <n v="1"/>
    <n v="7"/>
    <n v="2"/>
    <n v="500"/>
    <n v="11"/>
    <n v="0"/>
    <n v="0.72607669156162258"/>
    <n v="0.27392330843837742"/>
    <x v="3"/>
  </r>
  <r>
    <n v="12"/>
    <n v="60"/>
    <n v="2"/>
    <n v="0"/>
    <n v="3"/>
    <n v="3"/>
    <n v="3"/>
    <n v="0.01"/>
    <n v="8"/>
    <n v="0"/>
    <n v="0.72652157551328844"/>
    <n v="0.27347842448671161"/>
    <x v="3"/>
  </r>
  <r>
    <n v="10"/>
    <n v="51"/>
    <n v="1"/>
    <n v="1"/>
    <n v="0"/>
    <n v="4"/>
    <n v="0"/>
    <n v="7500"/>
    <n v="1"/>
    <n v="0"/>
    <n v="0.72654838471408345"/>
    <n v="0.27345161528591649"/>
    <x v="3"/>
  </r>
  <r>
    <n v="10"/>
    <n v="49"/>
    <n v="2"/>
    <n v="1"/>
    <n v="0"/>
    <n v="4"/>
    <n v="2"/>
    <n v="1200"/>
    <n v="4"/>
    <n v="0"/>
    <n v="0.72660274837519179"/>
    <n v="0.27339725162480821"/>
    <x v="3"/>
  </r>
  <r>
    <n v="11"/>
    <n v="51"/>
    <n v="4"/>
    <n v="1"/>
    <n v="3"/>
    <n v="3"/>
    <n v="2"/>
    <n v="5000"/>
    <n v="5"/>
    <n v="0"/>
    <n v="0.7269230323362823"/>
    <n v="0.27307696766371758"/>
    <x v="3"/>
  </r>
  <r>
    <n v="10"/>
    <n v="55"/>
    <n v="1"/>
    <n v="0"/>
    <n v="0"/>
    <n v="4"/>
    <n v="2"/>
    <n v="1000"/>
    <n v="31"/>
    <n v="1"/>
    <n v="0.72757299331143299"/>
    <n v="0.27242700668856701"/>
    <x v="3"/>
  </r>
  <r>
    <n v="13"/>
    <n v="65"/>
    <n v="3"/>
    <n v="0"/>
    <n v="4"/>
    <n v="9"/>
    <n v="0"/>
    <n v="6053.35"/>
    <n v="6"/>
    <n v="1"/>
    <n v="0.72763249605405866"/>
    <n v="0.27236750394594128"/>
    <x v="3"/>
  </r>
  <r>
    <n v="10"/>
    <n v="51"/>
    <n v="2"/>
    <n v="0"/>
    <n v="4"/>
    <n v="9"/>
    <n v="3"/>
    <n v="0.01"/>
    <n v="9"/>
    <n v="0"/>
    <n v="0.72770143007603449"/>
    <n v="0.27229856992396551"/>
    <x v="3"/>
  </r>
  <r>
    <n v="6"/>
    <n v="36"/>
    <n v="5"/>
    <n v="0"/>
    <n v="0"/>
    <n v="2"/>
    <n v="3"/>
    <n v="0.01"/>
    <n v="8"/>
    <n v="0"/>
    <n v="0.72776642561096683"/>
    <n v="0.27223357438903312"/>
    <x v="3"/>
  </r>
  <r>
    <n v="8"/>
    <n v="40"/>
    <n v="1"/>
    <n v="1"/>
    <n v="1"/>
    <n v="7"/>
    <n v="3"/>
    <n v="0.01"/>
    <n v="7"/>
    <n v="1"/>
    <n v="0.72790200665110572"/>
    <n v="0.27209799334889417"/>
    <x v="3"/>
  </r>
  <r>
    <n v="7"/>
    <n v="34"/>
    <n v="4"/>
    <n v="1"/>
    <n v="3"/>
    <n v="3"/>
    <n v="3"/>
    <n v="0.01"/>
    <n v="4"/>
    <n v="1"/>
    <n v="0.72796710985485991"/>
    <n v="0.27203289014514009"/>
    <x v="3"/>
  </r>
  <r>
    <n v="11"/>
    <n v="58"/>
    <n v="3"/>
    <n v="0"/>
    <n v="1"/>
    <n v="12"/>
    <n v="0"/>
    <n v="6000"/>
    <n v="2"/>
    <n v="0"/>
    <n v="0.72815489585530879"/>
    <n v="0.27184510414469121"/>
    <x v="3"/>
  </r>
  <r>
    <n v="9"/>
    <n v="48"/>
    <n v="2"/>
    <n v="0"/>
    <n v="3"/>
    <n v="3"/>
    <n v="3"/>
    <n v="0.01"/>
    <n v="8"/>
    <n v="1"/>
    <n v="0.7283190217022073"/>
    <n v="0.27168097829779281"/>
    <x v="3"/>
  </r>
  <r>
    <n v="12"/>
    <n v="63"/>
    <n v="1"/>
    <n v="0"/>
    <n v="3"/>
    <n v="3"/>
    <n v="0"/>
    <n v="10419.24"/>
    <n v="5"/>
    <n v="0"/>
    <n v="0.72835588215284908"/>
    <n v="0.27164411784715098"/>
    <x v="3"/>
  </r>
  <r>
    <n v="10"/>
    <n v="41"/>
    <n v="5"/>
    <n v="2"/>
    <n v="1"/>
    <n v="12"/>
    <n v="3"/>
    <n v="0.01"/>
    <n v="5"/>
    <n v="0"/>
    <n v="0.72858354442967288"/>
    <n v="0.27141645557032718"/>
    <x v="3"/>
  </r>
  <r>
    <n v="7"/>
    <n v="36"/>
    <n v="3"/>
    <n v="1"/>
    <n v="0"/>
    <n v="2"/>
    <n v="3"/>
    <n v="0.01"/>
    <n v="4"/>
    <n v="0"/>
    <n v="0.72861639507795595"/>
    <n v="0.27138360492204411"/>
    <x v="3"/>
  </r>
  <r>
    <n v="8"/>
    <n v="44"/>
    <n v="2"/>
    <n v="0"/>
    <n v="3"/>
    <n v="3"/>
    <n v="3"/>
    <n v="0.01"/>
    <n v="8"/>
    <n v="0"/>
    <n v="0.72891652175789523"/>
    <n v="0.27108347824210483"/>
    <x v="3"/>
  </r>
  <r>
    <n v="8"/>
    <n v="44"/>
    <n v="3"/>
    <n v="0"/>
    <n v="3"/>
    <n v="8"/>
    <n v="2"/>
    <n v="3500"/>
    <n v="11"/>
    <n v="0"/>
    <n v="0.72896470538110514"/>
    <n v="0.27103529461889492"/>
    <x v="3"/>
  </r>
  <r>
    <n v="12"/>
    <n v="61"/>
    <n v="1"/>
    <n v="0"/>
    <n v="3"/>
    <n v="8"/>
    <n v="2"/>
    <n v="60"/>
    <n v="11"/>
    <n v="0"/>
    <n v="0.72916704933721421"/>
    <n v="0.27083295066278579"/>
    <x v="3"/>
  </r>
  <r>
    <n v="8"/>
    <n v="40"/>
    <n v="3"/>
    <n v="1"/>
    <n v="0"/>
    <n v="4"/>
    <n v="3"/>
    <n v="0.01"/>
    <n v="8"/>
    <n v="0"/>
    <n v="0.729173040072711"/>
    <n v="0.270826959927289"/>
    <x v="3"/>
  </r>
  <r>
    <n v="7"/>
    <n v="43"/>
    <n v="2"/>
    <n v="0"/>
    <n v="0"/>
    <n v="10"/>
    <n v="0"/>
    <n v="6000"/>
    <n v="3"/>
    <n v="0"/>
    <n v="0.72919669642505835"/>
    <n v="0.27080330357494159"/>
    <x v="3"/>
  </r>
  <r>
    <n v="11"/>
    <n v="58"/>
    <n v="0"/>
    <n v="0"/>
    <n v="3"/>
    <n v="3"/>
    <n v="2"/>
    <n v="4620"/>
    <n v="10"/>
    <n v="0"/>
    <n v="0.72983469203317397"/>
    <n v="0.27016530796682608"/>
    <x v="3"/>
  </r>
  <r>
    <n v="8"/>
    <n v="46"/>
    <n v="3"/>
    <n v="0"/>
    <n v="3"/>
    <n v="3"/>
    <n v="0"/>
    <n v="6000.02"/>
    <n v="8"/>
    <n v="0"/>
    <n v="0.72989314558074192"/>
    <n v="0.27010685441925808"/>
    <x v="3"/>
  </r>
  <r>
    <n v="10"/>
    <n v="49"/>
    <n v="1"/>
    <n v="1"/>
    <n v="1"/>
    <n v="7"/>
    <n v="2"/>
    <n v="3000"/>
    <n v="3"/>
    <n v="0"/>
    <n v="0.72996193325094727"/>
    <n v="0.27003806674905279"/>
    <x v="3"/>
  </r>
  <r>
    <n v="10"/>
    <n v="47"/>
    <n v="3"/>
    <n v="1"/>
    <n v="1"/>
    <n v="12"/>
    <n v="3"/>
    <n v="0.01"/>
    <n v="9"/>
    <n v="1"/>
    <n v="0.73012742568313183"/>
    <n v="0.26987257431686817"/>
    <x v="3"/>
  </r>
  <r>
    <n v="11"/>
    <n v="50"/>
    <n v="2"/>
    <n v="2"/>
    <n v="0"/>
    <n v="4"/>
    <n v="0"/>
    <n v="6000"/>
    <n v="2"/>
    <n v="0"/>
    <n v="0.73031081405280951"/>
    <n v="0.26968918594719049"/>
    <x v="3"/>
  </r>
  <r>
    <n v="11"/>
    <n v="57"/>
    <n v="2"/>
    <n v="0"/>
    <n v="3"/>
    <n v="3"/>
    <n v="2"/>
    <n v="3000"/>
    <n v="4"/>
    <n v="0"/>
    <n v="0.73037696067386648"/>
    <n v="0.26962303932613352"/>
    <x v="3"/>
  </r>
  <r>
    <n v="8"/>
    <n v="41"/>
    <n v="3"/>
    <n v="1"/>
    <n v="0"/>
    <n v="2"/>
    <n v="2"/>
    <n v="2000"/>
    <n v="4"/>
    <n v="1"/>
    <n v="0.73057307909725533"/>
    <n v="0.26942692090274473"/>
    <x v="3"/>
  </r>
  <r>
    <n v="11"/>
    <n v="53"/>
    <n v="0"/>
    <n v="1"/>
    <n v="3"/>
    <n v="3"/>
    <n v="2"/>
    <n v="600"/>
    <n v="7"/>
    <n v="0"/>
    <n v="0.73080754436373629"/>
    <n v="0.26919245563626371"/>
    <x v="3"/>
  </r>
  <r>
    <n v="11"/>
    <n v="55"/>
    <n v="5"/>
    <n v="0"/>
    <n v="3"/>
    <n v="3"/>
    <n v="3"/>
    <n v="0.01"/>
    <n v="8"/>
    <n v="1"/>
    <n v="0.73082277567119236"/>
    <n v="0.26917722432880758"/>
    <x v="3"/>
  </r>
  <r>
    <n v="9"/>
    <n v="50"/>
    <n v="2"/>
    <n v="0"/>
    <n v="3"/>
    <n v="8"/>
    <n v="1"/>
    <n v="25000"/>
    <n v="13"/>
    <n v="0"/>
    <n v="0.73089655073551185"/>
    <n v="0.26910344926448809"/>
    <x v="3"/>
  </r>
  <r>
    <n v="7"/>
    <n v="42"/>
    <n v="3"/>
    <n v="0"/>
    <n v="3"/>
    <n v="3"/>
    <n v="0"/>
    <n v="7000"/>
    <n v="5"/>
    <n v="0"/>
    <n v="0.7309300181048749"/>
    <n v="0.2690699818951251"/>
    <x v="3"/>
  </r>
  <r>
    <n v="7"/>
    <n v="41"/>
    <n v="0"/>
    <n v="0"/>
    <n v="3"/>
    <n v="3"/>
    <n v="3"/>
    <n v="0.01"/>
    <n v="8"/>
    <n v="0"/>
    <n v="0.7310040743879751"/>
    <n v="0.26899592561202479"/>
    <x v="3"/>
  </r>
  <r>
    <n v="9"/>
    <n v="51"/>
    <n v="2"/>
    <n v="0"/>
    <n v="0"/>
    <n v="11"/>
    <n v="1"/>
    <n v="23000"/>
    <n v="8"/>
    <n v="1"/>
    <n v="0.7310962653955384"/>
    <n v="0.26890373460446149"/>
    <x v="3"/>
  </r>
  <r>
    <n v="8"/>
    <n v="48"/>
    <n v="2"/>
    <n v="0"/>
    <n v="0"/>
    <n v="4"/>
    <n v="0"/>
    <n v="10884.25"/>
    <n v="8"/>
    <n v="0"/>
    <n v="0.73115115285987331"/>
    <n v="0.26884884714012669"/>
    <x v="3"/>
  </r>
  <r>
    <n v="8"/>
    <n v="43"/>
    <n v="5"/>
    <n v="0"/>
    <n v="2"/>
    <n v="6"/>
    <n v="3"/>
    <n v="0.01"/>
    <n v="4"/>
    <n v="0"/>
    <n v="0.73126499345731799"/>
    <n v="0.26873500654268201"/>
    <x v="3"/>
  </r>
  <r>
    <n v="11"/>
    <n v="55"/>
    <n v="5"/>
    <n v="0"/>
    <n v="3"/>
    <n v="3"/>
    <n v="3"/>
    <n v="0.01"/>
    <n v="5"/>
    <n v="0"/>
    <n v="0.73158049492228328"/>
    <n v="0.26841950507771672"/>
    <x v="3"/>
  </r>
  <r>
    <n v="10"/>
    <n v="51"/>
    <n v="4"/>
    <n v="0"/>
    <n v="3"/>
    <n v="8"/>
    <n v="3"/>
    <n v="0.01"/>
    <n v="8"/>
    <n v="0"/>
    <n v="0.73164163149122685"/>
    <n v="0.2683583685087732"/>
    <x v="3"/>
  </r>
  <r>
    <n v="13"/>
    <n v="55"/>
    <n v="3"/>
    <n v="2"/>
    <n v="3"/>
    <n v="3"/>
    <n v="2"/>
    <n v="3000"/>
    <n v="6"/>
    <n v="0"/>
    <n v="0.73173421970714581"/>
    <n v="0.26826578029285419"/>
    <x v="3"/>
  </r>
  <r>
    <n v="11"/>
    <n v="59"/>
    <n v="4"/>
    <n v="0"/>
    <n v="0"/>
    <n v="11"/>
    <n v="0"/>
    <n v="12000"/>
    <n v="21"/>
    <n v="0"/>
    <n v="0.7317971326081516"/>
    <n v="0.26820286739184851"/>
    <x v="3"/>
  </r>
  <r>
    <n v="7"/>
    <n v="40"/>
    <n v="3"/>
    <n v="0"/>
    <n v="3"/>
    <n v="8"/>
    <n v="2"/>
    <n v="420"/>
    <n v="5"/>
    <n v="0"/>
    <n v="0.73205442727106207"/>
    <n v="0.26794557272893788"/>
    <x v="3"/>
  </r>
  <r>
    <n v="11"/>
    <n v="51"/>
    <n v="2"/>
    <n v="1"/>
    <n v="3"/>
    <n v="8"/>
    <n v="3"/>
    <n v="0.01"/>
    <n v="5"/>
    <n v="0"/>
    <n v="0.73223206490259263"/>
    <n v="0.26776793509740737"/>
    <x v="3"/>
  </r>
  <r>
    <n v="14"/>
    <n v="70"/>
    <n v="4"/>
    <n v="0"/>
    <n v="3"/>
    <n v="3"/>
    <n v="0"/>
    <n v="6000"/>
    <n v="5"/>
    <n v="1"/>
    <n v="0.73225774130454879"/>
    <n v="0.26774225869545132"/>
    <x v="3"/>
  </r>
  <r>
    <n v="9"/>
    <n v="43"/>
    <n v="5"/>
    <n v="1"/>
    <n v="1"/>
    <n v="12"/>
    <n v="2"/>
    <n v="300"/>
    <n v="9"/>
    <n v="0"/>
    <n v="0.73231525490791072"/>
    <n v="0.26768474509208928"/>
    <x v="3"/>
  </r>
  <r>
    <n v="8"/>
    <n v="46"/>
    <n v="5"/>
    <n v="0"/>
    <n v="1"/>
    <n v="7"/>
    <n v="0"/>
    <n v="12500"/>
    <n v="4"/>
    <n v="0"/>
    <n v="0.7323270009222822"/>
    <n v="0.2676729990777178"/>
    <x v="3"/>
  </r>
  <r>
    <n v="8"/>
    <n v="40"/>
    <n v="2"/>
    <n v="1"/>
    <n v="0"/>
    <n v="11"/>
    <n v="3"/>
    <n v="0.01"/>
    <n v="4"/>
    <n v="0"/>
    <n v="0.73256879982774081"/>
    <n v="0.26743120017225919"/>
    <x v="3"/>
  </r>
  <r>
    <n v="6"/>
    <n v="37"/>
    <n v="2"/>
    <n v="0"/>
    <n v="3"/>
    <n v="3"/>
    <n v="2"/>
    <n v="500"/>
    <n v="9"/>
    <n v="0"/>
    <n v="0.73287284838414513"/>
    <n v="0.26712715161585482"/>
    <x v="3"/>
  </r>
  <r>
    <n v="12"/>
    <n v="51"/>
    <n v="3"/>
    <n v="2"/>
    <n v="1"/>
    <n v="12"/>
    <n v="2"/>
    <n v="100"/>
    <n v="1"/>
    <n v="0"/>
    <n v="0.73304255065744162"/>
    <n v="0.26695744934255838"/>
    <x v="3"/>
  </r>
  <r>
    <n v="11"/>
    <n v="56"/>
    <n v="3"/>
    <n v="0"/>
    <n v="3"/>
    <n v="3"/>
    <n v="3"/>
    <n v="0.01"/>
    <n v="4"/>
    <n v="1"/>
    <n v="0.73331553501664803"/>
    <n v="0.26668446498335191"/>
    <x v="3"/>
  </r>
  <r>
    <n v="5"/>
    <n v="33"/>
    <n v="2"/>
    <n v="0"/>
    <n v="0"/>
    <n v="10"/>
    <n v="3"/>
    <n v="0.01"/>
    <n v="8"/>
    <n v="0"/>
    <n v="0.7333181519176275"/>
    <n v="0.2666818480823725"/>
    <x v="3"/>
  </r>
  <r>
    <n v="8"/>
    <n v="46"/>
    <n v="3"/>
    <n v="0"/>
    <n v="0"/>
    <n v="4"/>
    <n v="2"/>
    <n v="75.010000000000005"/>
    <n v="8"/>
    <n v="0"/>
    <n v="0.73338501428022806"/>
    <n v="0.26661498571977188"/>
    <x v="3"/>
  </r>
  <r>
    <n v="11"/>
    <n v="53"/>
    <n v="2"/>
    <n v="1"/>
    <n v="1"/>
    <n v="7"/>
    <n v="2"/>
    <n v="800"/>
    <n v="9"/>
    <n v="0"/>
    <n v="0.73371325083660133"/>
    <n v="0.26628674916339862"/>
    <x v="3"/>
  </r>
  <r>
    <n v="9"/>
    <n v="48"/>
    <n v="5"/>
    <n v="0"/>
    <n v="1"/>
    <n v="12"/>
    <n v="2"/>
    <n v="0.02"/>
    <n v="8"/>
    <n v="0"/>
    <n v="0.73371673185604602"/>
    <n v="0.26628326814395392"/>
    <x v="3"/>
  </r>
  <r>
    <n v="9"/>
    <n v="45"/>
    <n v="2"/>
    <n v="1"/>
    <n v="0"/>
    <n v="2"/>
    <n v="3"/>
    <n v="0.01"/>
    <n v="5"/>
    <n v="0"/>
    <n v="0.73383282232830904"/>
    <n v="0.26616717767169101"/>
    <x v="3"/>
  </r>
  <r>
    <n v="7"/>
    <n v="39"/>
    <n v="5"/>
    <n v="0"/>
    <n v="3"/>
    <n v="3"/>
    <n v="3"/>
    <n v="0.01"/>
    <n v="5"/>
    <n v="1"/>
    <n v="0.73394736212502187"/>
    <n v="0.26605263787497813"/>
    <x v="3"/>
  </r>
  <r>
    <n v="10"/>
    <n v="46"/>
    <n v="5"/>
    <n v="1"/>
    <n v="4"/>
    <n v="9"/>
    <n v="2"/>
    <n v="3000"/>
    <n v="3"/>
    <n v="0"/>
    <n v="0.73407005469332731"/>
    <n v="0.26592994530667269"/>
    <x v="3"/>
  </r>
  <r>
    <n v="6"/>
    <n v="35"/>
    <n v="5"/>
    <n v="0"/>
    <n v="3"/>
    <n v="3"/>
    <n v="3"/>
    <n v="0.01"/>
    <n v="6"/>
    <n v="1"/>
    <n v="0.73428634314612773"/>
    <n v="0.26571365685387233"/>
    <x v="3"/>
  </r>
  <r>
    <n v="12"/>
    <n v="51"/>
    <n v="5"/>
    <n v="2"/>
    <n v="1"/>
    <n v="5"/>
    <n v="2"/>
    <n v="2000"/>
    <n v="4"/>
    <n v="1"/>
    <n v="0.73446129656344761"/>
    <n v="0.26553870343655239"/>
    <x v="3"/>
  </r>
  <r>
    <n v="9"/>
    <n v="43"/>
    <n v="5"/>
    <n v="1"/>
    <n v="1"/>
    <n v="5"/>
    <n v="3"/>
    <n v="0.01"/>
    <n v="5"/>
    <n v="1"/>
    <n v="0.73450677953901078"/>
    <n v="0.26549322046098922"/>
    <x v="3"/>
  </r>
  <r>
    <n v="9"/>
    <n v="51"/>
    <n v="2"/>
    <n v="0"/>
    <n v="2"/>
    <n v="6"/>
    <n v="0"/>
    <n v="6000"/>
    <n v="4"/>
    <n v="0"/>
    <n v="0.73460503351590301"/>
    <n v="0.26539496648409699"/>
    <x v="3"/>
  </r>
  <r>
    <n v="10"/>
    <n v="56"/>
    <n v="1"/>
    <n v="0"/>
    <n v="0"/>
    <n v="11"/>
    <n v="0"/>
    <n v="9000"/>
    <n v="1"/>
    <n v="0"/>
    <n v="0.73469640187316654"/>
    <n v="0.26530359812683352"/>
    <x v="3"/>
  </r>
  <r>
    <n v="8"/>
    <n v="44"/>
    <n v="3"/>
    <n v="0"/>
    <n v="3"/>
    <n v="3"/>
    <n v="3"/>
    <n v="0.01"/>
    <n v="5"/>
    <n v="0"/>
    <n v="0.73483428783054727"/>
    <n v="0.26516571216945273"/>
    <x v="3"/>
  </r>
  <r>
    <n v="11"/>
    <n v="45"/>
    <n v="5"/>
    <n v="2"/>
    <n v="3"/>
    <n v="8"/>
    <n v="3"/>
    <n v="0.01"/>
    <n v="5"/>
    <n v="0"/>
    <n v="0.73483968956472678"/>
    <n v="0.26516031043527322"/>
    <x v="3"/>
  </r>
  <r>
    <n v="8"/>
    <n v="47"/>
    <n v="3"/>
    <n v="0"/>
    <n v="1"/>
    <n v="7"/>
    <n v="0"/>
    <n v="6000.01"/>
    <n v="7"/>
    <n v="1"/>
    <n v="0.7350987231337025"/>
    <n v="0.26490127686629761"/>
    <x v="3"/>
  </r>
  <r>
    <n v="7"/>
    <n v="38"/>
    <n v="2"/>
    <n v="1"/>
    <n v="3"/>
    <n v="3"/>
    <n v="0"/>
    <n v="9053.35"/>
    <n v="8"/>
    <n v="1"/>
    <n v="0.73510131219295527"/>
    <n v="0.26489868780704479"/>
    <x v="3"/>
  </r>
  <r>
    <n v="8"/>
    <n v="34"/>
    <n v="5"/>
    <n v="2"/>
    <n v="2"/>
    <n v="1"/>
    <n v="3"/>
    <n v="0.01"/>
    <n v="5"/>
    <n v="1"/>
    <n v="0.73530471859284585"/>
    <n v="0.26469528140715409"/>
    <x v="3"/>
  </r>
  <r>
    <n v="9"/>
    <n v="51"/>
    <n v="0"/>
    <n v="0"/>
    <n v="3"/>
    <n v="8"/>
    <n v="1"/>
    <n v="25000"/>
    <n v="1"/>
    <n v="0"/>
    <n v="0.73539418597783901"/>
    <n v="0.26460581402216099"/>
    <x v="3"/>
  </r>
  <r>
    <n v="9"/>
    <n v="51"/>
    <n v="5"/>
    <n v="0"/>
    <n v="0"/>
    <n v="4"/>
    <n v="0"/>
    <n v="10000"/>
    <n v="2"/>
    <n v="0"/>
    <n v="0.73600720091816729"/>
    <n v="0.26399279908183271"/>
    <x v="3"/>
  </r>
  <r>
    <n v="14"/>
    <n v="68"/>
    <n v="5"/>
    <n v="0"/>
    <n v="3"/>
    <n v="8"/>
    <n v="2"/>
    <n v="4884.25"/>
    <n v="8"/>
    <n v="1"/>
    <n v="0.73603780538216235"/>
    <n v="0.26396219461783771"/>
    <x v="3"/>
  </r>
  <r>
    <n v="10"/>
    <n v="54"/>
    <n v="2"/>
    <n v="0"/>
    <n v="2"/>
    <n v="1"/>
    <n v="2"/>
    <n v="2000"/>
    <n v="1"/>
    <n v="1"/>
    <n v="0.73609968275240523"/>
    <n v="0.26390031724759477"/>
    <x v="3"/>
  </r>
  <r>
    <n v="7"/>
    <n v="44"/>
    <n v="3"/>
    <n v="0"/>
    <n v="0"/>
    <n v="2"/>
    <n v="0"/>
    <n v="6500"/>
    <n v="8"/>
    <n v="0"/>
    <n v="0.73611642513051678"/>
    <n v="0.26388357486948322"/>
    <x v="3"/>
  </r>
  <r>
    <n v="7"/>
    <n v="33"/>
    <n v="2"/>
    <n v="2"/>
    <n v="0"/>
    <n v="2"/>
    <n v="2"/>
    <n v="0.02"/>
    <n v="8"/>
    <n v="0"/>
    <n v="0.73635606448855606"/>
    <n v="0.26364393551144388"/>
    <x v="3"/>
  </r>
  <r>
    <n v="9"/>
    <n v="48"/>
    <n v="5"/>
    <n v="0"/>
    <n v="0"/>
    <n v="11"/>
    <n v="3"/>
    <n v="0.01"/>
    <n v="5"/>
    <n v="1"/>
    <n v="0.73643379919872465"/>
    <n v="0.26356620080127541"/>
    <x v="3"/>
  </r>
  <r>
    <n v="6"/>
    <n v="38"/>
    <n v="2"/>
    <n v="0"/>
    <n v="2"/>
    <n v="1"/>
    <n v="2"/>
    <n v="4356.0600000000004"/>
    <n v="6"/>
    <n v="0"/>
    <n v="0.73646190354742169"/>
    <n v="0.26353809645257831"/>
    <x v="3"/>
  </r>
  <r>
    <n v="10"/>
    <n v="52"/>
    <n v="5"/>
    <n v="0"/>
    <n v="2"/>
    <n v="1"/>
    <n v="3"/>
    <n v="0.01"/>
    <n v="4"/>
    <n v="0"/>
    <n v="0.73647614839388464"/>
    <n v="0.26352385160611541"/>
    <x v="3"/>
  </r>
  <r>
    <n v="11"/>
    <n v="55"/>
    <n v="1"/>
    <n v="1"/>
    <n v="3"/>
    <n v="3"/>
    <n v="0"/>
    <n v="10000"/>
    <n v="17"/>
    <n v="0"/>
    <n v="0.7367906816799763"/>
    <n v="0.2632093183200237"/>
    <x v="3"/>
  </r>
  <r>
    <n v="12"/>
    <n v="59"/>
    <n v="2"/>
    <n v="1"/>
    <n v="0"/>
    <n v="10"/>
    <n v="0"/>
    <n v="6000"/>
    <n v="3"/>
    <n v="0"/>
    <n v="0.73695909618675881"/>
    <n v="0.26304090381324119"/>
    <x v="3"/>
  </r>
  <r>
    <n v="10"/>
    <n v="55"/>
    <n v="2"/>
    <n v="0"/>
    <n v="3"/>
    <n v="3"/>
    <n v="0"/>
    <n v="6000"/>
    <n v="1"/>
    <n v="0"/>
    <n v="0.73709104304896356"/>
    <n v="0.26290895695103639"/>
    <x v="3"/>
  </r>
  <r>
    <n v="10"/>
    <n v="51"/>
    <n v="3"/>
    <n v="1"/>
    <n v="0"/>
    <n v="4"/>
    <n v="0"/>
    <n v="6000"/>
    <n v="2"/>
    <n v="0"/>
    <n v="0.73709366181372105"/>
    <n v="0.26290633818627901"/>
    <x v="3"/>
  </r>
  <r>
    <n v="8"/>
    <n v="45"/>
    <n v="3"/>
    <n v="0"/>
    <n v="3"/>
    <n v="3"/>
    <n v="2"/>
    <n v="4948.78"/>
    <n v="1"/>
    <n v="0"/>
    <n v="0.73742330209420159"/>
    <n v="0.26257669790579852"/>
    <x v="3"/>
  </r>
  <r>
    <n v="7"/>
    <n v="41"/>
    <n v="3"/>
    <n v="0"/>
    <n v="1"/>
    <n v="5"/>
    <n v="3"/>
    <n v="0.01"/>
    <n v="8"/>
    <n v="1"/>
    <n v="0.7374505734263348"/>
    <n v="0.26254942657366531"/>
    <x v="3"/>
  </r>
  <r>
    <n v="9"/>
    <n v="51"/>
    <n v="1"/>
    <n v="0"/>
    <n v="3"/>
    <n v="8"/>
    <n v="0"/>
    <n v="5800"/>
    <n v="3"/>
    <n v="1"/>
    <n v="0.73746268763184242"/>
    <n v="0.26253731236815753"/>
    <x v="3"/>
  </r>
  <r>
    <n v="9"/>
    <n v="51"/>
    <n v="3"/>
    <n v="0"/>
    <n v="3"/>
    <n v="3"/>
    <n v="0"/>
    <n v="19000"/>
    <n v="6"/>
    <n v="0"/>
    <n v="0.73746928821444668"/>
    <n v="0.26253071178555337"/>
    <x v="3"/>
  </r>
  <r>
    <n v="10"/>
    <n v="51"/>
    <n v="5"/>
    <n v="0"/>
    <n v="3"/>
    <n v="8"/>
    <n v="3"/>
    <n v="0.01"/>
    <n v="5"/>
    <n v="0"/>
    <n v="0.73752133003099696"/>
    <n v="0.26247866996900299"/>
    <x v="3"/>
  </r>
  <r>
    <n v="10"/>
    <n v="50"/>
    <n v="3"/>
    <n v="1"/>
    <n v="3"/>
    <n v="3"/>
    <n v="0"/>
    <n v="12000.01"/>
    <n v="8"/>
    <n v="0"/>
    <n v="0.73752620235298472"/>
    <n v="0.26247379764701517"/>
    <x v="3"/>
  </r>
  <r>
    <n v="10"/>
    <n v="55"/>
    <n v="2"/>
    <n v="0"/>
    <n v="0"/>
    <n v="2"/>
    <n v="2"/>
    <n v="582.64"/>
    <n v="3"/>
    <n v="1"/>
    <n v="0.73775281884766808"/>
    <n v="0.26224718115233198"/>
    <x v="3"/>
  </r>
  <r>
    <n v="8"/>
    <n v="44"/>
    <n v="5"/>
    <n v="0"/>
    <n v="1"/>
    <n v="7"/>
    <n v="3"/>
    <n v="0.01"/>
    <n v="7"/>
    <n v="1"/>
    <n v="0.73777447678582264"/>
    <n v="0.26222552321417741"/>
    <x v="3"/>
  </r>
  <r>
    <n v="6"/>
    <n v="38"/>
    <n v="2"/>
    <n v="0"/>
    <n v="0"/>
    <n v="4"/>
    <n v="3"/>
    <n v="0.01"/>
    <n v="8"/>
    <n v="0"/>
    <n v="0.73802689476984074"/>
    <n v="0.26197310523015921"/>
    <x v="3"/>
  </r>
  <r>
    <n v="11"/>
    <n v="54"/>
    <n v="2"/>
    <n v="1"/>
    <n v="0"/>
    <n v="4"/>
    <n v="2"/>
    <n v="2112.5"/>
    <n v="1"/>
    <n v="0"/>
    <n v="0.73826896445406187"/>
    <n v="0.26173103554593818"/>
    <x v="3"/>
  </r>
  <r>
    <n v="10"/>
    <n v="53"/>
    <n v="5"/>
    <n v="0"/>
    <n v="0"/>
    <n v="11"/>
    <n v="2"/>
    <n v="3000"/>
    <n v="4"/>
    <n v="0"/>
    <n v="0.73829134055466161"/>
    <n v="0.26170865944533828"/>
    <x v="3"/>
  </r>
  <r>
    <n v="11"/>
    <n v="54"/>
    <n v="1"/>
    <n v="1"/>
    <n v="2"/>
    <n v="0"/>
    <n v="2"/>
    <n v="3200"/>
    <n v="5"/>
    <n v="0"/>
    <n v="0.73859667332660628"/>
    <n v="0.26140332667339378"/>
    <x v="3"/>
  </r>
  <r>
    <n v="11"/>
    <n v="57"/>
    <n v="2"/>
    <n v="0"/>
    <n v="3"/>
    <n v="3"/>
    <n v="3"/>
    <n v="0.01"/>
    <n v="9"/>
    <n v="0"/>
    <n v="0.73864846264705264"/>
    <n v="0.26135153735294742"/>
    <x v="3"/>
  </r>
  <r>
    <n v="10"/>
    <n v="49"/>
    <n v="2"/>
    <n v="1"/>
    <n v="3"/>
    <n v="3"/>
    <n v="2"/>
    <n v="3486.7"/>
    <n v="15"/>
    <n v="0"/>
    <n v="0.73873780905830322"/>
    <n v="0.26126219094169678"/>
    <x v="3"/>
  </r>
  <r>
    <n v="8"/>
    <n v="46"/>
    <n v="4"/>
    <n v="0"/>
    <n v="0"/>
    <n v="4"/>
    <n v="2"/>
    <n v="1000"/>
    <n v="5"/>
    <n v="0"/>
    <n v="0.73895273430277386"/>
    <n v="0.26104726569722608"/>
    <x v="3"/>
  </r>
  <r>
    <n v="9"/>
    <n v="50"/>
    <n v="5"/>
    <n v="0"/>
    <n v="3"/>
    <n v="3"/>
    <n v="0"/>
    <n v="13500"/>
    <n v="1"/>
    <n v="0"/>
    <n v="0.73896090833724304"/>
    <n v="0.26103909166275702"/>
    <x v="3"/>
  </r>
  <r>
    <n v="10"/>
    <n v="51"/>
    <n v="4"/>
    <n v="0"/>
    <n v="4"/>
    <n v="9"/>
    <n v="3"/>
    <n v="0.01"/>
    <n v="5"/>
    <n v="1"/>
    <n v="0.73899216178953253"/>
    <n v="0.26100783821046752"/>
    <x v="3"/>
  </r>
  <r>
    <n v="9"/>
    <n v="49"/>
    <n v="5"/>
    <n v="0"/>
    <n v="2"/>
    <n v="1"/>
    <n v="2"/>
    <n v="1000"/>
    <n v="7"/>
    <n v="1"/>
    <n v="0.73912979077815066"/>
    <n v="0.26087020922184939"/>
    <x v="3"/>
  </r>
  <r>
    <n v="10"/>
    <n v="53"/>
    <n v="2"/>
    <n v="0"/>
    <n v="3"/>
    <n v="3"/>
    <n v="3"/>
    <n v="0.01"/>
    <n v="9"/>
    <n v="0"/>
    <n v="0.7392313791842795"/>
    <n v="0.26076862081572061"/>
    <x v="3"/>
  </r>
  <r>
    <n v="11"/>
    <n v="54"/>
    <n v="3"/>
    <n v="1"/>
    <n v="3"/>
    <n v="3"/>
    <n v="0"/>
    <n v="6000"/>
    <n v="5"/>
    <n v="0"/>
    <n v="0.73955390656704467"/>
    <n v="0.26044609343295527"/>
    <x v="3"/>
  </r>
  <r>
    <n v="9"/>
    <n v="45"/>
    <n v="1"/>
    <n v="1"/>
    <n v="1"/>
    <n v="7"/>
    <n v="3"/>
    <n v="0.01"/>
    <n v="4"/>
    <n v="0"/>
    <n v="0.73981576332094601"/>
    <n v="0.26018423667905399"/>
    <x v="3"/>
  </r>
  <r>
    <n v="7"/>
    <n v="31"/>
    <n v="4"/>
    <n v="2"/>
    <n v="3"/>
    <n v="3"/>
    <n v="2"/>
    <n v="1000"/>
    <n v="9"/>
    <n v="0"/>
    <n v="0.74024442853669448"/>
    <n v="0.25975557146330552"/>
    <x v="3"/>
  </r>
  <r>
    <n v="9"/>
    <n v="49"/>
    <n v="5"/>
    <n v="0"/>
    <n v="0"/>
    <n v="4"/>
    <n v="3"/>
    <n v="0.01"/>
    <n v="5"/>
    <n v="0"/>
    <n v="0.74063319570421515"/>
    <n v="0.25936680429578479"/>
    <x v="3"/>
  </r>
  <r>
    <n v="8"/>
    <n v="45"/>
    <n v="2"/>
    <n v="0"/>
    <n v="3"/>
    <n v="3"/>
    <n v="3"/>
    <n v="0.01"/>
    <n v="8"/>
    <n v="0"/>
    <n v="0.74064161057149414"/>
    <n v="0.25935838942850592"/>
    <x v="3"/>
  </r>
  <r>
    <n v="7"/>
    <n v="40"/>
    <n v="3"/>
    <n v="0"/>
    <n v="3"/>
    <n v="8"/>
    <n v="3"/>
    <n v="0.01"/>
    <n v="5"/>
    <n v="0"/>
    <n v="0.74072862994105404"/>
    <n v="0.25927137005894602"/>
    <x v="3"/>
  </r>
  <r>
    <n v="11"/>
    <n v="59"/>
    <n v="4"/>
    <n v="0"/>
    <n v="3"/>
    <n v="3"/>
    <n v="0"/>
    <n v="16000"/>
    <n v="12"/>
    <n v="0"/>
    <n v="0.74082073940359461"/>
    <n v="0.25917926059640528"/>
    <x v="3"/>
  </r>
  <r>
    <n v="8"/>
    <n v="45"/>
    <n v="5"/>
    <n v="0"/>
    <n v="2"/>
    <n v="1"/>
    <n v="2"/>
    <n v="1000"/>
    <n v="2"/>
    <n v="0"/>
    <n v="0.7409472210054211"/>
    <n v="0.2590527789945789"/>
    <x v="3"/>
  </r>
  <r>
    <n v="10"/>
    <n v="45"/>
    <n v="3"/>
    <n v="2"/>
    <n v="0"/>
    <n v="2"/>
    <n v="2"/>
    <n v="1000"/>
    <n v="1"/>
    <n v="0"/>
    <n v="0.74110807878022322"/>
    <n v="0.25889192121977678"/>
    <x v="3"/>
  </r>
  <r>
    <n v="9"/>
    <n v="45"/>
    <n v="2"/>
    <n v="1"/>
    <n v="3"/>
    <n v="3"/>
    <n v="2"/>
    <n v="3000"/>
    <n v="8"/>
    <n v="0"/>
    <n v="0.74120096319504913"/>
    <n v="0.25879903680495092"/>
    <x v="3"/>
  </r>
  <r>
    <n v="8"/>
    <n v="45"/>
    <n v="2"/>
    <n v="0"/>
    <n v="3"/>
    <n v="3"/>
    <n v="3"/>
    <n v="0.01"/>
    <n v="5"/>
    <n v="0"/>
    <n v="0.74138147120721687"/>
    <n v="0.25861852879278308"/>
    <x v="3"/>
  </r>
  <r>
    <n v="6"/>
    <n v="37"/>
    <n v="5"/>
    <n v="0"/>
    <n v="0"/>
    <n v="4"/>
    <n v="3"/>
    <n v="0.01"/>
    <n v="9"/>
    <n v="1"/>
    <n v="0.74138645401033831"/>
    <n v="0.25861354598966169"/>
    <x v="3"/>
  </r>
  <r>
    <n v="9"/>
    <n v="50"/>
    <n v="2"/>
    <n v="0"/>
    <n v="2"/>
    <n v="6"/>
    <n v="2"/>
    <n v="0.02"/>
    <n v="4"/>
    <n v="0"/>
    <n v="0.74185462037442262"/>
    <n v="0.25814537962557738"/>
    <x v="3"/>
  </r>
  <r>
    <n v="7"/>
    <n v="42"/>
    <n v="3"/>
    <n v="0"/>
    <n v="0"/>
    <n v="4"/>
    <n v="3"/>
    <n v="0.01"/>
    <n v="8"/>
    <n v="1"/>
    <n v="0.74250305941031502"/>
    <n v="0.25749694058968498"/>
    <x v="3"/>
  </r>
  <r>
    <n v="8"/>
    <n v="41"/>
    <n v="2"/>
    <n v="1"/>
    <n v="3"/>
    <n v="3"/>
    <n v="2"/>
    <n v="500.01"/>
    <n v="8"/>
    <n v="0"/>
    <n v="0.74255097495058719"/>
    <n v="0.25744902504941269"/>
    <x v="3"/>
  </r>
  <r>
    <n v="8"/>
    <n v="46"/>
    <n v="3"/>
    <n v="0"/>
    <n v="0"/>
    <n v="4"/>
    <n v="3"/>
    <n v="0.01"/>
    <n v="5"/>
    <n v="0"/>
    <n v="0.74266237489309028"/>
    <n v="0.25733762510690972"/>
    <x v="3"/>
  </r>
  <r>
    <n v="8"/>
    <n v="46"/>
    <n v="3"/>
    <n v="0"/>
    <n v="0"/>
    <n v="4"/>
    <n v="3"/>
    <n v="0.01"/>
    <n v="5"/>
    <n v="0"/>
    <n v="0.74266237489309028"/>
    <n v="0.25733762510690972"/>
    <x v="3"/>
  </r>
  <r>
    <n v="9"/>
    <n v="50"/>
    <n v="2"/>
    <n v="0"/>
    <n v="1"/>
    <n v="5"/>
    <n v="3"/>
    <n v="0.01"/>
    <n v="8"/>
    <n v="0"/>
    <n v="0.7428027750031494"/>
    <n v="0.2571972249968506"/>
    <x v="3"/>
  </r>
  <r>
    <n v="10"/>
    <n v="54"/>
    <n v="2"/>
    <n v="0"/>
    <n v="0"/>
    <n v="11"/>
    <n v="3"/>
    <n v="0.01"/>
    <n v="9"/>
    <n v="1"/>
    <n v="0.74284197929427287"/>
    <n v="0.25715802070572708"/>
    <x v="3"/>
  </r>
  <r>
    <n v="9"/>
    <n v="52"/>
    <n v="1"/>
    <n v="0"/>
    <n v="3"/>
    <n v="3"/>
    <n v="0"/>
    <n v="5982"/>
    <n v="6"/>
    <n v="0"/>
    <n v="0.74295803138264027"/>
    <n v="0.25704196861735978"/>
    <x v="3"/>
  </r>
  <r>
    <n v="9"/>
    <n v="48"/>
    <n v="5"/>
    <n v="0"/>
    <n v="1"/>
    <n v="12"/>
    <n v="3"/>
    <n v="0.01"/>
    <n v="5"/>
    <n v="0"/>
    <n v="0.74296352135513866"/>
    <n v="0.25703647864486129"/>
    <x v="3"/>
  </r>
  <r>
    <n v="9"/>
    <n v="39"/>
    <n v="5"/>
    <n v="2"/>
    <n v="3"/>
    <n v="3"/>
    <n v="2"/>
    <n v="4000"/>
    <n v="9"/>
    <n v="0"/>
    <n v="0.74319942968662611"/>
    <n v="0.25680057031337389"/>
    <x v="3"/>
  </r>
  <r>
    <n v="10"/>
    <n v="46"/>
    <n v="5"/>
    <n v="1"/>
    <n v="4"/>
    <n v="9"/>
    <n v="3"/>
    <n v="0.01"/>
    <n v="4"/>
    <n v="0"/>
    <n v="0.74325037373281111"/>
    <n v="0.25674962626718889"/>
    <x v="3"/>
  </r>
  <r>
    <n v="9"/>
    <n v="47"/>
    <n v="2"/>
    <n v="1"/>
    <n v="1"/>
    <n v="12"/>
    <n v="0"/>
    <n v="6000"/>
    <n v="15"/>
    <n v="0"/>
    <n v="0.7433151312200269"/>
    <n v="0.2566848687799731"/>
    <x v="3"/>
  </r>
  <r>
    <n v="8"/>
    <n v="47"/>
    <n v="3"/>
    <n v="0"/>
    <n v="0"/>
    <n v="2"/>
    <n v="2"/>
    <n v="1000"/>
    <n v="5"/>
    <n v="0"/>
    <n v="0.74334446502352391"/>
    <n v="0.25665553497647597"/>
    <x v="3"/>
  </r>
  <r>
    <n v="7"/>
    <n v="41"/>
    <n v="4"/>
    <n v="0"/>
    <n v="3"/>
    <n v="3"/>
    <n v="2"/>
    <n v="480"/>
    <n v="4"/>
    <n v="0"/>
    <n v="0.74369982586890604"/>
    <n v="0.25630017413109402"/>
    <x v="3"/>
  </r>
  <r>
    <n v="7"/>
    <n v="37"/>
    <n v="2"/>
    <n v="1"/>
    <n v="3"/>
    <n v="3"/>
    <n v="2"/>
    <n v="3000"/>
    <n v="2"/>
    <n v="0"/>
    <n v="0.74383048875745739"/>
    <n v="0.25616951124254272"/>
    <x v="3"/>
  </r>
  <r>
    <n v="8"/>
    <n v="46"/>
    <n v="2"/>
    <n v="0"/>
    <n v="3"/>
    <n v="3"/>
    <n v="2"/>
    <n v="4198"/>
    <n v="1"/>
    <n v="0"/>
    <n v="0.74415921276498898"/>
    <n v="0.25584078723501108"/>
    <x v="3"/>
  </r>
  <r>
    <n v="4"/>
    <n v="30"/>
    <n v="3"/>
    <n v="0"/>
    <n v="0"/>
    <n v="4"/>
    <n v="3"/>
    <n v="0.01"/>
    <n v="8"/>
    <n v="0"/>
    <n v="0.74423244504965558"/>
    <n v="0.25576755495034442"/>
    <x v="3"/>
  </r>
  <r>
    <n v="5"/>
    <n v="33"/>
    <n v="4"/>
    <n v="0"/>
    <n v="1"/>
    <n v="5"/>
    <n v="3"/>
    <n v="0.01"/>
    <n v="5"/>
    <n v="1"/>
    <n v="0.74439924618785291"/>
    <n v="0.25560075381214709"/>
    <x v="3"/>
  </r>
  <r>
    <n v="9"/>
    <n v="51"/>
    <n v="5"/>
    <n v="0"/>
    <n v="0"/>
    <n v="11"/>
    <n v="0"/>
    <n v="6000"/>
    <n v="2"/>
    <n v="0"/>
    <n v="0.74463289888318451"/>
    <n v="0.25536710111681549"/>
    <x v="3"/>
  </r>
  <r>
    <n v="9"/>
    <n v="51"/>
    <n v="2"/>
    <n v="0"/>
    <n v="0"/>
    <n v="10"/>
    <n v="2"/>
    <n v="5000"/>
    <n v="5"/>
    <n v="0"/>
    <n v="0.74489558947582069"/>
    <n v="0.25510441052417931"/>
    <x v="3"/>
  </r>
  <r>
    <n v="6"/>
    <n v="38"/>
    <n v="5"/>
    <n v="0"/>
    <n v="0"/>
    <n v="4"/>
    <n v="2"/>
    <n v="50"/>
    <n v="7"/>
    <n v="0"/>
    <n v="0.74494648215096082"/>
    <n v="0.25505351784903912"/>
    <x v="3"/>
  </r>
  <r>
    <n v="8"/>
    <n v="44"/>
    <n v="5"/>
    <n v="0"/>
    <n v="3"/>
    <n v="3"/>
    <n v="3"/>
    <n v="0.01"/>
    <n v="5"/>
    <n v="0"/>
    <n v="0.74495712491237176"/>
    <n v="0.25504287508762818"/>
    <x v="3"/>
  </r>
  <r>
    <n v="8"/>
    <n v="41"/>
    <n v="2"/>
    <n v="1"/>
    <n v="1"/>
    <n v="7"/>
    <n v="3"/>
    <n v="0.01"/>
    <n v="5"/>
    <n v="0"/>
    <n v="0.74517657578906649"/>
    <n v="0.25482342421093351"/>
    <x v="3"/>
  </r>
  <r>
    <n v="8"/>
    <n v="49"/>
    <n v="2"/>
    <n v="0"/>
    <n v="0"/>
    <n v="4"/>
    <n v="0"/>
    <n v="5500"/>
    <n v="5"/>
    <n v="1"/>
    <n v="0.74520024625732817"/>
    <n v="0.25479975374267178"/>
    <x v="3"/>
  </r>
  <r>
    <n v="9"/>
    <n v="53"/>
    <n v="2"/>
    <n v="0"/>
    <n v="0"/>
    <n v="4"/>
    <n v="0"/>
    <n v="6000"/>
    <n v="2"/>
    <n v="0"/>
    <n v="0.74520552876739554"/>
    <n v="0.25479447123260451"/>
    <x v="3"/>
  </r>
  <r>
    <n v="8"/>
    <n v="44"/>
    <n v="0"/>
    <n v="1"/>
    <n v="3"/>
    <n v="3"/>
    <n v="0"/>
    <n v="6000"/>
    <n v="21"/>
    <n v="0"/>
    <n v="0.74528004272697168"/>
    <n v="0.25471995727302832"/>
    <x v="3"/>
  </r>
  <r>
    <n v="8"/>
    <n v="37"/>
    <n v="5"/>
    <n v="2"/>
    <n v="0"/>
    <n v="11"/>
    <n v="1"/>
    <n v="22200"/>
    <n v="7"/>
    <n v="0"/>
    <n v="0.74533963100356382"/>
    <n v="0.25466036899643613"/>
    <x v="3"/>
  </r>
  <r>
    <n v="13"/>
    <n v="67"/>
    <n v="4"/>
    <n v="0"/>
    <n v="0"/>
    <n v="2"/>
    <n v="2"/>
    <n v="960"/>
    <n v="4"/>
    <n v="0"/>
    <n v="0.74573020350901542"/>
    <n v="0.25426979649098452"/>
    <x v="3"/>
  </r>
  <r>
    <n v="9"/>
    <n v="49"/>
    <n v="3"/>
    <n v="0"/>
    <n v="3"/>
    <n v="3"/>
    <n v="3"/>
    <n v="0.01"/>
    <n v="5"/>
    <n v="0"/>
    <n v="0.7458200587824384"/>
    <n v="0.25417994121756171"/>
    <x v="3"/>
  </r>
  <r>
    <n v="12"/>
    <n v="63"/>
    <n v="1"/>
    <n v="0"/>
    <n v="1"/>
    <n v="12"/>
    <n v="2"/>
    <n v="5000"/>
    <n v="4"/>
    <n v="0"/>
    <n v="0.74590539757107943"/>
    <n v="0.25409460242892062"/>
    <x v="3"/>
  </r>
  <r>
    <n v="9"/>
    <n v="44"/>
    <n v="5"/>
    <n v="1"/>
    <n v="0"/>
    <n v="11"/>
    <n v="3"/>
    <n v="0.01"/>
    <n v="9"/>
    <n v="0"/>
    <n v="0.7459552721865006"/>
    <n v="0.25404472781349952"/>
    <x v="3"/>
  </r>
  <r>
    <n v="10"/>
    <n v="54"/>
    <n v="4"/>
    <n v="0"/>
    <n v="0"/>
    <n v="4"/>
    <n v="3"/>
    <n v="0.01"/>
    <n v="6"/>
    <n v="0"/>
    <n v="0.74627185034028543"/>
    <n v="0.25372814965971452"/>
    <x v="3"/>
  </r>
  <r>
    <n v="8"/>
    <n v="45"/>
    <n v="5"/>
    <n v="0"/>
    <n v="3"/>
    <n v="3"/>
    <n v="2"/>
    <n v="4000"/>
    <n v="7"/>
    <n v="0"/>
    <n v="0.74631267795677636"/>
    <n v="0.25368732204322358"/>
    <x v="3"/>
  </r>
  <r>
    <n v="5"/>
    <n v="33"/>
    <n v="4"/>
    <n v="0"/>
    <n v="1"/>
    <n v="7"/>
    <n v="3"/>
    <n v="0.01"/>
    <n v="5"/>
    <n v="1"/>
    <n v="0.7464825810004927"/>
    <n v="0.25351741899950742"/>
    <x v="3"/>
  </r>
  <r>
    <n v="12"/>
    <n v="64"/>
    <n v="0"/>
    <n v="0"/>
    <n v="1"/>
    <n v="7"/>
    <n v="2"/>
    <n v="3000"/>
    <n v="9"/>
    <n v="0"/>
    <n v="0.74651540006814832"/>
    <n v="0.25348459993185168"/>
    <x v="3"/>
  </r>
  <r>
    <n v="5"/>
    <n v="30"/>
    <n v="0"/>
    <n v="1"/>
    <n v="3"/>
    <n v="3"/>
    <n v="2"/>
    <n v="1000"/>
    <n v="4"/>
    <n v="1"/>
    <n v="0.74653907532035724"/>
    <n v="0.25346092467964282"/>
    <x v="3"/>
  </r>
  <r>
    <n v="8"/>
    <n v="46"/>
    <n v="3"/>
    <n v="0"/>
    <n v="1"/>
    <n v="12"/>
    <n v="2"/>
    <n v="50.01"/>
    <n v="9"/>
    <n v="0"/>
    <n v="0.74705387080859165"/>
    <n v="0.25294612919140841"/>
    <x v="3"/>
  </r>
  <r>
    <n v="8"/>
    <n v="46"/>
    <n v="1"/>
    <n v="0"/>
    <n v="3"/>
    <n v="3"/>
    <n v="3"/>
    <n v="0.01"/>
    <n v="8"/>
    <n v="0"/>
    <n v="0.74709475521097513"/>
    <n v="0.25290524478902487"/>
    <x v="3"/>
  </r>
  <r>
    <n v="10"/>
    <n v="56"/>
    <n v="2"/>
    <n v="0"/>
    <n v="3"/>
    <n v="3"/>
    <n v="0"/>
    <n v="5800"/>
    <n v="7"/>
    <n v="0"/>
    <n v="0.74719147663934038"/>
    <n v="0.25280852336065968"/>
    <x v="3"/>
  </r>
  <r>
    <n v="10"/>
    <n v="44"/>
    <n v="5"/>
    <n v="2"/>
    <n v="0"/>
    <n v="2"/>
    <n v="3"/>
    <n v="0.01"/>
    <n v="5"/>
    <n v="0"/>
    <n v="0.74737284540069671"/>
    <n v="0.25262715459930329"/>
    <x v="3"/>
  </r>
  <r>
    <n v="9"/>
    <n v="51"/>
    <n v="4"/>
    <n v="0"/>
    <n v="0"/>
    <n v="2"/>
    <n v="2"/>
    <n v="3000"/>
    <n v="4"/>
    <n v="0"/>
    <n v="0.74739522284304805"/>
    <n v="0.25260477715695201"/>
    <x v="3"/>
  </r>
  <r>
    <n v="8"/>
    <n v="40"/>
    <n v="5"/>
    <n v="1"/>
    <n v="0"/>
    <n v="11"/>
    <n v="3"/>
    <n v="0.01"/>
    <n v="5"/>
    <n v="0"/>
    <n v="0.74749890901769567"/>
    <n v="0.25250109098230428"/>
    <x v="3"/>
  </r>
  <r>
    <n v="9"/>
    <n v="51"/>
    <n v="2"/>
    <n v="0"/>
    <n v="0"/>
    <n v="11"/>
    <n v="2"/>
    <n v="3000"/>
    <n v="1"/>
    <n v="0"/>
    <n v="0.74751892470147807"/>
    <n v="0.25248107529852187"/>
    <x v="3"/>
  </r>
  <r>
    <n v="8"/>
    <n v="49"/>
    <n v="1"/>
    <n v="0"/>
    <n v="1"/>
    <n v="7"/>
    <n v="0"/>
    <n v="7600"/>
    <n v="4"/>
    <n v="0"/>
    <n v="0.74831902129523398"/>
    <n v="0.25168097870476602"/>
    <x v="3"/>
  </r>
  <r>
    <n v="10"/>
    <n v="56"/>
    <n v="2"/>
    <n v="0"/>
    <n v="3"/>
    <n v="3"/>
    <n v="0"/>
    <n v="6000"/>
    <n v="2"/>
    <n v="0"/>
    <n v="0.7483425810783495"/>
    <n v="0.2516574189216505"/>
    <x v="3"/>
  </r>
  <r>
    <n v="7"/>
    <n v="42"/>
    <n v="1"/>
    <n v="0"/>
    <n v="3"/>
    <n v="3"/>
    <n v="3"/>
    <n v="0.01"/>
    <n v="5"/>
    <n v="0"/>
    <n v="0.74839189989811428"/>
    <n v="0.25160810010188572"/>
    <x v="3"/>
  </r>
  <r>
    <n v="7"/>
    <n v="42"/>
    <n v="3"/>
    <n v="0"/>
    <n v="1"/>
    <n v="12"/>
    <n v="2"/>
    <n v="2500"/>
    <n v="2"/>
    <n v="0"/>
    <n v="0.74857570182293465"/>
    <n v="0.2514242981770653"/>
    <x v="3"/>
  </r>
  <r>
    <n v="6"/>
    <n v="32"/>
    <n v="5"/>
    <n v="1"/>
    <n v="0"/>
    <n v="11"/>
    <n v="3"/>
    <n v="0.01"/>
    <n v="5"/>
    <n v="0"/>
    <n v="0.74863787382736757"/>
    <n v="0.25136212617263243"/>
    <x v="3"/>
  </r>
  <r>
    <n v="8"/>
    <n v="46"/>
    <n v="3"/>
    <n v="0"/>
    <n v="3"/>
    <n v="3"/>
    <n v="2"/>
    <n v="250"/>
    <n v="8"/>
    <n v="0"/>
    <n v="0.74863922149583673"/>
    <n v="0.25136077850416327"/>
    <x v="3"/>
  </r>
  <r>
    <n v="4"/>
    <n v="29"/>
    <n v="3"/>
    <n v="0"/>
    <n v="3"/>
    <n v="3"/>
    <n v="3"/>
    <n v="0.01"/>
    <n v="5"/>
    <n v="1"/>
    <n v="0.74867359926417576"/>
    <n v="0.2513264007358243"/>
    <x v="3"/>
  </r>
  <r>
    <n v="6"/>
    <n v="38"/>
    <n v="4"/>
    <n v="0"/>
    <n v="0"/>
    <n v="4"/>
    <n v="3"/>
    <n v="0.01"/>
    <n v="5"/>
    <n v="0"/>
    <n v="0.74879549547564017"/>
    <n v="0.25120450452435977"/>
    <x v="3"/>
  </r>
  <r>
    <n v="7"/>
    <n v="43"/>
    <n v="2"/>
    <n v="0"/>
    <n v="1"/>
    <n v="7"/>
    <n v="2"/>
    <n v="4000"/>
    <n v="4"/>
    <n v="0"/>
    <n v="0.74884603987874931"/>
    <n v="0.25115396012125057"/>
    <x v="3"/>
  </r>
  <r>
    <n v="8"/>
    <n v="45"/>
    <n v="5"/>
    <n v="0"/>
    <n v="1"/>
    <n v="7"/>
    <n v="3"/>
    <n v="0.01"/>
    <n v="8"/>
    <n v="0"/>
    <n v="0.74900672600598472"/>
    <n v="0.25099327399401528"/>
    <x v="3"/>
  </r>
  <r>
    <n v="8"/>
    <n v="47"/>
    <n v="2"/>
    <n v="0"/>
    <n v="0"/>
    <n v="4"/>
    <n v="3"/>
    <n v="0.01"/>
    <n v="5"/>
    <n v="0"/>
    <n v="0.74908227425660656"/>
    <n v="0.25091772574339338"/>
    <x v="3"/>
  </r>
  <r>
    <n v="7"/>
    <n v="41"/>
    <n v="5"/>
    <n v="0"/>
    <n v="0"/>
    <n v="11"/>
    <n v="3"/>
    <n v="0.01"/>
    <n v="5"/>
    <n v="1"/>
    <n v="0.74908380189250079"/>
    <n v="0.25091619810749921"/>
    <x v="3"/>
  </r>
  <r>
    <n v="8"/>
    <n v="45"/>
    <n v="3"/>
    <n v="0"/>
    <n v="4"/>
    <n v="9"/>
    <n v="2"/>
    <n v="5000"/>
    <n v="1"/>
    <n v="0"/>
    <n v="0.74911498498322038"/>
    <n v="0.25088501501677968"/>
    <x v="3"/>
  </r>
  <r>
    <n v="3"/>
    <n v="27"/>
    <n v="0"/>
    <n v="0"/>
    <n v="3"/>
    <n v="3"/>
    <n v="2"/>
    <n v="2000"/>
    <n v="1"/>
    <n v="0"/>
    <n v="0.74911889063640125"/>
    <n v="0.25088110936359881"/>
    <x v="3"/>
  </r>
  <r>
    <n v="6"/>
    <n v="38"/>
    <n v="1"/>
    <n v="0"/>
    <n v="3"/>
    <n v="3"/>
    <n v="3"/>
    <n v="0.01"/>
    <n v="4"/>
    <n v="0"/>
    <n v="0.74920200859028652"/>
    <n v="0.25079799140971348"/>
    <x v="3"/>
  </r>
  <r>
    <n v="8"/>
    <n v="45"/>
    <n v="4"/>
    <n v="0"/>
    <n v="1"/>
    <n v="12"/>
    <n v="3"/>
    <n v="0.01"/>
    <n v="8"/>
    <n v="0"/>
    <n v="0.74922188157930214"/>
    <n v="0.25077811842069792"/>
    <x v="3"/>
  </r>
  <r>
    <n v="9"/>
    <n v="51"/>
    <n v="4"/>
    <n v="0"/>
    <n v="3"/>
    <n v="3"/>
    <n v="1"/>
    <n v="25571.040000000001"/>
    <n v="4"/>
    <n v="0"/>
    <n v="0.74935078305971725"/>
    <n v="0.25064921694028269"/>
    <x v="3"/>
  </r>
  <r>
    <n v="11"/>
    <n v="58"/>
    <n v="1"/>
    <n v="0"/>
    <n v="3"/>
    <n v="8"/>
    <n v="3"/>
    <n v="0.01"/>
    <n v="12"/>
    <n v="0"/>
    <n v="0.74958852231779094"/>
    <n v="0.25041147768220912"/>
    <x v="3"/>
  </r>
  <r>
    <n v="7"/>
    <n v="41"/>
    <n v="1"/>
    <n v="1"/>
    <n v="0"/>
    <n v="4"/>
    <n v="0"/>
    <n v="8105.32"/>
    <n v="8"/>
    <n v="0"/>
    <n v="0.74962664662809675"/>
    <n v="0.25037335337190331"/>
    <x v="3"/>
  </r>
  <r>
    <n v="12"/>
    <n v="63"/>
    <n v="3"/>
    <n v="0"/>
    <n v="4"/>
    <n v="9"/>
    <n v="0"/>
    <n v="9000"/>
    <n v="9"/>
    <n v="0"/>
    <n v="0.74977447052124124"/>
    <n v="0.2502255294787587"/>
    <x v="3"/>
  </r>
  <r>
    <n v="10"/>
    <n v="52"/>
    <n v="3"/>
    <n v="1"/>
    <n v="0"/>
    <n v="2"/>
    <n v="1"/>
    <n v="20557.32"/>
    <n v="3"/>
    <n v="0"/>
    <n v="0.75014443444597623"/>
    <n v="0.2498555655540238"/>
    <x v="3"/>
  </r>
  <r>
    <n v="10"/>
    <n v="53"/>
    <n v="4"/>
    <n v="0"/>
    <n v="3"/>
    <n v="3"/>
    <n v="3"/>
    <n v="0.01"/>
    <n v="5"/>
    <n v="0"/>
    <n v="0.75020813478232451"/>
    <n v="0.24979186521767549"/>
    <x v="3"/>
  </r>
  <r>
    <n v="5"/>
    <n v="31"/>
    <n v="2"/>
    <n v="1"/>
    <n v="3"/>
    <n v="3"/>
    <n v="0"/>
    <n v="6000"/>
    <n v="1"/>
    <n v="0"/>
    <n v="0.75040867423250113"/>
    <n v="0.24959132576749879"/>
    <x v="3"/>
  </r>
  <r>
    <n v="10"/>
    <n v="51"/>
    <n v="5"/>
    <n v="1"/>
    <n v="0"/>
    <n v="11"/>
    <n v="0"/>
    <n v="17500"/>
    <n v="4"/>
    <n v="0"/>
    <n v="0.75041911849274756"/>
    <n v="0.24958088150725241"/>
    <x v="3"/>
  </r>
  <r>
    <n v="9"/>
    <n v="51"/>
    <n v="5"/>
    <n v="0"/>
    <n v="1"/>
    <n v="12"/>
    <n v="0"/>
    <n v="6000"/>
    <n v="4"/>
    <n v="0"/>
    <n v="0.75054728202912002"/>
    <n v="0.24945271797088001"/>
    <x v="3"/>
  </r>
  <r>
    <n v="8"/>
    <n v="42"/>
    <n v="3"/>
    <n v="1"/>
    <n v="0"/>
    <n v="11"/>
    <n v="2"/>
    <n v="1500"/>
    <n v="5"/>
    <n v="1"/>
    <n v="0.75150055248077441"/>
    <n v="0.24849944751922559"/>
    <x v="3"/>
  </r>
  <r>
    <n v="10"/>
    <n v="49"/>
    <n v="3"/>
    <n v="1"/>
    <n v="3"/>
    <n v="8"/>
    <n v="2"/>
    <n v="3000"/>
    <n v="5"/>
    <n v="1"/>
    <n v="0.75153263666065406"/>
    <n v="0.24846736333934591"/>
    <x v="3"/>
  </r>
  <r>
    <n v="9"/>
    <n v="51"/>
    <n v="1"/>
    <n v="0"/>
    <n v="1"/>
    <n v="7"/>
    <n v="3"/>
    <n v="0.01"/>
    <n v="5"/>
    <n v="0"/>
    <n v="0.75199720289986183"/>
    <n v="0.2480027971001382"/>
    <x v="3"/>
  </r>
  <r>
    <n v="8"/>
    <n v="47"/>
    <n v="2"/>
    <n v="0"/>
    <n v="1"/>
    <n v="12"/>
    <n v="2"/>
    <n v="3000"/>
    <n v="11"/>
    <n v="0"/>
    <n v="0.75203749167679768"/>
    <n v="0.2479625083232023"/>
    <x v="3"/>
  </r>
  <r>
    <n v="7"/>
    <n v="43"/>
    <n v="3"/>
    <n v="0"/>
    <n v="1"/>
    <n v="5"/>
    <n v="2"/>
    <n v="2000"/>
    <n v="5"/>
    <n v="1"/>
    <n v="0.75207844693758419"/>
    <n v="0.24792155306241581"/>
    <x v="3"/>
  </r>
  <r>
    <n v="14"/>
    <n v="71"/>
    <n v="2"/>
    <n v="0"/>
    <n v="3"/>
    <n v="3"/>
    <n v="2"/>
    <n v="1000"/>
    <n v="5"/>
    <n v="1"/>
    <n v="0.75208350033722415"/>
    <n v="0.24791649966277579"/>
    <x v="3"/>
  </r>
  <r>
    <n v="7"/>
    <n v="41"/>
    <n v="3"/>
    <n v="0"/>
    <n v="3"/>
    <n v="8"/>
    <n v="3"/>
    <n v="0.01"/>
    <n v="5"/>
    <n v="1"/>
    <n v="0.75211655750412698"/>
    <n v="0.24788344249587299"/>
    <x v="3"/>
  </r>
  <r>
    <n v="9"/>
    <n v="51"/>
    <n v="1"/>
    <n v="0"/>
    <n v="1"/>
    <n v="7"/>
    <n v="3"/>
    <n v="0.01"/>
    <n v="4"/>
    <n v="1"/>
    <n v="0.75223678570200758"/>
    <n v="0.24776321429799239"/>
    <x v="3"/>
  </r>
  <r>
    <n v="10"/>
    <n v="56"/>
    <n v="1"/>
    <n v="0"/>
    <n v="0"/>
    <n v="11"/>
    <n v="2"/>
    <n v="3000"/>
    <n v="5"/>
    <n v="0"/>
    <n v="0.75234017943560905"/>
    <n v="0.2476598205643909"/>
    <x v="3"/>
  </r>
  <r>
    <n v="11"/>
    <n v="59"/>
    <n v="0"/>
    <n v="0"/>
    <n v="3"/>
    <n v="3"/>
    <n v="3"/>
    <n v="0.01"/>
    <n v="5"/>
    <n v="1"/>
    <n v="0.75247165478825295"/>
    <n v="0.2475283452117471"/>
    <x v="3"/>
  </r>
  <r>
    <n v="7"/>
    <n v="46"/>
    <n v="0"/>
    <n v="0"/>
    <n v="0"/>
    <n v="11"/>
    <n v="0"/>
    <n v="9000"/>
    <n v="8"/>
    <n v="0"/>
    <n v="0.75263158387010187"/>
    <n v="0.2473684161298981"/>
    <x v="3"/>
  </r>
  <r>
    <n v="11"/>
    <n v="55"/>
    <n v="1"/>
    <n v="1"/>
    <n v="1"/>
    <n v="7"/>
    <n v="2"/>
    <n v="1000"/>
    <n v="4"/>
    <n v="1"/>
    <n v="0.75281683589804571"/>
    <n v="0.24718316410195429"/>
    <x v="3"/>
  </r>
  <r>
    <n v="12"/>
    <n v="63"/>
    <n v="1"/>
    <n v="0"/>
    <n v="3"/>
    <n v="8"/>
    <n v="2"/>
    <n v="3350"/>
    <n v="4"/>
    <n v="1"/>
    <n v="0.75295636117491149"/>
    <n v="0.24704363882508851"/>
    <x v="3"/>
  </r>
  <r>
    <n v="10"/>
    <n v="56"/>
    <n v="3"/>
    <n v="0"/>
    <n v="3"/>
    <n v="3"/>
    <n v="0"/>
    <n v="6000"/>
    <n v="2"/>
    <n v="0"/>
    <n v="0.7532635913945005"/>
    <n v="0.24673640860549961"/>
    <x v="3"/>
  </r>
  <r>
    <n v="7"/>
    <n v="33"/>
    <n v="2"/>
    <n v="2"/>
    <n v="1"/>
    <n v="12"/>
    <n v="2"/>
    <n v="2000"/>
    <n v="1"/>
    <n v="0"/>
    <n v="0.75328438944099196"/>
    <n v="0.24671561055900809"/>
    <x v="3"/>
  </r>
  <r>
    <n v="8"/>
    <n v="46"/>
    <n v="3"/>
    <n v="0"/>
    <n v="3"/>
    <n v="8"/>
    <n v="2"/>
    <n v="900"/>
    <n v="9"/>
    <n v="0"/>
    <n v="0.75333573229038797"/>
    <n v="0.246664267709612"/>
    <x v="3"/>
  </r>
  <r>
    <n v="11"/>
    <n v="59"/>
    <n v="2"/>
    <n v="0"/>
    <n v="0"/>
    <n v="11"/>
    <n v="3"/>
    <n v="0.01"/>
    <n v="10"/>
    <n v="0"/>
    <n v="0.75336854034938106"/>
    <n v="0.24663145965061889"/>
    <x v="3"/>
  </r>
  <r>
    <n v="12"/>
    <n v="65"/>
    <n v="4"/>
    <n v="0"/>
    <n v="0"/>
    <n v="11"/>
    <n v="0"/>
    <n v="12053.35"/>
    <n v="24"/>
    <n v="0"/>
    <n v="0.75345857225644242"/>
    <n v="0.24654142774355761"/>
    <x v="3"/>
  </r>
  <r>
    <n v="9"/>
    <n v="51"/>
    <n v="3"/>
    <n v="0"/>
    <n v="1"/>
    <n v="7"/>
    <n v="2"/>
    <n v="2500"/>
    <n v="1"/>
    <n v="0"/>
    <n v="0.75380286563926879"/>
    <n v="0.24619713436073121"/>
    <x v="3"/>
  </r>
  <r>
    <n v="9"/>
    <n v="50"/>
    <n v="0"/>
    <n v="1"/>
    <n v="0"/>
    <n v="2"/>
    <n v="0"/>
    <n v="6053.35"/>
    <n v="6"/>
    <n v="0"/>
    <n v="0.75386759878140142"/>
    <n v="0.2461324012185985"/>
    <x v="3"/>
  </r>
  <r>
    <n v="8"/>
    <n v="46"/>
    <n v="4"/>
    <n v="0"/>
    <n v="0"/>
    <n v="11"/>
    <n v="3"/>
    <n v="0.01"/>
    <n v="9"/>
    <n v="1"/>
    <n v="0.75388501296530752"/>
    <n v="0.24611498703469251"/>
    <x v="3"/>
  </r>
  <r>
    <n v="9"/>
    <n v="51"/>
    <n v="3"/>
    <n v="0"/>
    <n v="1"/>
    <n v="7"/>
    <n v="2"/>
    <n v="1000"/>
    <n v="2"/>
    <n v="0"/>
    <n v="0.75401285001655927"/>
    <n v="0.24598714998344071"/>
    <x v="3"/>
  </r>
  <r>
    <n v="13"/>
    <n v="68"/>
    <n v="2"/>
    <n v="0"/>
    <n v="1"/>
    <n v="5"/>
    <n v="2"/>
    <n v="3052.66"/>
    <n v="7"/>
    <n v="0"/>
    <n v="0.75421174487113973"/>
    <n v="0.24578825512886029"/>
    <x v="3"/>
  </r>
  <r>
    <n v="11"/>
    <n v="62"/>
    <n v="0"/>
    <n v="0"/>
    <n v="3"/>
    <n v="3"/>
    <n v="1"/>
    <n v="35465.199999999997"/>
    <n v="25"/>
    <n v="0"/>
    <n v="0.75426537534042593"/>
    <n v="0.2457346246595741"/>
    <x v="3"/>
  </r>
  <r>
    <n v="11"/>
    <n v="60"/>
    <n v="0"/>
    <n v="0"/>
    <n v="1"/>
    <n v="5"/>
    <n v="3"/>
    <n v="0.01"/>
    <n v="8"/>
    <n v="0"/>
    <n v="0.75441252619302035"/>
    <n v="0.24558747380697959"/>
    <x v="3"/>
  </r>
  <r>
    <n v="12"/>
    <n v="61"/>
    <n v="1"/>
    <n v="1"/>
    <n v="1"/>
    <n v="7"/>
    <n v="0"/>
    <n v="12000"/>
    <n v="6"/>
    <n v="1"/>
    <n v="0.75448943224818521"/>
    <n v="0.24551056775181479"/>
    <x v="3"/>
  </r>
  <r>
    <n v="10"/>
    <n v="44"/>
    <n v="2"/>
    <n v="2"/>
    <n v="3"/>
    <n v="8"/>
    <n v="3"/>
    <n v="0.01"/>
    <n v="5"/>
    <n v="0"/>
    <n v="0.75472120314686364"/>
    <n v="0.2452787968531363"/>
    <x v="3"/>
  </r>
  <r>
    <n v="8"/>
    <n v="48"/>
    <n v="3"/>
    <n v="0"/>
    <n v="0"/>
    <n v="4"/>
    <n v="2"/>
    <n v="2000"/>
    <n v="12"/>
    <n v="0"/>
    <n v="0.75472446767958301"/>
    <n v="0.24527553232041691"/>
    <x v="3"/>
  </r>
  <r>
    <n v="13"/>
    <n v="68"/>
    <n v="4"/>
    <n v="0"/>
    <n v="3"/>
    <n v="3"/>
    <n v="0"/>
    <n v="7500"/>
    <n v="6"/>
    <n v="0"/>
    <n v="0.75505830634309512"/>
    <n v="0.24494169365690491"/>
    <x v="3"/>
  </r>
  <r>
    <n v="9"/>
    <n v="52"/>
    <n v="3"/>
    <n v="0"/>
    <n v="0"/>
    <n v="4"/>
    <n v="2"/>
    <n v="3500"/>
    <n v="6"/>
    <n v="0"/>
    <n v="0.75514476203580616"/>
    <n v="0.24485523796419381"/>
    <x v="3"/>
  </r>
  <r>
    <n v="10"/>
    <n v="54"/>
    <n v="4"/>
    <n v="0"/>
    <n v="1"/>
    <n v="7"/>
    <n v="3"/>
    <n v="0.01"/>
    <n v="4"/>
    <n v="0"/>
    <n v="0.75515352920561407"/>
    <n v="0.2448464707943859"/>
    <x v="3"/>
  </r>
  <r>
    <n v="7"/>
    <n v="43"/>
    <n v="3"/>
    <n v="0"/>
    <n v="1"/>
    <n v="7"/>
    <n v="2"/>
    <n v="420.01"/>
    <n v="1"/>
    <n v="0"/>
    <n v="0.75554223946983767"/>
    <n v="0.2444577605301623"/>
    <x v="3"/>
  </r>
  <r>
    <n v="7"/>
    <n v="43"/>
    <n v="1"/>
    <n v="0"/>
    <n v="3"/>
    <n v="8"/>
    <n v="2"/>
    <n v="1200"/>
    <n v="7"/>
    <n v="0"/>
    <n v="0.75568383951143925"/>
    <n v="0.24431616048856081"/>
    <x v="3"/>
  </r>
  <r>
    <n v="9"/>
    <n v="51"/>
    <n v="2"/>
    <n v="0"/>
    <n v="0"/>
    <n v="11"/>
    <n v="3"/>
    <n v="0.01"/>
    <n v="4"/>
    <n v="1"/>
    <n v="0.75591514945889426"/>
    <n v="0.24408485054110571"/>
    <x v="3"/>
  </r>
  <r>
    <n v="13"/>
    <n v="60"/>
    <n v="5"/>
    <n v="1"/>
    <n v="3"/>
    <n v="8"/>
    <n v="3"/>
    <n v="0.01"/>
    <n v="11"/>
    <n v="0"/>
    <n v="0.75607946266868398"/>
    <n v="0.243920537331316"/>
    <x v="3"/>
  </r>
  <r>
    <n v="8"/>
    <n v="47"/>
    <n v="2"/>
    <n v="0"/>
    <n v="0"/>
    <n v="11"/>
    <n v="3"/>
    <n v="0.01"/>
    <n v="5"/>
    <n v="0"/>
    <n v="0.75623543712371066"/>
    <n v="0.24376456287628931"/>
    <x v="3"/>
  </r>
  <r>
    <n v="12"/>
    <n v="65"/>
    <n v="2"/>
    <n v="0"/>
    <n v="1"/>
    <n v="12"/>
    <n v="0"/>
    <n v="6000"/>
    <n v="2"/>
    <n v="1"/>
    <n v="0.75703239982264114"/>
    <n v="0.2429676001773588"/>
    <x v="3"/>
  </r>
  <r>
    <n v="15"/>
    <n v="76"/>
    <n v="0"/>
    <n v="0"/>
    <n v="3"/>
    <n v="8"/>
    <n v="2"/>
    <n v="5000"/>
    <n v="4"/>
    <n v="0"/>
    <n v="0.75705294249591015"/>
    <n v="0.24294705750408979"/>
    <x v="3"/>
  </r>
  <r>
    <n v="7"/>
    <n v="32"/>
    <n v="5"/>
    <n v="2"/>
    <n v="3"/>
    <n v="3"/>
    <n v="2"/>
    <n v="50"/>
    <n v="7"/>
    <n v="0"/>
    <n v="0.75727847126288739"/>
    <n v="0.24272152873711261"/>
    <x v="3"/>
  </r>
  <r>
    <n v="10"/>
    <n v="51"/>
    <n v="2"/>
    <n v="1"/>
    <n v="0"/>
    <n v="4"/>
    <n v="3"/>
    <n v="0.01"/>
    <n v="8"/>
    <n v="0"/>
    <n v="0.75742357560274665"/>
    <n v="0.2425764243972533"/>
    <x v="3"/>
  </r>
  <r>
    <n v="8"/>
    <n v="47"/>
    <n v="2"/>
    <n v="0"/>
    <n v="1"/>
    <n v="7"/>
    <n v="3"/>
    <n v="0.01"/>
    <n v="5"/>
    <n v="1"/>
    <n v="0.75742558938173365"/>
    <n v="0.24257441061826629"/>
    <x v="3"/>
  </r>
  <r>
    <n v="9"/>
    <n v="53"/>
    <n v="1"/>
    <n v="0"/>
    <n v="3"/>
    <n v="8"/>
    <n v="0"/>
    <n v="13000"/>
    <n v="5"/>
    <n v="0"/>
    <n v="0.75749569903944614"/>
    <n v="0.24250430096055389"/>
    <x v="3"/>
  </r>
  <r>
    <n v="11"/>
    <n v="60"/>
    <n v="3"/>
    <n v="0"/>
    <n v="3"/>
    <n v="8"/>
    <n v="0"/>
    <n v="6000"/>
    <n v="2"/>
    <n v="0"/>
    <n v="0.75777512746900677"/>
    <n v="0.24222487253099331"/>
    <x v="3"/>
  </r>
  <r>
    <n v="10"/>
    <n v="58"/>
    <n v="0"/>
    <n v="0"/>
    <n v="3"/>
    <n v="3"/>
    <n v="0"/>
    <n v="13000"/>
    <n v="6"/>
    <n v="0"/>
    <n v="0.75788438266539304"/>
    <n v="0.24211561733460699"/>
    <x v="3"/>
  </r>
  <r>
    <n v="12"/>
    <n v="53"/>
    <n v="1"/>
    <n v="2"/>
    <n v="4"/>
    <n v="9"/>
    <n v="2"/>
    <n v="1000"/>
    <n v="4"/>
    <n v="0"/>
    <n v="0.75792873231295732"/>
    <n v="0.2420712676870426"/>
    <x v="3"/>
  </r>
  <r>
    <n v="9"/>
    <n v="53"/>
    <n v="1"/>
    <n v="0"/>
    <n v="3"/>
    <n v="8"/>
    <n v="0"/>
    <n v="14000"/>
    <n v="1"/>
    <n v="0"/>
    <n v="0.75814337266202281"/>
    <n v="0.24185662733797719"/>
    <x v="3"/>
  </r>
  <r>
    <n v="6"/>
    <n v="40"/>
    <n v="0"/>
    <n v="0"/>
    <n v="3"/>
    <n v="3"/>
    <n v="2"/>
    <n v="3000"/>
    <n v="1"/>
    <n v="1"/>
    <n v="0.75830621090227412"/>
    <n v="0.24169378909772579"/>
    <x v="3"/>
  </r>
  <r>
    <n v="10"/>
    <n v="51"/>
    <n v="4"/>
    <n v="1"/>
    <n v="3"/>
    <n v="8"/>
    <n v="0"/>
    <n v="12000"/>
    <n v="8"/>
    <n v="1"/>
    <n v="0.75897601290498218"/>
    <n v="0.24102398709501779"/>
    <x v="3"/>
  </r>
  <r>
    <n v="9"/>
    <n v="50"/>
    <n v="4"/>
    <n v="0"/>
    <n v="2"/>
    <n v="6"/>
    <n v="3"/>
    <n v="0.01"/>
    <n v="8"/>
    <n v="0"/>
    <n v="0.75898200382014724"/>
    <n v="0.24101799617985281"/>
    <x v="3"/>
  </r>
  <r>
    <n v="8"/>
    <n v="42"/>
    <n v="3"/>
    <n v="1"/>
    <n v="3"/>
    <n v="3"/>
    <n v="2"/>
    <n v="2000"/>
    <n v="5"/>
    <n v="0"/>
    <n v="0.75899622132756184"/>
    <n v="0.24100377867243811"/>
    <x v="3"/>
  </r>
  <r>
    <n v="10"/>
    <n v="56"/>
    <n v="2"/>
    <n v="0"/>
    <n v="0"/>
    <n v="4"/>
    <n v="3"/>
    <n v="0.01"/>
    <n v="5"/>
    <n v="1"/>
    <n v="0.7591186948447699"/>
    <n v="0.2408813051552301"/>
    <x v="3"/>
  </r>
  <r>
    <n v="11"/>
    <n v="62"/>
    <n v="3"/>
    <n v="0"/>
    <n v="0"/>
    <n v="4"/>
    <n v="0"/>
    <n v="10000"/>
    <n v="1"/>
    <n v="1"/>
    <n v="0.75923235372391984"/>
    <n v="0.24076764627608011"/>
    <x v="3"/>
  </r>
  <r>
    <n v="9"/>
    <n v="48"/>
    <n v="2"/>
    <n v="1"/>
    <n v="0"/>
    <n v="2"/>
    <n v="2"/>
    <n v="3000"/>
    <n v="2"/>
    <n v="0"/>
    <n v="0.75945384141096683"/>
    <n v="0.24054615858903311"/>
    <x v="3"/>
  </r>
  <r>
    <n v="9"/>
    <n v="50"/>
    <n v="5"/>
    <n v="0"/>
    <n v="2"/>
    <n v="1"/>
    <n v="3"/>
    <n v="0.01"/>
    <n v="4"/>
    <n v="1"/>
    <n v="0.75971212719510794"/>
    <n v="0.24028787280489211"/>
    <x v="3"/>
  </r>
  <r>
    <n v="11"/>
    <n v="53"/>
    <n v="4"/>
    <n v="1"/>
    <n v="3"/>
    <n v="3"/>
    <n v="3"/>
    <n v="0.01"/>
    <n v="5"/>
    <n v="0"/>
    <n v="0.75978144677799697"/>
    <n v="0.24021855322200311"/>
    <x v="3"/>
  </r>
  <r>
    <n v="8"/>
    <n v="41"/>
    <n v="5"/>
    <n v="1"/>
    <n v="1"/>
    <n v="7"/>
    <n v="3"/>
    <n v="0.01"/>
    <n v="5"/>
    <n v="0"/>
    <n v="0.75986832932497916"/>
    <n v="0.24013167067502081"/>
    <x v="3"/>
  </r>
  <r>
    <n v="14"/>
    <n v="72"/>
    <n v="2"/>
    <n v="0"/>
    <n v="2"/>
    <n v="6"/>
    <n v="2"/>
    <n v="3026.67"/>
    <n v="7"/>
    <n v="0"/>
    <n v="0.75990103946334897"/>
    <n v="0.24009896053665111"/>
    <x v="3"/>
  </r>
  <r>
    <n v="5"/>
    <n v="36"/>
    <n v="2"/>
    <n v="0"/>
    <n v="0"/>
    <n v="2"/>
    <n v="3"/>
    <n v="0.01"/>
    <n v="4"/>
    <n v="1"/>
    <n v="0.7601074504995472"/>
    <n v="0.2398925495004528"/>
    <x v="3"/>
  </r>
  <r>
    <n v="8"/>
    <n v="48"/>
    <n v="2"/>
    <n v="0"/>
    <n v="0"/>
    <n v="4"/>
    <n v="3"/>
    <n v="0.01"/>
    <n v="5"/>
    <n v="1"/>
    <n v="0.76022205885860195"/>
    <n v="0.23977794114139811"/>
    <x v="3"/>
  </r>
  <r>
    <n v="12"/>
    <n v="63"/>
    <n v="3"/>
    <n v="0"/>
    <n v="1"/>
    <n v="7"/>
    <n v="3"/>
    <n v="0.01"/>
    <n v="4"/>
    <n v="0"/>
    <n v="0.76026216683041481"/>
    <n v="0.23973783316958511"/>
    <x v="3"/>
  </r>
  <r>
    <n v="4"/>
    <n v="30"/>
    <n v="5"/>
    <n v="0"/>
    <n v="3"/>
    <n v="3"/>
    <n v="2"/>
    <n v="2830"/>
    <n v="6"/>
    <n v="0"/>
    <n v="0.76032696688466861"/>
    <n v="0.23967303311533131"/>
    <x v="3"/>
  </r>
  <r>
    <n v="9"/>
    <n v="51"/>
    <n v="5"/>
    <n v="0"/>
    <n v="0"/>
    <n v="11"/>
    <n v="2"/>
    <n v="500"/>
    <n v="9"/>
    <n v="0"/>
    <n v="0.76098336795593413"/>
    <n v="0.2390166320440659"/>
    <x v="3"/>
  </r>
  <r>
    <n v="7"/>
    <n v="44"/>
    <n v="4"/>
    <n v="0"/>
    <n v="0"/>
    <n v="2"/>
    <n v="2"/>
    <n v="600"/>
    <n v="1"/>
    <n v="0"/>
    <n v="0.76109773501863087"/>
    <n v="0.23890226498136921"/>
    <x v="3"/>
  </r>
  <r>
    <n v="9"/>
    <n v="50"/>
    <n v="3"/>
    <n v="0"/>
    <n v="3"/>
    <n v="8"/>
    <n v="3"/>
    <n v="0.01"/>
    <n v="9"/>
    <n v="0"/>
    <n v="0.7611368803684444"/>
    <n v="0.23886311963155549"/>
    <x v="3"/>
  </r>
  <r>
    <n v="9"/>
    <n v="50"/>
    <n v="4"/>
    <n v="0"/>
    <n v="3"/>
    <n v="3"/>
    <n v="3"/>
    <n v="0.01"/>
    <n v="8"/>
    <n v="0"/>
    <n v="0.76116238029017147"/>
    <n v="0.2388376197098285"/>
    <x v="3"/>
  </r>
  <r>
    <n v="10"/>
    <n v="55"/>
    <n v="1"/>
    <n v="0"/>
    <n v="3"/>
    <n v="8"/>
    <n v="3"/>
    <n v="0.01"/>
    <n v="11"/>
    <n v="0"/>
    <n v="0.76149609168768451"/>
    <n v="0.23850390831231541"/>
    <x v="3"/>
  </r>
  <r>
    <n v="8"/>
    <n v="49"/>
    <n v="3"/>
    <n v="0"/>
    <n v="1"/>
    <n v="12"/>
    <n v="0"/>
    <n v="12000"/>
    <n v="5"/>
    <n v="1"/>
    <n v="0.76157697549995151"/>
    <n v="0.23842302450004851"/>
    <x v="3"/>
  </r>
  <r>
    <n v="11"/>
    <n v="58"/>
    <n v="2"/>
    <n v="0"/>
    <n v="4"/>
    <n v="9"/>
    <n v="3"/>
    <n v="0.01"/>
    <n v="8"/>
    <n v="0"/>
    <n v="0.76165523982780847"/>
    <n v="0.2383447601721915"/>
    <x v="3"/>
  </r>
  <r>
    <n v="8"/>
    <n v="49"/>
    <n v="0"/>
    <n v="0"/>
    <n v="1"/>
    <n v="7"/>
    <n v="2"/>
    <n v="0.02"/>
    <n v="5"/>
    <n v="0"/>
    <n v="0.76175903637185649"/>
    <n v="0.23824096362814351"/>
    <x v="3"/>
  </r>
  <r>
    <n v="9"/>
    <n v="55"/>
    <n v="2"/>
    <n v="0"/>
    <n v="0"/>
    <n v="2"/>
    <n v="0"/>
    <n v="12053.82"/>
    <n v="10"/>
    <n v="1"/>
    <n v="0.76179329934675111"/>
    <n v="0.23820670065324889"/>
    <x v="3"/>
  </r>
  <r>
    <n v="7"/>
    <n v="45"/>
    <n v="2"/>
    <n v="0"/>
    <n v="0"/>
    <n v="4"/>
    <n v="2"/>
    <n v="3500"/>
    <n v="8"/>
    <n v="0"/>
    <n v="0.76198384120134477"/>
    <n v="0.23801615879865529"/>
    <x v="3"/>
  </r>
  <r>
    <n v="10"/>
    <n v="58"/>
    <n v="2"/>
    <n v="0"/>
    <n v="0"/>
    <n v="11"/>
    <n v="0"/>
    <n v="6000"/>
    <n v="6"/>
    <n v="0"/>
    <n v="0.76199360654083959"/>
    <n v="0.23800639345916039"/>
    <x v="3"/>
  </r>
  <r>
    <n v="6"/>
    <n v="39"/>
    <n v="5"/>
    <n v="0"/>
    <n v="0"/>
    <n v="2"/>
    <n v="3"/>
    <n v="0.01"/>
    <n v="8"/>
    <n v="1"/>
    <n v="0.76202985785766297"/>
    <n v="0.237970142142337"/>
    <x v="3"/>
  </r>
  <r>
    <n v="9"/>
    <n v="49"/>
    <n v="3"/>
    <n v="1"/>
    <n v="0"/>
    <n v="11"/>
    <n v="0"/>
    <n v="6105.32"/>
    <n v="24"/>
    <n v="0"/>
    <n v="0.76210795145355159"/>
    <n v="0.23789204854644841"/>
    <x v="3"/>
  </r>
  <r>
    <n v="8"/>
    <n v="50"/>
    <n v="0"/>
    <n v="0"/>
    <n v="3"/>
    <n v="3"/>
    <n v="0"/>
    <n v="6000"/>
    <n v="1"/>
    <n v="0"/>
    <n v="0.76221521517846713"/>
    <n v="0.2377847848215329"/>
    <x v="3"/>
  </r>
  <r>
    <n v="8"/>
    <n v="47"/>
    <n v="3"/>
    <n v="0"/>
    <n v="1"/>
    <n v="7"/>
    <n v="3"/>
    <n v="0.01"/>
    <n v="5"/>
    <n v="0"/>
    <n v="0.76222542069225807"/>
    <n v="0.2377745793077419"/>
    <x v="3"/>
  </r>
  <r>
    <n v="9"/>
    <n v="51"/>
    <n v="5"/>
    <n v="0"/>
    <n v="0"/>
    <n v="4"/>
    <n v="3"/>
    <n v="0.01"/>
    <n v="8"/>
    <n v="0"/>
    <n v="0.76237671322254685"/>
    <n v="0.2376232867774532"/>
    <x v="3"/>
  </r>
  <r>
    <n v="11"/>
    <n v="63"/>
    <n v="0"/>
    <n v="0"/>
    <n v="1"/>
    <n v="7"/>
    <n v="0"/>
    <n v="12125.1"/>
    <n v="5"/>
    <n v="0"/>
    <n v="0.76243400172148734"/>
    <n v="0.23756599827851271"/>
    <x v="3"/>
  </r>
  <r>
    <n v="9"/>
    <n v="51"/>
    <n v="1"/>
    <n v="0"/>
    <n v="3"/>
    <n v="8"/>
    <n v="3"/>
    <n v="0.01"/>
    <n v="9"/>
    <n v="0"/>
    <n v="0.76251019852438462"/>
    <n v="0.23748980147561541"/>
    <x v="3"/>
  </r>
  <r>
    <n v="8"/>
    <n v="49"/>
    <n v="3"/>
    <n v="0"/>
    <n v="3"/>
    <n v="3"/>
    <n v="0"/>
    <n v="11000.01"/>
    <n v="8"/>
    <n v="0"/>
    <n v="0.76251996115341447"/>
    <n v="0.2374800388465855"/>
    <x v="3"/>
  </r>
  <r>
    <n v="9"/>
    <n v="51"/>
    <n v="2"/>
    <n v="0"/>
    <n v="3"/>
    <n v="3"/>
    <n v="3"/>
    <n v="0.01"/>
    <n v="8"/>
    <n v="0"/>
    <n v="0.76253559757707046"/>
    <n v="0.2374644024229296"/>
    <x v="3"/>
  </r>
  <r>
    <n v="13"/>
    <n v="69"/>
    <n v="1"/>
    <n v="0"/>
    <n v="1"/>
    <n v="7"/>
    <n v="2"/>
    <n v="1800"/>
    <n v="8"/>
    <n v="0"/>
    <n v="0.76256358948848635"/>
    <n v="0.2374364105115136"/>
    <x v="3"/>
  </r>
  <r>
    <n v="6"/>
    <n v="40"/>
    <n v="1"/>
    <n v="0"/>
    <n v="3"/>
    <n v="3"/>
    <n v="2"/>
    <n v="1200.01"/>
    <n v="5"/>
    <n v="0"/>
    <n v="0.76268887444109157"/>
    <n v="0.2373111255589084"/>
    <x v="3"/>
  </r>
  <r>
    <n v="9"/>
    <n v="51"/>
    <n v="2"/>
    <n v="0"/>
    <n v="3"/>
    <n v="3"/>
    <n v="3"/>
    <n v="0.01"/>
    <n v="6"/>
    <n v="1"/>
    <n v="0.76300066826181545"/>
    <n v="0.2369993317381846"/>
    <x v="3"/>
  </r>
  <r>
    <n v="9"/>
    <n v="51"/>
    <n v="5"/>
    <n v="0"/>
    <n v="2"/>
    <n v="1"/>
    <n v="2"/>
    <n v="1000"/>
    <n v="1"/>
    <n v="0"/>
    <n v="0.76305609041659683"/>
    <n v="0.23694390958340319"/>
    <x v="3"/>
  </r>
  <r>
    <n v="9"/>
    <n v="51"/>
    <n v="5"/>
    <n v="0"/>
    <n v="0"/>
    <n v="4"/>
    <n v="3"/>
    <n v="0.01"/>
    <n v="5"/>
    <n v="0"/>
    <n v="0.76307440527910053"/>
    <n v="0.2369255947208995"/>
    <x v="3"/>
  </r>
  <r>
    <n v="8"/>
    <n v="47"/>
    <n v="2"/>
    <n v="0"/>
    <n v="3"/>
    <n v="3"/>
    <n v="3"/>
    <n v="0.01"/>
    <n v="8"/>
    <n v="0"/>
    <n v="0.76308232496842621"/>
    <n v="0.23691767503157379"/>
    <x v="3"/>
  </r>
  <r>
    <n v="10"/>
    <n v="57"/>
    <n v="3"/>
    <n v="0"/>
    <n v="3"/>
    <n v="3"/>
    <n v="0"/>
    <n v="10000"/>
    <n v="2"/>
    <n v="1"/>
    <n v="0.76311306703686332"/>
    <n v="0.2368869329631367"/>
    <x v="3"/>
  </r>
  <r>
    <n v="9"/>
    <n v="53"/>
    <n v="1"/>
    <n v="0"/>
    <n v="0"/>
    <n v="11"/>
    <n v="2"/>
    <n v="5000"/>
    <n v="5"/>
    <n v="0"/>
    <n v="0.7633447509543797"/>
    <n v="0.2366552490456203"/>
    <x v="3"/>
  </r>
  <r>
    <n v="8"/>
    <n v="47"/>
    <n v="5"/>
    <n v="0"/>
    <n v="0"/>
    <n v="4"/>
    <n v="3"/>
    <n v="0.01"/>
    <n v="6"/>
    <n v="0"/>
    <n v="0.76338823914579335"/>
    <n v="0.2366117608542066"/>
    <x v="3"/>
  </r>
  <r>
    <n v="9"/>
    <n v="51"/>
    <n v="3"/>
    <n v="0"/>
    <n v="3"/>
    <n v="8"/>
    <n v="2"/>
    <n v="1000"/>
    <n v="10"/>
    <n v="0"/>
    <n v="0.76354036824872473"/>
    <n v="0.2364596317512753"/>
    <x v="3"/>
  </r>
  <r>
    <n v="11"/>
    <n v="59"/>
    <n v="4"/>
    <n v="0"/>
    <n v="0"/>
    <n v="11"/>
    <n v="3"/>
    <n v="0.01"/>
    <n v="6"/>
    <n v="1"/>
    <n v="0.76394023850538073"/>
    <n v="0.2360597614946193"/>
    <x v="3"/>
  </r>
  <r>
    <n v="8"/>
    <n v="43"/>
    <n v="3"/>
    <n v="1"/>
    <n v="0"/>
    <n v="4"/>
    <n v="3"/>
    <n v="0.01"/>
    <n v="5"/>
    <n v="0"/>
    <n v="0.76401279675496969"/>
    <n v="0.23598720324503039"/>
    <x v="3"/>
  </r>
  <r>
    <n v="10"/>
    <n v="54"/>
    <n v="5"/>
    <n v="0"/>
    <n v="1"/>
    <n v="12"/>
    <n v="3"/>
    <n v="0.01"/>
    <n v="8"/>
    <n v="0"/>
    <n v="0.76402942944623109"/>
    <n v="0.23597057055376891"/>
    <x v="3"/>
  </r>
  <r>
    <n v="7"/>
    <n v="45"/>
    <n v="3"/>
    <n v="0"/>
    <n v="0"/>
    <n v="2"/>
    <n v="2"/>
    <n v="5000"/>
    <n v="9"/>
    <n v="0"/>
    <n v="0.76408517214809168"/>
    <n v="0.23591482785190829"/>
    <x v="3"/>
  </r>
  <r>
    <n v="14"/>
    <n v="64"/>
    <n v="1"/>
    <n v="2"/>
    <n v="0"/>
    <n v="4"/>
    <n v="2"/>
    <n v="3000"/>
    <n v="1"/>
    <n v="0"/>
    <n v="0.76410548484053709"/>
    <n v="0.23589451515946289"/>
    <x v="3"/>
  </r>
  <r>
    <n v="7"/>
    <n v="46"/>
    <n v="2"/>
    <n v="0"/>
    <n v="1"/>
    <n v="7"/>
    <n v="0"/>
    <n v="9000"/>
    <n v="5"/>
    <n v="0"/>
    <n v="0.76416008757689746"/>
    <n v="0.23583991242310259"/>
    <x v="3"/>
  </r>
  <r>
    <n v="7"/>
    <n v="41"/>
    <n v="4"/>
    <n v="1"/>
    <n v="0"/>
    <n v="4"/>
    <n v="0"/>
    <n v="6315"/>
    <n v="10"/>
    <n v="0"/>
    <n v="0.76419971996541081"/>
    <n v="0.23580028003458919"/>
    <x v="3"/>
  </r>
  <r>
    <n v="11"/>
    <n v="56"/>
    <n v="3"/>
    <n v="1"/>
    <n v="0"/>
    <n v="2"/>
    <n v="2"/>
    <n v="480"/>
    <n v="0"/>
    <n v="0"/>
    <n v="0.76433177965592425"/>
    <n v="0.23566822034407581"/>
    <x v="3"/>
  </r>
  <r>
    <n v="12"/>
    <n v="59"/>
    <n v="2"/>
    <n v="1"/>
    <n v="2"/>
    <n v="1"/>
    <n v="3"/>
    <n v="0.01"/>
    <n v="5"/>
    <n v="0"/>
    <n v="0.76437169201145372"/>
    <n v="0.23562830798854631"/>
    <x v="3"/>
  </r>
  <r>
    <n v="9"/>
    <n v="47"/>
    <n v="2"/>
    <n v="1"/>
    <n v="0"/>
    <n v="10"/>
    <n v="3"/>
    <n v="0.01"/>
    <n v="5"/>
    <n v="0"/>
    <n v="0.76466350144248885"/>
    <n v="0.2353364985575111"/>
    <x v="3"/>
  </r>
  <r>
    <n v="10"/>
    <n v="55"/>
    <n v="4"/>
    <n v="0"/>
    <n v="0"/>
    <n v="11"/>
    <n v="3"/>
    <n v="0.01"/>
    <n v="5"/>
    <n v="0"/>
    <n v="0.76471602442936459"/>
    <n v="0.23528397557063541"/>
    <x v="3"/>
  </r>
  <r>
    <n v="11"/>
    <n v="56"/>
    <n v="5"/>
    <n v="1"/>
    <n v="0"/>
    <n v="11"/>
    <n v="0"/>
    <n v="6000"/>
    <n v="2"/>
    <n v="0"/>
    <n v="0.76478596226942508"/>
    <n v="0.23521403773057489"/>
    <x v="3"/>
  </r>
  <r>
    <n v="11"/>
    <n v="51"/>
    <n v="2"/>
    <n v="2"/>
    <n v="1"/>
    <n v="5"/>
    <n v="2"/>
    <n v="3000"/>
    <n v="5"/>
    <n v="0"/>
    <n v="0.76481996124138218"/>
    <n v="0.2351800387586179"/>
    <x v="3"/>
  </r>
  <r>
    <n v="9"/>
    <n v="53"/>
    <n v="3"/>
    <n v="0"/>
    <n v="3"/>
    <n v="3"/>
    <n v="0"/>
    <n v="6000"/>
    <n v="2"/>
    <n v="1"/>
    <n v="0.76482011360758684"/>
    <n v="0.23517988639241311"/>
    <x v="3"/>
  </r>
  <r>
    <n v="7"/>
    <n v="45"/>
    <n v="1"/>
    <n v="0"/>
    <n v="1"/>
    <n v="5"/>
    <n v="2"/>
    <n v="1000"/>
    <n v="4"/>
    <n v="0"/>
    <n v="0.76501375243515635"/>
    <n v="0.23498624756484371"/>
    <x v="3"/>
  </r>
  <r>
    <n v="10"/>
    <n v="50"/>
    <n v="3"/>
    <n v="1"/>
    <n v="1"/>
    <n v="12"/>
    <n v="3"/>
    <n v="0.01"/>
    <n v="5"/>
    <n v="0"/>
    <n v="0.76511501776364521"/>
    <n v="0.23488498223635471"/>
    <x v="3"/>
  </r>
  <r>
    <n v="11"/>
    <n v="61"/>
    <n v="4"/>
    <n v="0"/>
    <n v="3"/>
    <n v="3"/>
    <n v="0"/>
    <n v="12000"/>
    <n v="8"/>
    <n v="0"/>
    <n v="0.7653379562922118"/>
    <n v="0.2346620437077882"/>
    <x v="3"/>
  </r>
  <r>
    <n v="9"/>
    <n v="52"/>
    <n v="5"/>
    <n v="0"/>
    <n v="0"/>
    <n v="4"/>
    <n v="2"/>
    <n v="2000"/>
    <n v="5"/>
    <n v="0"/>
    <n v="0.76540584068328488"/>
    <n v="0.2345941593167151"/>
    <x v="3"/>
  </r>
  <r>
    <n v="8"/>
    <n v="35"/>
    <n v="5"/>
    <n v="2"/>
    <n v="4"/>
    <n v="9"/>
    <n v="3"/>
    <n v="0.01"/>
    <n v="5"/>
    <n v="0"/>
    <n v="0.76542293233009939"/>
    <n v="0.23457706766990061"/>
    <x v="3"/>
  </r>
  <r>
    <n v="12"/>
    <n v="59"/>
    <n v="3"/>
    <n v="1"/>
    <n v="3"/>
    <n v="3"/>
    <n v="2"/>
    <n v="800"/>
    <n v="16"/>
    <n v="0"/>
    <n v="0.76549910812142485"/>
    <n v="0.23450089187857509"/>
    <x v="3"/>
  </r>
  <r>
    <n v="8"/>
    <n v="49"/>
    <n v="2"/>
    <n v="0"/>
    <n v="3"/>
    <n v="8"/>
    <n v="0"/>
    <n v="6000"/>
    <n v="2"/>
    <n v="1"/>
    <n v="0.76556872266679155"/>
    <n v="0.2344312773332084"/>
    <x v="3"/>
  </r>
  <r>
    <n v="7"/>
    <n v="41"/>
    <n v="1"/>
    <n v="1"/>
    <n v="3"/>
    <n v="3"/>
    <n v="0"/>
    <n v="6053.35"/>
    <n v="5"/>
    <n v="0"/>
    <n v="0.76558875538312643"/>
    <n v="0.2344112446168736"/>
    <x v="3"/>
  </r>
  <r>
    <n v="5"/>
    <n v="35"/>
    <n v="1"/>
    <n v="0"/>
    <n v="3"/>
    <n v="8"/>
    <n v="3"/>
    <n v="0.01"/>
    <n v="5"/>
    <n v="0"/>
    <n v="0.76561572292634128"/>
    <n v="0.23438427707365869"/>
    <x v="3"/>
  </r>
  <r>
    <n v="8"/>
    <n v="51"/>
    <n v="0"/>
    <n v="0"/>
    <n v="2"/>
    <n v="1"/>
    <n v="0"/>
    <n v="6000"/>
    <n v="2"/>
    <n v="0"/>
    <n v="0.76572866317482624"/>
    <n v="0.23427133682517379"/>
    <x v="3"/>
  </r>
  <r>
    <n v="11"/>
    <n v="62"/>
    <n v="5"/>
    <n v="0"/>
    <n v="0"/>
    <n v="2"/>
    <n v="0"/>
    <n v="12000"/>
    <n v="2"/>
    <n v="0"/>
    <n v="0.76595212983531824"/>
    <n v="0.2340478701646817"/>
    <x v="3"/>
  </r>
  <r>
    <n v="12"/>
    <n v="59"/>
    <n v="1"/>
    <n v="1"/>
    <n v="3"/>
    <n v="3"/>
    <n v="3"/>
    <n v="0.01"/>
    <n v="7"/>
    <n v="0"/>
    <n v="0.76626312553889919"/>
    <n v="0.23373687446110089"/>
    <x v="3"/>
  </r>
  <r>
    <n v="13"/>
    <n v="68"/>
    <n v="3"/>
    <n v="0"/>
    <n v="1"/>
    <n v="12"/>
    <n v="2"/>
    <n v="1000"/>
    <n v="8"/>
    <n v="1"/>
    <n v="0.76637487873979171"/>
    <n v="0.23362512126020829"/>
    <x v="3"/>
  </r>
  <r>
    <n v="10"/>
    <n v="51"/>
    <n v="2"/>
    <n v="1"/>
    <n v="1"/>
    <n v="7"/>
    <n v="3"/>
    <n v="0.01"/>
    <n v="4"/>
    <n v="1"/>
    <n v="0.76649758651688171"/>
    <n v="0.23350241348311829"/>
    <x v="3"/>
  </r>
  <r>
    <n v="8"/>
    <n v="47"/>
    <n v="5"/>
    <n v="0"/>
    <n v="1"/>
    <n v="12"/>
    <n v="2"/>
    <n v="3000"/>
    <n v="8"/>
    <n v="1"/>
    <n v="0.76714702294804538"/>
    <n v="0.2328529770519546"/>
    <x v="3"/>
  </r>
  <r>
    <n v="8"/>
    <n v="47"/>
    <n v="3"/>
    <n v="0"/>
    <n v="1"/>
    <n v="12"/>
    <n v="3"/>
    <n v="0.01"/>
    <n v="5"/>
    <n v="0"/>
    <n v="0.76716404884525846"/>
    <n v="0.23283595115474151"/>
    <x v="3"/>
  </r>
  <r>
    <n v="7"/>
    <n v="32"/>
    <n v="3"/>
    <n v="2"/>
    <n v="4"/>
    <n v="9"/>
    <n v="3"/>
    <n v="0.01"/>
    <n v="5"/>
    <n v="0"/>
    <n v="0.76731909742121318"/>
    <n v="0.23268090257878679"/>
    <x v="3"/>
  </r>
  <r>
    <n v="9"/>
    <n v="49"/>
    <n v="2"/>
    <n v="1"/>
    <n v="1"/>
    <n v="12"/>
    <n v="0"/>
    <n v="9600"/>
    <n v="3"/>
    <n v="0"/>
    <n v="0.76731974882172427"/>
    <n v="0.23268025117827579"/>
    <x v="3"/>
  </r>
  <r>
    <n v="7"/>
    <n v="47"/>
    <n v="2"/>
    <n v="0"/>
    <n v="0"/>
    <n v="4"/>
    <n v="0"/>
    <n v="10000"/>
    <n v="1"/>
    <n v="0"/>
    <n v="0.76753307230923351"/>
    <n v="0.23246692769076649"/>
    <x v="3"/>
  </r>
  <r>
    <n v="9"/>
    <n v="48"/>
    <n v="2"/>
    <n v="1"/>
    <n v="1"/>
    <n v="7"/>
    <n v="2"/>
    <n v="100"/>
    <n v="14"/>
    <n v="0"/>
    <n v="0.76760047454648073"/>
    <n v="0.2323995254535193"/>
    <x v="3"/>
  </r>
  <r>
    <n v="8"/>
    <n v="49"/>
    <n v="2"/>
    <n v="0"/>
    <n v="2"/>
    <n v="1"/>
    <n v="2"/>
    <n v="82.57"/>
    <n v="16"/>
    <n v="0"/>
    <n v="0.76784308948102653"/>
    <n v="0.2321569105189735"/>
    <x v="3"/>
  </r>
  <r>
    <n v="8"/>
    <n v="50"/>
    <n v="1"/>
    <n v="0"/>
    <n v="0"/>
    <n v="4"/>
    <n v="2"/>
    <n v="4800"/>
    <n v="5"/>
    <n v="0"/>
    <n v="0.76784751386338113"/>
    <n v="0.2321524861366189"/>
    <x v="3"/>
  </r>
  <r>
    <n v="7"/>
    <n v="45"/>
    <n v="1"/>
    <n v="0"/>
    <n v="1"/>
    <n v="7"/>
    <n v="2"/>
    <n v="100"/>
    <n v="1"/>
    <n v="0"/>
    <n v="0.76792848392245017"/>
    <n v="0.23207151607754981"/>
    <x v="3"/>
  </r>
  <r>
    <n v="9"/>
    <n v="51"/>
    <n v="2"/>
    <n v="0"/>
    <n v="3"/>
    <n v="8"/>
    <n v="3"/>
    <n v="0.01"/>
    <n v="5"/>
    <n v="0"/>
    <n v="0.76815703446181427"/>
    <n v="0.23184296553818581"/>
    <x v="3"/>
  </r>
  <r>
    <n v="11"/>
    <n v="60"/>
    <n v="3"/>
    <n v="0"/>
    <n v="3"/>
    <n v="3"/>
    <n v="2"/>
    <n v="3000"/>
    <n v="8"/>
    <n v="0"/>
    <n v="0.7682077988819338"/>
    <n v="0.2317922011180662"/>
    <x v="3"/>
  </r>
  <r>
    <n v="8"/>
    <n v="48"/>
    <n v="2"/>
    <n v="0"/>
    <n v="1"/>
    <n v="7"/>
    <n v="3"/>
    <n v="0.01"/>
    <n v="5"/>
    <n v="1"/>
    <n v="0.76830953063956764"/>
    <n v="0.23169046936043239"/>
    <x v="3"/>
  </r>
  <r>
    <n v="7"/>
    <n v="43"/>
    <n v="3"/>
    <n v="0"/>
    <n v="3"/>
    <n v="3"/>
    <n v="3"/>
    <n v="0.01"/>
    <n v="8"/>
    <n v="1"/>
    <n v="0.7683428211257558"/>
    <n v="0.2316571788742442"/>
    <x v="3"/>
  </r>
  <r>
    <n v="7"/>
    <n v="43"/>
    <n v="2"/>
    <n v="0"/>
    <n v="3"/>
    <n v="8"/>
    <n v="3"/>
    <n v="0.01"/>
    <n v="8"/>
    <n v="0"/>
    <n v="0.76854652345244701"/>
    <n v="0.23145347654755299"/>
    <x v="3"/>
  </r>
  <r>
    <n v="8"/>
    <n v="48"/>
    <n v="4"/>
    <n v="0"/>
    <n v="1"/>
    <n v="7"/>
    <n v="2"/>
    <n v="2045.67"/>
    <n v="8"/>
    <n v="0"/>
    <n v="0.76856618259232268"/>
    <n v="0.23143381740767741"/>
    <x v="3"/>
  </r>
  <r>
    <n v="9"/>
    <n v="55"/>
    <n v="0"/>
    <n v="0"/>
    <n v="3"/>
    <n v="3"/>
    <n v="0"/>
    <n v="12000"/>
    <n v="8"/>
    <n v="0"/>
    <n v="0.76912053742700437"/>
    <n v="0.23087946257299569"/>
    <x v="3"/>
  </r>
  <r>
    <n v="11"/>
    <n v="61"/>
    <n v="2"/>
    <n v="0"/>
    <n v="0"/>
    <n v="4"/>
    <n v="3"/>
    <n v="0.01"/>
    <n v="5"/>
    <n v="0"/>
    <n v="0.76941407378063198"/>
    <n v="0.23058592621936799"/>
    <x v="3"/>
  </r>
  <r>
    <n v="8"/>
    <n v="39"/>
    <n v="1"/>
    <n v="2"/>
    <n v="3"/>
    <n v="3"/>
    <n v="2"/>
    <n v="1600"/>
    <n v="9"/>
    <n v="0"/>
    <n v="0.76941977892207647"/>
    <n v="0.2305802210779235"/>
    <x v="3"/>
  </r>
  <r>
    <n v="6"/>
    <n v="39"/>
    <n v="3"/>
    <n v="0"/>
    <n v="3"/>
    <n v="3"/>
    <n v="3"/>
    <n v="0.01"/>
    <n v="5"/>
    <n v="1"/>
    <n v="0.7695645992690846"/>
    <n v="0.2304354007309154"/>
    <x v="3"/>
  </r>
  <r>
    <n v="13"/>
    <n v="69"/>
    <n v="3"/>
    <n v="0"/>
    <n v="0"/>
    <n v="11"/>
    <n v="2"/>
    <n v="2500"/>
    <n v="12"/>
    <n v="0"/>
    <n v="0.76970673194350181"/>
    <n v="0.23029326805649819"/>
    <x v="3"/>
  </r>
  <r>
    <n v="16"/>
    <n v="77"/>
    <n v="1"/>
    <n v="1"/>
    <n v="0"/>
    <n v="11"/>
    <n v="2"/>
    <n v="1500"/>
    <n v="6"/>
    <n v="0"/>
    <n v="0.77013757847558151"/>
    <n v="0.22986242152441849"/>
    <x v="3"/>
  </r>
  <r>
    <n v="8"/>
    <n v="51"/>
    <n v="0"/>
    <n v="0"/>
    <n v="3"/>
    <n v="3"/>
    <n v="0"/>
    <n v="12000"/>
    <n v="5"/>
    <n v="0"/>
    <n v="0.77033943985808651"/>
    <n v="0.22966056014191341"/>
    <x v="3"/>
  </r>
  <r>
    <n v="9"/>
    <n v="48"/>
    <n v="4"/>
    <n v="1"/>
    <n v="0"/>
    <n v="4"/>
    <n v="2"/>
    <n v="4000"/>
    <n v="1"/>
    <n v="0"/>
    <n v="0.77081965578598444"/>
    <n v="0.22918034421401559"/>
    <x v="3"/>
  </r>
  <r>
    <n v="10"/>
    <n v="51"/>
    <n v="1"/>
    <n v="1"/>
    <n v="4"/>
    <n v="9"/>
    <n v="2"/>
    <n v="3000"/>
    <n v="1"/>
    <n v="0"/>
    <n v="0.77093527104691673"/>
    <n v="0.22906472895308319"/>
    <x v="3"/>
  </r>
  <r>
    <n v="10"/>
    <n v="51"/>
    <n v="3"/>
    <n v="1"/>
    <n v="1"/>
    <n v="7"/>
    <n v="3"/>
    <n v="0.01"/>
    <n v="5"/>
    <n v="0"/>
    <n v="0.77094529339407514"/>
    <n v="0.22905470660592481"/>
    <x v="3"/>
  </r>
  <r>
    <n v="7"/>
    <n v="44"/>
    <n v="2"/>
    <n v="0"/>
    <n v="3"/>
    <n v="8"/>
    <n v="2"/>
    <n v="2000"/>
    <n v="7"/>
    <n v="1"/>
    <n v="0.77106720340792867"/>
    <n v="0.2289327965920713"/>
    <x v="3"/>
  </r>
  <r>
    <n v="8"/>
    <n v="42"/>
    <n v="4"/>
    <n v="1"/>
    <n v="1"/>
    <n v="12"/>
    <n v="3"/>
    <n v="0.01"/>
    <n v="4"/>
    <n v="0"/>
    <n v="0.77110500997369935"/>
    <n v="0.22889499002630059"/>
    <x v="3"/>
  </r>
  <r>
    <n v="8"/>
    <n v="51"/>
    <n v="3"/>
    <n v="0"/>
    <n v="0"/>
    <n v="4"/>
    <n v="0"/>
    <n v="7022.66"/>
    <n v="7"/>
    <n v="0"/>
    <n v="0.7711473612971198"/>
    <n v="0.22885263870288011"/>
    <x v="3"/>
  </r>
  <r>
    <n v="13"/>
    <n v="57"/>
    <n v="4"/>
    <n v="2"/>
    <n v="4"/>
    <n v="9"/>
    <n v="2"/>
    <n v="3000"/>
    <n v="3"/>
    <n v="0"/>
    <n v="0.77123633779785028"/>
    <n v="0.22876366220214969"/>
    <x v="3"/>
  </r>
  <r>
    <n v="7"/>
    <n v="43"/>
    <n v="5"/>
    <n v="0"/>
    <n v="0"/>
    <n v="11"/>
    <n v="3"/>
    <n v="0.01"/>
    <n v="4"/>
    <n v="1"/>
    <n v="0.77124669034992466"/>
    <n v="0.22875330965007529"/>
    <x v="3"/>
  </r>
  <r>
    <n v="8"/>
    <n v="48"/>
    <n v="2"/>
    <n v="0"/>
    <n v="3"/>
    <n v="8"/>
    <n v="2"/>
    <n v="3920"/>
    <n v="1"/>
    <n v="0"/>
    <n v="0.7713486417934966"/>
    <n v="0.2286513582065034"/>
    <x v="3"/>
  </r>
  <r>
    <n v="7"/>
    <n v="43"/>
    <n v="5"/>
    <n v="0"/>
    <n v="2"/>
    <n v="1"/>
    <n v="3"/>
    <n v="0.01"/>
    <n v="5"/>
    <n v="1"/>
    <n v="0.77136484076606171"/>
    <n v="0.22863515923393829"/>
    <x v="3"/>
  </r>
  <r>
    <n v="6"/>
    <n v="41"/>
    <n v="2"/>
    <n v="0"/>
    <n v="0"/>
    <n v="4"/>
    <n v="3"/>
    <n v="0.01"/>
    <n v="8"/>
    <n v="0"/>
    <n v="0.77140457178317057"/>
    <n v="0.2285954282168294"/>
    <x v="3"/>
  </r>
  <r>
    <n v="8"/>
    <n v="48"/>
    <n v="3"/>
    <n v="0"/>
    <n v="1"/>
    <n v="7"/>
    <n v="3"/>
    <n v="0.01"/>
    <n v="11"/>
    <n v="1"/>
    <n v="0.77160258982711971"/>
    <n v="0.22839741017288029"/>
    <x v="3"/>
  </r>
  <r>
    <n v="12"/>
    <n v="64"/>
    <n v="2"/>
    <n v="0"/>
    <n v="3"/>
    <n v="3"/>
    <n v="3"/>
    <n v="0.01"/>
    <n v="8"/>
    <n v="1"/>
    <n v="0.77166556022815547"/>
    <n v="0.22833443977184459"/>
    <x v="3"/>
  </r>
  <r>
    <n v="8"/>
    <n v="51"/>
    <n v="2"/>
    <n v="0"/>
    <n v="0"/>
    <n v="11"/>
    <n v="0"/>
    <n v="11700"/>
    <n v="8"/>
    <n v="1"/>
    <n v="0.77172962911266207"/>
    <n v="0.22827037088733801"/>
    <x v="3"/>
  </r>
  <r>
    <n v="7"/>
    <n v="46"/>
    <n v="2"/>
    <n v="0"/>
    <n v="3"/>
    <n v="3"/>
    <n v="0"/>
    <n v="6000"/>
    <n v="2"/>
    <n v="0"/>
    <n v="0.77192353855866902"/>
    <n v="0.22807646144133101"/>
    <x v="3"/>
  </r>
  <r>
    <n v="7"/>
    <n v="40"/>
    <n v="1"/>
    <n v="1"/>
    <n v="3"/>
    <n v="3"/>
    <n v="2"/>
    <n v="1000"/>
    <n v="5"/>
    <n v="0"/>
    <n v="0.77198600724557997"/>
    <n v="0.22801399275442"/>
    <x v="3"/>
  </r>
  <r>
    <n v="10"/>
    <n v="51"/>
    <n v="2"/>
    <n v="1"/>
    <n v="3"/>
    <n v="3"/>
    <n v="3"/>
    <n v="0.01"/>
    <n v="7"/>
    <n v="0"/>
    <n v="0.7720064473470607"/>
    <n v="0.2279935526529393"/>
    <x v="3"/>
  </r>
  <r>
    <n v="5"/>
    <n v="35"/>
    <n v="5"/>
    <n v="0"/>
    <n v="3"/>
    <n v="3"/>
    <n v="2"/>
    <n v="1800"/>
    <n v="1"/>
    <n v="0"/>
    <n v="0.77201245278623476"/>
    <n v="0.2279875472137653"/>
    <x v="3"/>
  </r>
  <r>
    <n v="9"/>
    <n v="47"/>
    <n v="5"/>
    <n v="1"/>
    <n v="0"/>
    <n v="4"/>
    <n v="3"/>
    <n v="0.01"/>
    <n v="8"/>
    <n v="1"/>
    <n v="0.77215768244820204"/>
    <n v="0.22784231755179801"/>
    <x v="3"/>
  </r>
  <r>
    <n v="8"/>
    <n v="48"/>
    <n v="3"/>
    <n v="0"/>
    <n v="2"/>
    <n v="1"/>
    <n v="3"/>
    <n v="0.01"/>
    <n v="5"/>
    <n v="0"/>
    <n v="0.77216575094189488"/>
    <n v="0.22783424905810509"/>
    <x v="3"/>
  </r>
  <r>
    <n v="15"/>
    <n v="78"/>
    <n v="3"/>
    <n v="0"/>
    <n v="0"/>
    <n v="2"/>
    <n v="2"/>
    <n v="2000"/>
    <n v="5"/>
    <n v="1"/>
    <n v="0.77227150703711045"/>
    <n v="0.22772849296288949"/>
    <x v="3"/>
  </r>
  <r>
    <n v="8"/>
    <n v="48"/>
    <n v="5"/>
    <n v="0"/>
    <n v="0"/>
    <n v="11"/>
    <n v="2"/>
    <n v="500"/>
    <n v="8"/>
    <n v="0"/>
    <n v="0.77251353044986271"/>
    <n v="0.22748646955013729"/>
    <x v="3"/>
  </r>
  <r>
    <n v="10"/>
    <n v="59"/>
    <n v="2"/>
    <n v="0"/>
    <n v="2"/>
    <n v="1"/>
    <n v="0"/>
    <n v="7000"/>
    <n v="6"/>
    <n v="0"/>
    <n v="0.7727944276374954"/>
    <n v="0.2272055723625046"/>
    <x v="3"/>
  </r>
  <r>
    <n v="9"/>
    <n v="52"/>
    <n v="5"/>
    <n v="0"/>
    <n v="0"/>
    <n v="4"/>
    <n v="3"/>
    <n v="0.01"/>
    <n v="9"/>
    <n v="0"/>
    <n v="0.7728795561635925"/>
    <n v="0.2271204438364075"/>
    <x v="3"/>
  </r>
  <r>
    <n v="4"/>
    <n v="32"/>
    <n v="3"/>
    <n v="0"/>
    <n v="0"/>
    <n v="11"/>
    <n v="3"/>
    <n v="0.01"/>
    <n v="8"/>
    <n v="0"/>
    <n v="0.77326813293161367"/>
    <n v="0.22673186706838641"/>
    <x v="3"/>
  </r>
  <r>
    <n v="9"/>
    <n v="48"/>
    <n v="3"/>
    <n v="1"/>
    <n v="0"/>
    <n v="4"/>
    <n v="3"/>
    <n v="0.01"/>
    <n v="8"/>
    <n v="0"/>
    <n v="0.77348649441166017"/>
    <n v="0.2265135055883398"/>
    <x v="3"/>
  </r>
  <r>
    <n v="7"/>
    <n v="40"/>
    <n v="5"/>
    <n v="1"/>
    <n v="0"/>
    <n v="2"/>
    <n v="2"/>
    <n v="1320"/>
    <n v="9"/>
    <n v="0"/>
    <n v="0.77352963810388087"/>
    <n v="0.22647036189611919"/>
    <x v="3"/>
  </r>
  <r>
    <n v="12"/>
    <n v="60"/>
    <n v="1"/>
    <n v="1"/>
    <n v="3"/>
    <n v="8"/>
    <n v="2"/>
    <n v="1000"/>
    <n v="7"/>
    <n v="0"/>
    <n v="0.77370091582172129"/>
    <n v="0.22629908417827871"/>
    <x v="3"/>
  </r>
  <r>
    <n v="8"/>
    <n v="48"/>
    <n v="5"/>
    <n v="0"/>
    <n v="0"/>
    <n v="11"/>
    <n v="2"/>
    <n v="1620"/>
    <n v="1"/>
    <n v="0"/>
    <n v="0.77377474405536706"/>
    <n v="0.22622525594463291"/>
    <x v="3"/>
  </r>
  <r>
    <n v="10"/>
    <n v="57"/>
    <n v="2"/>
    <n v="0"/>
    <n v="3"/>
    <n v="3"/>
    <n v="2"/>
    <n v="3053.35"/>
    <n v="12"/>
    <n v="1"/>
    <n v="0.77379855960401356"/>
    <n v="0.22620144039598639"/>
    <x v="3"/>
  </r>
  <r>
    <n v="8"/>
    <n v="48"/>
    <n v="5"/>
    <n v="0"/>
    <n v="0"/>
    <n v="4"/>
    <n v="3"/>
    <n v="0.01"/>
    <n v="7"/>
    <n v="0"/>
    <n v="0.77385963492062304"/>
    <n v="0.22614036507937699"/>
    <x v="3"/>
  </r>
  <r>
    <n v="8"/>
    <n v="51"/>
    <n v="2"/>
    <n v="0"/>
    <n v="1"/>
    <n v="5"/>
    <n v="0"/>
    <n v="6000"/>
    <n v="2"/>
    <n v="0"/>
    <n v="0.77390361215786196"/>
    <n v="0.22609638784213801"/>
    <x v="3"/>
  </r>
  <r>
    <n v="7"/>
    <n v="41"/>
    <n v="2"/>
    <n v="1"/>
    <n v="0"/>
    <n v="4"/>
    <n v="2"/>
    <n v="455"/>
    <n v="1"/>
    <n v="1"/>
    <n v="0.77421549123256184"/>
    <n v="0.22578450876743819"/>
    <x v="3"/>
  </r>
  <r>
    <n v="10"/>
    <n v="54"/>
    <n v="1"/>
    <n v="1"/>
    <n v="3"/>
    <n v="3"/>
    <n v="0"/>
    <n v="6000"/>
    <n v="5"/>
    <n v="0"/>
    <n v="0.77465103036613747"/>
    <n v="0.2253489696338625"/>
    <x v="3"/>
  </r>
  <r>
    <n v="8"/>
    <n v="51"/>
    <n v="2"/>
    <n v="0"/>
    <n v="2"/>
    <n v="1"/>
    <n v="0"/>
    <n v="6000"/>
    <n v="2"/>
    <n v="1"/>
    <n v="0.77503316327903327"/>
    <n v="0.22496683672096671"/>
    <x v="3"/>
  </r>
  <r>
    <n v="8"/>
    <n v="50"/>
    <n v="3"/>
    <n v="0"/>
    <n v="3"/>
    <n v="3"/>
    <n v="0"/>
    <n v="6000"/>
    <n v="5"/>
    <n v="0"/>
    <n v="0.77532547737219504"/>
    <n v="0.22467452262780491"/>
    <x v="3"/>
  </r>
  <r>
    <n v="7"/>
    <n v="43"/>
    <n v="5"/>
    <n v="0"/>
    <n v="3"/>
    <n v="8"/>
    <n v="2"/>
    <n v="50.01"/>
    <n v="5"/>
    <n v="1"/>
    <n v="0.77535382736640757"/>
    <n v="0.22464617263359241"/>
    <x v="3"/>
  </r>
  <r>
    <n v="11"/>
    <n v="54"/>
    <n v="4"/>
    <n v="1"/>
    <n v="3"/>
    <n v="8"/>
    <n v="3"/>
    <n v="0.01"/>
    <n v="5"/>
    <n v="0"/>
    <n v="0.77540776025866787"/>
    <n v="0.22459223974133219"/>
    <x v="3"/>
  </r>
  <r>
    <n v="8"/>
    <n v="42"/>
    <n v="5"/>
    <n v="1"/>
    <n v="1"/>
    <n v="12"/>
    <n v="3"/>
    <n v="0.01"/>
    <n v="5"/>
    <n v="0"/>
    <n v="0.77549066110635034"/>
    <n v="0.2245093388936496"/>
    <x v="4"/>
  </r>
  <r>
    <n v="12"/>
    <n v="65"/>
    <n v="5"/>
    <n v="0"/>
    <n v="3"/>
    <n v="8"/>
    <n v="0"/>
    <n v="6000"/>
    <n v="10"/>
    <n v="0"/>
    <n v="0.77556340101392185"/>
    <n v="0.22443659898607821"/>
    <x v="4"/>
  </r>
  <r>
    <n v="8"/>
    <n v="49"/>
    <n v="3"/>
    <n v="0"/>
    <n v="0"/>
    <n v="4"/>
    <n v="3"/>
    <n v="0.01"/>
    <n v="5"/>
    <n v="0"/>
    <n v="0.77562900232236853"/>
    <n v="0.2243709976776315"/>
    <x v="4"/>
  </r>
  <r>
    <n v="11"/>
    <n v="57"/>
    <n v="3"/>
    <n v="1"/>
    <n v="3"/>
    <n v="8"/>
    <n v="0"/>
    <n v="5017.55"/>
    <n v="14"/>
    <n v="0"/>
    <n v="0.77584878782645583"/>
    <n v="0.22415121217354411"/>
    <x v="4"/>
  </r>
  <r>
    <n v="8"/>
    <n v="50"/>
    <n v="1"/>
    <n v="0"/>
    <n v="1"/>
    <n v="5"/>
    <n v="2"/>
    <n v="100"/>
    <n v="1"/>
    <n v="0"/>
    <n v="0.77605518626212044"/>
    <n v="0.2239448137378795"/>
    <x v="4"/>
  </r>
  <r>
    <n v="8"/>
    <n v="50"/>
    <n v="0"/>
    <n v="0"/>
    <n v="1"/>
    <n v="12"/>
    <n v="2"/>
    <n v="2686.88"/>
    <n v="7"/>
    <n v="0"/>
    <n v="0.77609780658416272"/>
    <n v="0.22390219341583731"/>
    <x v="4"/>
  </r>
  <r>
    <n v="8"/>
    <n v="51"/>
    <n v="1"/>
    <n v="0"/>
    <n v="3"/>
    <n v="3"/>
    <n v="0"/>
    <n v="6107.64"/>
    <n v="7"/>
    <n v="0"/>
    <n v="0.7761648737392628"/>
    <n v="0.22383512626073729"/>
    <x v="4"/>
  </r>
  <r>
    <n v="10"/>
    <n v="54"/>
    <n v="5"/>
    <n v="0"/>
    <n v="4"/>
    <n v="9"/>
    <n v="3"/>
    <n v="0.01"/>
    <n v="8"/>
    <n v="0"/>
    <n v="0.77620825881360211"/>
    <n v="0.22379174118639791"/>
    <x v="4"/>
  </r>
  <r>
    <n v="8"/>
    <n v="46"/>
    <n v="4"/>
    <n v="1"/>
    <n v="0"/>
    <n v="4"/>
    <n v="0"/>
    <n v="6000"/>
    <n v="2"/>
    <n v="0"/>
    <n v="0.77622196617682393"/>
    <n v="0.22377803382317599"/>
    <x v="4"/>
  </r>
  <r>
    <n v="12"/>
    <n v="62"/>
    <n v="4"/>
    <n v="1"/>
    <n v="0"/>
    <n v="4"/>
    <n v="1"/>
    <n v="24901.94"/>
    <n v="3"/>
    <n v="0"/>
    <n v="0.77625388060119516"/>
    <n v="0.22374611939880479"/>
    <x v="4"/>
  </r>
  <r>
    <n v="9"/>
    <n v="52"/>
    <n v="5"/>
    <n v="0"/>
    <n v="2"/>
    <n v="6"/>
    <n v="2"/>
    <n v="5000"/>
    <n v="6"/>
    <n v="0"/>
    <n v="0.77630443156343087"/>
    <n v="0.22369556843656921"/>
    <x v="4"/>
  </r>
  <r>
    <n v="10"/>
    <n v="51"/>
    <n v="1"/>
    <n v="2"/>
    <n v="0"/>
    <n v="4"/>
    <n v="1"/>
    <n v="50000"/>
    <n v="4"/>
    <n v="0"/>
    <n v="0.7763174959931971"/>
    <n v="0.2236825040068029"/>
    <x v="4"/>
  </r>
  <r>
    <n v="12"/>
    <n v="59"/>
    <n v="4"/>
    <n v="1"/>
    <n v="3"/>
    <n v="8"/>
    <n v="2"/>
    <n v="1000"/>
    <n v="9"/>
    <n v="0"/>
    <n v="0.77651845512028639"/>
    <n v="0.22348154487971361"/>
    <x v="4"/>
  </r>
  <r>
    <n v="11"/>
    <n v="63"/>
    <n v="5"/>
    <n v="0"/>
    <n v="0"/>
    <n v="4"/>
    <n v="0"/>
    <n v="6000"/>
    <n v="17"/>
    <n v="0"/>
    <n v="0.77680405318804524"/>
    <n v="0.22319594681195479"/>
    <x v="4"/>
  </r>
  <r>
    <n v="9"/>
    <n v="55"/>
    <n v="2"/>
    <n v="0"/>
    <n v="3"/>
    <n v="3"/>
    <n v="0"/>
    <n v="18204.09"/>
    <n v="7"/>
    <n v="0"/>
    <n v="0.77682270495168082"/>
    <n v="0.22317729504831921"/>
    <x v="4"/>
  </r>
  <r>
    <n v="7"/>
    <n v="45"/>
    <n v="2"/>
    <n v="0"/>
    <n v="3"/>
    <n v="3"/>
    <n v="2"/>
    <n v="2000"/>
    <n v="5"/>
    <n v="0"/>
    <n v="0.77723814151603643"/>
    <n v="0.22276185848396349"/>
    <x v="4"/>
  </r>
  <r>
    <n v="7"/>
    <n v="45"/>
    <n v="2"/>
    <n v="0"/>
    <n v="0"/>
    <n v="10"/>
    <n v="3"/>
    <n v="0.01"/>
    <n v="4"/>
    <n v="0"/>
    <n v="0.77752731492637772"/>
    <n v="0.22247268507362231"/>
    <x v="4"/>
  </r>
  <r>
    <n v="12"/>
    <n v="61"/>
    <n v="4"/>
    <n v="1"/>
    <n v="0"/>
    <n v="2"/>
    <n v="2"/>
    <n v="1500"/>
    <n v="5"/>
    <n v="1"/>
    <n v="0.77763940394867559"/>
    <n v="0.22236059605132441"/>
    <x v="4"/>
  </r>
  <r>
    <n v="10"/>
    <n v="60"/>
    <n v="2"/>
    <n v="0"/>
    <n v="0"/>
    <n v="4"/>
    <n v="0"/>
    <n v="6000"/>
    <n v="1"/>
    <n v="1"/>
    <n v="0.77764362301157552"/>
    <n v="0.2223563769884245"/>
    <x v="4"/>
  </r>
  <r>
    <n v="6"/>
    <n v="40"/>
    <n v="4"/>
    <n v="0"/>
    <n v="2"/>
    <n v="1"/>
    <n v="3"/>
    <n v="0.01"/>
    <n v="5"/>
    <n v="0"/>
    <n v="0.7778060916872872"/>
    <n v="0.2221939083127128"/>
    <x v="4"/>
  </r>
  <r>
    <n v="8"/>
    <n v="47"/>
    <n v="3"/>
    <n v="0"/>
    <n v="4"/>
    <n v="9"/>
    <n v="3"/>
    <n v="0.01"/>
    <n v="11"/>
    <n v="0"/>
    <n v="0.77789856093652421"/>
    <n v="0.22210143906347579"/>
    <x v="4"/>
  </r>
  <r>
    <n v="8"/>
    <n v="51"/>
    <n v="1"/>
    <n v="0"/>
    <n v="0"/>
    <n v="4"/>
    <n v="2"/>
    <n v="3000"/>
    <n v="9"/>
    <n v="0"/>
    <n v="0.77801402303908063"/>
    <n v="0.2219859769609194"/>
    <x v="4"/>
  </r>
  <r>
    <n v="9"/>
    <n v="45"/>
    <n v="2"/>
    <n v="2"/>
    <n v="3"/>
    <n v="3"/>
    <n v="0"/>
    <n v="10000"/>
    <n v="3"/>
    <n v="0"/>
    <n v="0.77813293697887964"/>
    <n v="0.2218670630211203"/>
    <x v="4"/>
  </r>
  <r>
    <n v="9"/>
    <n v="52"/>
    <n v="2"/>
    <n v="0"/>
    <n v="3"/>
    <n v="8"/>
    <n v="3"/>
    <n v="0.01"/>
    <n v="7"/>
    <n v="0"/>
    <n v="0.77825693850233901"/>
    <n v="0.2217430614976609"/>
    <x v="4"/>
  </r>
  <r>
    <n v="9"/>
    <n v="55"/>
    <n v="2"/>
    <n v="0"/>
    <n v="3"/>
    <n v="3"/>
    <n v="0"/>
    <n v="12000"/>
    <n v="8"/>
    <n v="0"/>
    <n v="0.77832932166876012"/>
    <n v="0.22167067833123991"/>
    <x v="4"/>
  </r>
  <r>
    <n v="8"/>
    <n v="48"/>
    <n v="2"/>
    <n v="0"/>
    <n v="3"/>
    <n v="8"/>
    <n v="3"/>
    <n v="0.01"/>
    <n v="9"/>
    <n v="0"/>
    <n v="0.77833486584533917"/>
    <n v="0.22166513415466091"/>
    <x v="4"/>
  </r>
  <r>
    <n v="10"/>
    <n v="51"/>
    <n v="4"/>
    <n v="1"/>
    <n v="4"/>
    <n v="9"/>
    <n v="2"/>
    <n v="4000"/>
    <n v="28"/>
    <n v="0"/>
    <n v="0.77837115066741869"/>
    <n v="0.22162884933258131"/>
    <x v="4"/>
  </r>
  <r>
    <n v="9"/>
    <n v="54"/>
    <n v="4"/>
    <n v="0"/>
    <n v="1"/>
    <n v="12"/>
    <n v="0"/>
    <n v="7000"/>
    <n v="2"/>
    <n v="0"/>
    <n v="0.7784593132711416"/>
    <n v="0.2215406867288584"/>
    <x v="4"/>
  </r>
  <r>
    <n v="8"/>
    <n v="50"/>
    <n v="0"/>
    <n v="0"/>
    <n v="3"/>
    <n v="3"/>
    <n v="2"/>
    <n v="3000"/>
    <n v="1"/>
    <n v="0"/>
    <n v="0.77863326678298683"/>
    <n v="0.2213667332170132"/>
    <x v="4"/>
  </r>
  <r>
    <n v="10"/>
    <n v="60"/>
    <n v="1"/>
    <n v="0"/>
    <n v="1"/>
    <n v="7"/>
    <n v="0"/>
    <n v="11000"/>
    <n v="4"/>
    <n v="0"/>
    <n v="0.77879640857398602"/>
    <n v="0.2212035914260139"/>
    <x v="4"/>
  </r>
  <r>
    <n v="7"/>
    <n v="39"/>
    <n v="3"/>
    <n v="1"/>
    <n v="3"/>
    <n v="3"/>
    <n v="3"/>
    <n v="0.01"/>
    <n v="4"/>
    <n v="0"/>
    <n v="0.77883641848098062"/>
    <n v="0.2211635815190193"/>
    <x v="4"/>
  </r>
  <r>
    <n v="9"/>
    <n v="52"/>
    <n v="4"/>
    <n v="0"/>
    <n v="3"/>
    <n v="8"/>
    <n v="2"/>
    <n v="4000"/>
    <n v="6"/>
    <n v="0"/>
    <n v="0.77884893369645303"/>
    <n v="0.22115106630354689"/>
    <x v="4"/>
  </r>
  <r>
    <n v="8"/>
    <n v="50"/>
    <n v="2"/>
    <n v="0"/>
    <n v="0"/>
    <n v="10"/>
    <n v="2"/>
    <n v="3000"/>
    <n v="4"/>
    <n v="0"/>
    <n v="0.77896089775770405"/>
    <n v="0.22103910224229589"/>
    <x v="4"/>
  </r>
  <r>
    <n v="12"/>
    <n v="60"/>
    <n v="3"/>
    <n v="1"/>
    <n v="3"/>
    <n v="3"/>
    <n v="2"/>
    <n v="920"/>
    <n v="3"/>
    <n v="0"/>
    <n v="0.77898387680155534"/>
    <n v="0.2210161231984446"/>
    <x v="4"/>
  </r>
  <r>
    <n v="8"/>
    <n v="44"/>
    <n v="4"/>
    <n v="1"/>
    <n v="1"/>
    <n v="7"/>
    <n v="2"/>
    <n v="3000"/>
    <n v="2"/>
    <n v="0"/>
    <n v="0.77923023805307856"/>
    <n v="0.22076976194692149"/>
    <x v="4"/>
  </r>
  <r>
    <n v="6"/>
    <n v="42"/>
    <n v="0"/>
    <n v="0"/>
    <n v="3"/>
    <n v="3"/>
    <n v="2"/>
    <n v="3000"/>
    <n v="3"/>
    <n v="0"/>
    <n v="0.77923136731721321"/>
    <n v="0.22076863268278679"/>
    <x v="4"/>
  </r>
  <r>
    <n v="8"/>
    <n v="50"/>
    <n v="5"/>
    <n v="0"/>
    <n v="1"/>
    <n v="7"/>
    <n v="0"/>
    <n v="6000"/>
    <n v="1"/>
    <n v="0"/>
    <n v="0.77928141466402767"/>
    <n v="0.2207185853359723"/>
    <x v="4"/>
  </r>
  <r>
    <n v="7"/>
    <n v="44"/>
    <n v="3"/>
    <n v="0"/>
    <n v="3"/>
    <n v="3"/>
    <n v="3"/>
    <n v="0.01"/>
    <n v="5"/>
    <n v="1"/>
    <n v="0.77954317334564671"/>
    <n v="0.22045682665435329"/>
    <x v="4"/>
  </r>
  <r>
    <n v="8"/>
    <n v="45"/>
    <n v="4"/>
    <n v="1"/>
    <n v="3"/>
    <n v="3"/>
    <n v="0"/>
    <n v="6000"/>
    <n v="2"/>
    <n v="0"/>
    <n v="0.77960997402763366"/>
    <n v="0.22039002597236629"/>
    <x v="4"/>
  </r>
  <r>
    <n v="10"/>
    <n v="52"/>
    <n v="3"/>
    <n v="1"/>
    <n v="3"/>
    <n v="3"/>
    <n v="2"/>
    <n v="2400"/>
    <n v="3"/>
    <n v="1"/>
    <n v="0.77961316868146868"/>
    <n v="0.2203868313185314"/>
    <x v="4"/>
  </r>
  <r>
    <n v="5"/>
    <n v="37"/>
    <n v="4"/>
    <n v="0"/>
    <n v="0"/>
    <n v="2"/>
    <n v="3"/>
    <n v="0.01"/>
    <n v="5"/>
    <n v="0"/>
    <n v="0.77984480023150282"/>
    <n v="0.2201551997684971"/>
    <x v="4"/>
  </r>
  <r>
    <n v="9"/>
    <n v="49"/>
    <n v="2"/>
    <n v="1"/>
    <n v="1"/>
    <n v="7"/>
    <n v="2"/>
    <n v="1920"/>
    <n v="4"/>
    <n v="0"/>
    <n v="0.77986900138324056"/>
    <n v="0.2201309986167595"/>
    <x v="4"/>
  </r>
  <r>
    <n v="13"/>
    <n v="70"/>
    <n v="4"/>
    <n v="0"/>
    <n v="0"/>
    <n v="4"/>
    <n v="2"/>
    <n v="4000"/>
    <n v="1"/>
    <n v="0"/>
    <n v="0.78013010028969076"/>
    <n v="0.21986989971030929"/>
    <x v="4"/>
  </r>
  <r>
    <n v="14"/>
    <n v="74"/>
    <n v="5"/>
    <n v="0"/>
    <n v="1"/>
    <n v="12"/>
    <n v="0"/>
    <n v="6053.34"/>
    <n v="4"/>
    <n v="1"/>
    <n v="0.78020465880735812"/>
    <n v="0.21979534119264191"/>
    <x v="4"/>
  </r>
  <r>
    <n v="11"/>
    <n v="63"/>
    <n v="2"/>
    <n v="0"/>
    <n v="3"/>
    <n v="3"/>
    <n v="0"/>
    <n v="6000"/>
    <n v="2"/>
    <n v="1"/>
    <n v="0.780278696276828"/>
    <n v="0.219721303723172"/>
    <x v="4"/>
  </r>
  <r>
    <n v="5"/>
    <n v="32"/>
    <n v="1"/>
    <n v="1"/>
    <n v="3"/>
    <n v="3"/>
    <n v="3"/>
    <n v="0.01"/>
    <n v="8"/>
    <n v="0"/>
    <n v="0.78029225662018586"/>
    <n v="0.21970774337981411"/>
    <x v="4"/>
  </r>
  <r>
    <n v="3"/>
    <n v="29"/>
    <n v="2"/>
    <n v="0"/>
    <n v="0"/>
    <n v="11"/>
    <n v="3"/>
    <n v="0.01"/>
    <n v="5"/>
    <n v="0"/>
    <n v="0.78033262374830592"/>
    <n v="0.21966737625169411"/>
    <x v="4"/>
  </r>
  <r>
    <n v="11"/>
    <n v="63"/>
    <n v="2"/>
    <n v="0"/>
    <n v="3"/>
    <n v="3"/>
    <n v="0"/>
    <n v="6000"/>
    <n v="1"/>
    <n v="1"/>
    <n v="0.7804989326134224"/>
    <n v="0.2195010673865776"/>
    <x v="4"/>
  </r>
  <r>
    <n v="8"/>
    <n v="52"/>
    <n v="1"/>
    <n v="0"/>
    <n v="0"/>
    <n v="11"/>
    <n v="0"/>
    <n v="6000"/>
    <n v="2"/>
    <n v="0"/>
    <n v="0.78054909102093495"/>
    <n v="0.21945090897906511"/>
    <x v="4"/>
  </r>
  <r>
    <n v="8"/>
    <n v="48"/>
    <n v="5"/>
    <n v="0"/>
    <n v="3"/>
    <n v="3"/>
    <n v="2"/>
    <n v="600"/>
    <n v="4"/>
    <n v="0"/>
    <n v="0.7805537651242187"/>
    <n v="0.21944623487578119"/>
    <x v="4"/>
  </r>
  <r>
    <n v="7"/>
    <n v="46"/>
    <n v="4"/>
    <n v="0"/>
    <n v="3"/>
    <n v="3"/>
    <n v="0"/>
    <n v="7000"/>
    <n v="3"/>
    <n v="0"/>
    <n v="0.78055665082459569"/>
    <n v="0.21944334917540431"/>
    <x v="4"/>
  </r>
  <r>
    <n v="8"/>
    <n v="50"/>
    <n v="2"/>
    <n v="0"/>
    <n v="0"/>
    <n v="4"/>
    <n v="3"/>
    <n v="0.01"/>
    <n v="9"/>
    <n v="1"/>
    <n v="0.78058937727710753"/>
    <n v="0.2194106227228925"/>
    <x v="4"/>
  </r>
  <r>
    <n v="10"/>
    <n v="58"/>
    <n v="2"/>
    <n v="0"/>
    <n v="2"/>
    <n v="1"/>
    <n v="2"/>
    <n v="100"/>
    <n v="1"/>
    <n v="1"/>
    <n v="0.78066568221506683"/>
    <n v="0.2193343177849332"/>
    <x v="4"/>
  </r>
  <r>
    <n v="11"/>
    <n v="64"/>
    <n v="0"/>
    <n v="0"/>
    <n v="3"/>
    <n v="3"/>
    <n v="0"/>
    <n v="6053.35"/>
    <n v="6"/>
    <n v="0"/>
    <n v="0.78068003244606099"/>
    <n v="0.21931996755393901"/>
    <x v="4"/>
  </r>
  <r>
    <n v="12"/>
    <n v="66"/>
    <n v="1"/>
    <n v="0"/>
    <n v="3"/>
    <n v="3"/>
    <n v="2"/>
    <n v="2000"/>
    <n v="4"/>
    <n v="1"/>
    <n v="0.78068984514388928"/>
    <n v="0.21931015485611069"/>
    <x v="4"/>
  </r>
  <r>
    <n v="8"/>
    <n v="48"/>
    <n v="5"/>
    <n v="0"/>
    <n v="0"/>
    <n v="11"/>
    <n v="3"/>
    <n v="0.01"/>
    <n v="6"/>
    <n v="0"/>
    <n v="0.78073347854732733"/>
    <n v="0.21926652145267261"/>
    <x v="4"/>
  </r>
  <r>
    <n v="10"/>
    <n v="59"/>
    <n v="2"/>
    <n v="0"/>
    <n v="3"/>
    <n v="3"/>
    <n v="0"/>
    <n v="6000"/>
    <n v="2"/>
    <n v="1"/>
    <n v="0.78079631603600141"/>
    <n v="0.21920368396399861"/>
    <x v="4"/>
  </r>
  <r>
    <n v="9"/>
    <n v="52"/>
    <n v="5"/>
    <n v="0"/>
    <n v="3"/>
    <n v="3"/>
    <n v="2"/>
    <n v="100"/>
    <n v="1"/>
    <n v="0"/>
    <n v="0.78083439050189807"/>
    <n v="0.2191656094981019"/>
    <x v="4"/>
  </r>
  <r>
    <n v="13"/>
    <n v="72"/>
    <n v="4"/>
    <n v="0"/>
    <n v="0"/>
    <n v="2"/>
    <n v="0"/>
    <n v="11500"/>
    <n v="3"/>
    <n v="0"/>
    <n v="0.78127565811117849"/>
    <n v="0.21872434188882151"/>
    <x v="4"/>
  </r>
  <r>
    <n v="8"/>
    <n v="50"/>
    <n v="1"/>
    <n v="0"/>
    <n v="3"/>
    <n v="3"/>
    <n v="2"/>
    <n v="4000"/>
    <n v="8"/>
    <n v="0"/>
    <n v="0.78132681575427765"/>
    <n v="0.2186731842457223"/>
    <x v="4"/>
  </r>
  <r>
    <n v="9"/>
    <n v="56"/>
    <n v="2"/>
    <n v="0"/>
    <n v="0"/>
    <n v="10"/>
    <n v="0"/>
    <n v="9000"/>
    <n v="8"/>
    <n v="0"/>
    <n v="0.78144657042398946"/>
    <n v="0.21855342957601051"/>
    <x v="4"/>
  </r>
  <r>
    <n v="6"/>
    <n v="41"/>
    <n v="2"/>
    <n v="0"/>
    <n v="3"/>
    <n v="8"/>
    <n v="2"/>
    <n v="3000"/>
    <n v="8"/>
    <n v="0"/>
    <n v="0.7815370416966807"/>
    <n v="0.2184629583033193"/>
    <x v="4"/>
  </r>
  <r>
    <n v="8"/>
    <n v="51"/>
    <n v="2"/>
    <n v="0"/>
    <n v="3"/>
    <n v="8"/>
    <n v="0"/>
    <n v="18106.7"/>
    <n v="9"/>
    <n v="0"/>
    <n v="0.78164891795464531"/>
    <n v="0.21835108204535469"/>
    <x v="4"/>
  </r>
  <r>
    <n v="10"/>
    <n v="51"/>
    <n v="4"/>
    <n v="1"/>
    <n v="3"/>
    <n v="3"/>
    <n v="3"/>
    <n v="0.01"/>
    <n v="4"/>
    <n v="1"/>
    <n v="0.78179126467430171"/>
    <n v="0.21820873532569821"/>
    <x v="4"/>
  </r>
  <r>
    <n v="5"/>
    <n v="31"/>
    <n v="5"/>
    <n v="1"/>
    <n v="0"/>
    <n v="11"/>
    <n v="3"/>
    <n v="0.01"/>
    <n v="4"/>
    <n v="0"/>
    <n v="0.78180025132936193"/>
    <n v="0.2181997486706381"/>
    <x v="4"/>
  </r>
  <r>
    <n v="9"/>
    <n v="56"/>
    <n v="2"/>
    <n v="0"/>
    <n v="1"/>
    <n v="7"/>
    <n v="0"/>
    <n v="18176.79"/>
    <n v="4"/>
    <n v="0"/>
    <n v="0.78184092786374815"/>
    <n v="0.21815907213625191"/>
    <x v="4"/>
  </r>
  <r>
    <n v="8"/>
    <n v="51"/>
    <n v="0"/>
    <n v="0"/>
    <n v="2"/>
    <n v="1"/>
    <n v="2"/>
    <n v="1000"/>
    <n v="5"/>
    <n v="0"/>
    <n v="0.78186562854409747"/>
    <n v="0.21813437145590259"/>
    <x v="4"/>
  </r>
  <r>
    <n v="7"/>
    <n v="35"/>
    <n v="3"/>
    <n v="2"/>
    <n v="1"/>
    <n v="7"/>
    <n v="3"/>
    <n v="0.01"/>
    <n v="5"/>
    <n v="0"/>
    <n v="0.78202435151541383"/>
    <n v="0.2179756484845862"/>
    <x v="4"/>
  </r>
  <r>
    <n v="7"/>
    <n v="48"/>
    <n v="3"/>
    <n v="0"/>
    <n v="0"/>
    <n v="4"/>
    <n v="0"/>
    <n v="6000"/>
    <n v="8"/>
    <n v="0"/>
    <n v="0.78217034990950851"/>
    <n v="0.21782965009049149"/>
    <x v="4"/>
  </r>
  <r>
    <n v="8"/>
    <n v="51"/>
    <n v="2"/>
    <n v="0"/>
    <n v="0"/>
    <n v="4"/>
    <n v="2"/>
    <n v="3000"/>
    <n v="9"/>
    <n v="0"/>
    <n v="0.78252344065715429"/>
    <n v="0.21747655934284571"/>
    <x v="4"/>
  </r>
  <r>
    <n v="11"/>
    <n v="60"/>
    <n v="0"/>
    <n v="1"/>
    <n v="0"/>
    <n v="11"/>
    <n v="0"/>
    <n v="6000"/>
    <n v="8"/>
    <n v="1"/>
    <n v="0.78254709227902852"/>
    <n v="0.21745290772097151"/>
    <x v="4"/>
  </r>
  <r>
    <n v="7"/>
    <n v="36"/>
    <n v="1"/>
    <n v="2"/>
    <n v="1"/>
    <n v="7"/>
    <n v="3"/>
    <n v="0.01"/>
    <n v="8"/>
    <n v="0"/>
    <n v="0.78265669625166634"/>
    <n v="0.2173433037483336"/>
    <x v="4"/>
  </r>
  <r>
    <n v="8"/>
    <n v="51"/>
    <n v="0"/>
    <n v="0"/>
    <n v="2"/>
    <n v="1"/>
    <n v="2"/>
    <n v="1300"/>
    <n v="1"/>
    <n v="0"/>
    <n v="0.78265882310969936"/>
    <n v="0.21734117689030061"/>
    <x v="4"/>
  </r>
  <r>
    <n v="8"/>
    <n v="52"/>
    <n v="0"/>
    <n v="0"/>
    <n v="3"/>
    <n v="3"/>
    <n v="0"/>
    <n v="6000"/>
    <n v="4"/>
    <n v="0"/>
    <n v="0.78268033411162219"/>
    <n v="0.21731966588837781"/>
    <x v="4"/>
  </r>
  <r>
    <n v="6"/>
    <n v="42"/>
    <n v="2"/>
    <n v="0"/>
    <n v="0"/>
    <n v="4"/>
    <n v="3"/>
    <n v="0.01"/>
    <n v="4"/>
    <n v="0"/>
    <n v="0.78271742733086347"/>
    <n v="0.2172825726691365"/>
    <x v="4"/>
  </r>
  <r>
    <n v="8"/>
    <n v="44"/>
    <n v="5"/>
    <n v="1"/>
    <n v="2"/>
    <n v="1"/>
    <n v="2"/>
    <n v="2000"/>
    <n v="4"/>
    <n v="1"/>
    <n v="0.7827930508792792"/>
    <n v="0.2172069491207208"/>
    <x v="4"/>
  </r>
  <r>
    <n v="7"/>
    <n v="41"/>
    <n v="5"/>
    <n v="1"/>
    <n v="3"/>
    <n v="3"/>
    <n v="0"/>
    <n v="12000"/>
    <n v="2"/>
    <n v="1"/>
    <n v="0.78296879454183899"/>
    <n v="0.21703120545816099"/>
    <x v="4"/>
  </r>
  <r>
    <n v="9"/>
    <n v="53"/>
    <n v="5"/>
    <n v="0"/>
    <n v="2"/>
    <n v="1"/>
    <n v="2"/>
    <n v="1000"/>
    <n v="5"/>
    <n v="0"/>
    <n v="0.78325131428694172"/>
    <n v="0.2167486857130583"/>
    <x v="4"/>
  </r>
  <r>
    <n v="9"/>
    <n v="51"/>
    <n v="2"/>
    <n v="1"/>
    <n v="2"/>
    <n v="1"/>
    <n v="0"/>
    <n v="6000"/>
    <n v="5"/>
    <n v="0"/>
    <n v="0.78327535417637106"/>
    <n v="0.21672464582362899"/>
    <x v="4"/>
  </r>
  <r>
    <n v="10"/>
    <n v="52"/>
    <n v="4"/>
    <n v="1"/>
    <n v="3"/>
    <n v="3"/>
    <n v="2"/>
    <n v="3496.03"/>
    <n v="5"/>
    <n v="0"/>
    <n v="0.78336416495830008"/>
    <n v="0.2166358350417"/>
    <x v="4"/>
  </r>
  <r>
    <n v="6"/>
    <n v="41"/>
    <n v="3"/>
    <n v="0"/>
    <n v="3"/>
    <n v="3"/>
    <n v="2"/>
    <n v="1000"/>
    <n v="1"/>
    <n v="1"/>
    <n v="0.78342173528847792"/>
    <n v="0.21657826471152211"/>
    <x v="4"/>
  </r>
  <r>
    <n v="6"/>
    <n v="42"/>
    <n v="1"/>
    <n v="0"/>
    <n v="3"/>
    <n v="3"/>
    <n v="2"/>
    <n v="0.02"/>
    <n v="8"/>
    <n v="1"/>
    <n v="0.78345302900556146"/>
    <n v="0.21654697099443851"/>
    <x v="4"/>
  </r>
  <r>
    <n v="10"/>
    <n v="59"/>
    <n v="3"/>
    <n v="0"/>
    <n v="3"/>
    <n v="3"/>
    <n v="0"/>
    <n v="12000"/>
    <n v="2"/>
    <n v="0"/>
    <n v="0.78363015375653089"/>
    <n v="0.21636984624346919"/>
    <x v="4"/>
  </r>
  <r>
    <n v="8"/>
    <n v="45"/>
    <n v="5"/>
    <n v="1"/>
    <n v="3"/>
    <n v="3"/>
    <n v="0"/>
    <n v="6053.34"/>
    <n v="4"/>
    <n v="0"/>
    <n v="0.78364598530310381"/>
    <n v="0.21635401469689619"/>
    <x v="4"/>
  </r>
  <r>
    <n v="8"/>
    <n v="48"/>
    <n v="4"/>
    <n v="0"/>
    <n v="3"/>
    <n v="3"/>
    <n v="3"/>
    <n v="0.01"/>
    <n v="4"/>
    <n v="0"/>
    <n v="0.78373593930225893"/>
    <n v="0.21626406069774101"/>
    <x v="4"/>
  </r>
  <r>
    <n v="7"/>
    <n v="45"/>
    <n v="3"/>
    <n v="0"/>
    <n v="1"/>
    <n v="7"/>
    <n v="3"/>
    <n v="0.01"/>
    <n v="5"/>
    <n v="0"/>
    <n v="0.78385730825371036"/>
    <n v="0.21614269174628961"/>
    <x v="4"/>
  </r>
  <r>
    <n v="6"/>
    <n v="41"/>
    <n v="5"/>
    <n v="0"/>
    <n v="0"/>
    <n v="2"/>
    <n v="3"/>
    <n v="0.01"/>
    <n v="4"/>
    <n v="0"/>
    <n v="0.78403341894119749"/>
    <n v="0.21596658105880251"/>
    <x v="4"/>
  </r>
  <r>
    <n v="12"/>
    <n v="61"/>
    <n v="5"/>
    <n v="1"/>
    <n v="0"/>
    <n v="4"/>
    <n v="2"/>
    <n v="3000"/>
    <n v="3"/>
    <n v="0"/>
    <n v="0.78404513991374258"/>
    <n v="0.21595486008625739"/>
    <x v="4"/>
  </r>
  <r>
    <n v="10"/>
    <n v="53"/>
    <n v="1"/>
    <n v="1"/>
    <n v="3"/>
    <n v="8"/>
    <n v="2"/>
    <n v="3652.66"/>
    <n v="8"/>
    <n v="0"/>
    <n v="0.78414478879716687"/>
    <n v="0.2158552112028331"/>
    <x v="4"/>
  </r>
  <r>
    <n v="12"/>
    <n v="66"/>
    <n v="2"/>
    <n v="0"/>
    <n v="0"/>
    <n v="10"/>
    <n v="3"/>
    <n v="0.01"/>
    <n v="8"/>
    <n v="0"/>
    <n v="0.78435684749881762"/>
    <n v="0.21564315250118241"/>
    <x v="4"/>
  </r>
  <r>
    <n v="9"/>
    <n v="44"/>
    <n v="2"/>
    <n v="2"/>
    <n v="3"/>
    <n v="3"/>
    <n v="2"/>
    <n v="3000"/>
    <n v="3"/>
    <n v="0"/>
    <n v="0.78481448003677412"/>
    <n v="0.21518551996322591"/>
    <x v="4"/>
  </r>
  <r>
    <n v="10"/>
    <n v="55"/>
    <n v="1"/>
    <n v="1"/>
    <n v="0"/>
    <n v="2"/>
    <n v="2"/>
    <n v="2500"/>
    <n v="8"/>
    <n v="0"/>
    <n v="0.78481998164036237"/>
    <n v="0.21518001835963771"/>
    <x v="4"/>
  </r>
  <r>
    <n v="9"/>
    <n v="55"/>
    <n v="1"/>
    <n v="0"/>
    <n v="0"/>
    <n v="2"/>
    <n v="3"/>
    <n v="0.01"/>
    <n v="5"/>
    <n v="0"/>
    <n v="0.78484288229544608"/>
    <n v="0.2151571177045539"/>
    <x v="4"/>
  </r>
  <r>
    <n v="6"/>
    <n v="41"/>
    <n v="2"/>
    <n v="0"/>
    <n v="3"/>
    <n v="3"/>
    <n v="3"/>
    <n v="0.01"/>
    <n v="8"/>
    <n v="1"/>
    <n v="0.78516842191474012"/>
    <n v="0.21483157808525979"/>
    <x v="4"/>
  </r>
  <r>
    <n v="9"/>
    <n v="49"/>
    <n v="2"/>
    <n v="1"/>
    <n v="2"/>
    <n v="0"/>
    <n v="3"/>
    <n v="0.01"/>
    <n v="8"/>
    <n v="1"/>
    <n v="0.78530712475189035"/>
    <n v="0.21469287524810959"/>
    <x v="4"/>
  </r>
  <r>
    <n v="15"/>
    <n v="75"/>
    <n v="1"/>
    <n v="1"/>
    <n v="3"/>
    <n v="8"/>
    <n v="0"/>
    <n v="12000"/>
    <n v="5"/>
    <n v="1"/>
    <n v="0.7854320011812379"/>
    <n v="0.2145679988187621"/>
    <x v="4"/>
  </r>
  <r>
    <n v="6"/>
    <n v="42"/>
    <n v="5"/>
    <n v="0"/>
    <n v="0"/>
    <n v="4"/>
    <n v="2"/>
    <n v="4097.78"/>
    <n v="12"/>
    <n v="1"/>
    <n v="0.7857653205589894"/>
    <n v="0.2142346794410106"/>
    <x v="4"/>
  </r>
  <r>
    <n v="8"/>
    <n v="51"/>
    <n v="5"/>
    <n v="0"/>
    <n v="1"/>
    <n v="5"/>
    <n v="0"/>
    <n v="12000"/>
    <n v="2"/>
    <n v="0"/>
    <n v="0.78578884696871798"/>
    <n v="0.21421115303128199"/>
    <x v="4"/>
  </r>
  <r>
    <n v="10"/>
    <n v="60"/>
    <n v="2"/>
    <n v="0"/>
    <n v="3"/>
    <n v="3"/>
    <n v="0"/>
    <n v="16202.79"/>
    <n v="13"/>
    <n v="0"/>
    <n v="0.78582012590939776"/>
    <n v="0.21417987409060221"/>
    <x v="4"/>
  </r>
  <r>
    <n v="9"/>
    <n v="47"/>
    <n v="5"/>
    <n v="1"/>
    <n v="3"/>
    <n v="3"/>
    <n v="3"/>
    <n v="0.01"/>
    <n v="8"/>
    <n v="0"/>
    <n v="0.78588877341344221"/>
    <n v="0.21411122658655779"/>
    <x v="4"/>
  </r>
  <r>
    <n v="8"/>
    <n v="51"/>
    <n v="3"/>
    <n v="0"/>
    <n v="0"/>
    <n v="2"/>
    <n v="2"/>
    <n v="3000"/>
    <n v="5"/>
    <n v="1"/>
    <n v="0.7859858426018409"/>
    <n v="0.2140141573981591"/>
    <x v="4"/>
  </r>
  <r>
    <n v="13"/>
    <n v="66"/>
    <n v="3"/>
    <n v="1"/>
    <n v="3"/>
    <n v="8"/>
    <n v="0"/>
    <n v="12000"/>
    <n v="1"/>
    <n v="1"/>
    <n v="0.78604061356310473"/>
    <n v="0.21395938643689519"/>
    <x v="4"/>
  </r>
  <r>
    <n v="5"/>
    <n v="31"/>
    <n v="5"/>
    <n v="1"/>
    <n v="3"/>
    <n v="8"/>
    <n v="2"/>
    <n v="2000"/>
    <n v="1"/>
    <n v="1"/>
    <n v="0.78610673586646607"/>
    <n v="0.21389326413353391"/>
    <x v="4"/>
  </r>
  <r>
    <n v="9"/>
    <n v="51"/>
    <n v="1"/>
    <n v="1"/>
    <n v="3"/>
    <n v="3"/>
    <n v="0"/>
    <n v="6000"/>
    <n v="2"/>
    <n v="0"/>
    <n v="0.78613994775339113"/>
    <n v="0.21386005224660889"/>
    <x v="4"/>
  </r>
  <r>
    <n v="7"/>
    <n v="47"/>
    <n v="3"/>
    <n v="0"/>
    <n v="0"/>
    <n v="2"/>
    <n v="2"/>
    <n v="1000"/>
    <n v="9"/>
    <n v="0"/>
    <n v="0.78617148717912044"/>
    <n v="0.21382851282087961"/>
    <x v="4"/>
  </r>
  <r>
    <n v="9"/>
    <n v="51"/>
    <n v="1"/>
    <n v="1"/>
    <n v="3"/>
    <n v="8"/>
    <n v="0"/>
    <n v="18000"/>
    <n v="8"/>
    <n v="1"/>
    <n v="0.78620752529003157"/>
    <n v="0.2137924747099684"/>
    <x v="4"/>
  </r>
  <r>
    <n v="10"/>
    <n v="51"/>
    <n v="5"/>
    <n v="1"/>
    <n v="3"/>
    <n v="3"/>
    <n v="3"/>
    <n v="0.01"/>
    <n v="4"/>
    <n v="0"/>
    <n v="0.78624503285244596"/>
    <n v="0.21375496714755399"/>
    <x v="4"/>
  </r>
  <r>
    <n v="10"/>
    <n v="58"/>
    <n v="1"/>
    <n v="0"/>
    <n v="3"/>
    <n v="8"/>
    <n v="2"/>
    <n v="4800"/>
    <n v="1"/>
    <n v="0"/>
    <n v="0.78625970256901156"/>
    <n v="0.21374029743098841"/>
    <x v="4"/>
  </r>
  <r>
    <n v="12"/>
    <n v="63"/>
    <n v="1"/>
    <n v="1"/>
    <n v="3"/>
    <n v="8"/>
    <n v="0"/>
    <n v="11000"/>
    <n v="9"/>
    <n v="0"/>
    <n v="0.78636353762642264"/>
    <n v="0.21363646237357739"/>
    <x v="4"/>
  </r>
  <r>
    <n v="7"/>
    <n v="48"/>
    <n v="1"/>
    <n v="0"/>
    <n v="3"/>
    <n v="3"/>
    <n v="0"/>
    <n v="6600"/>
    <n v="9"/>
    <n v="0"/>
    <n v="0.7863876823961562"/>
    <n v="0.21361231760384369"/>
    <x v="4"/>
  </r>
  <r>
    <n v="13"/>
    <n v="66"/>
    <n v="2"/>
    <n v="1"/>
    <n v="0"/>
    <n v="11"/>
    <n v="2"/>
    <n v="2730"/>
    <n v="5"/>
    <n v="1"/>
    <n v="0.7864961108858588"/>
    <n v="0.2135038891141412"/>
    <x v="4"/>
  </r>
  <r>
    <n v="8"/>
    <n v="51"/>
    <n v="3"/>
    <n v="0"/>
    <n v="3"/>
    <n v="3"/>
    <n v="0"/>
    <n v="6000"/>
    <n v="1"/>
    <n v="0"/>
    <n v="0.7864979975190729"/>
    <n v="0.2135020024809271"/>
    <x v="4"/>
  </r>
  <r>
    <n v="9"/>
    <n v="50"/>
    <n v="0"/>
    <n v="1"/>
    <n v="3"/>
    <n v="3"/>
    <n v="2"/>
    <n v="4000"/>
    <n v="4"/>
    <n v="0"/>
    <n v="0.78650942345025554"/>
    <n v="0.21349057654974449"/>
    <x v="4"/>
  </r>
  <r>
    <n v="9"/>
    <n v="48"/>
    <n v="5"/>
    <n v="1"/>
    <n v="1"/>
    <n v="12"/>
    <n v="2"/>
    <n v="3000.01"/>
    <n v="8"/>
    <n v="0"/>
    <n v="0.78654162950256767"/>
    <n v="0.21345837049743241"/>
    <x v="4"/>
  </r>
  <r>
    <n v="9"/>
    <n v="47"/>
    <n v="4"/>
    <n v="1"/>
    <n v="3"/>
    <n v="8"/>
    <n v="3"/>
    <n v="0.01"/>
    <n v="5"/>
    <n v="0"/>
    <n v="0.78672890514622917"/>
    <n v="0.21327109485377091"/>
    <x v="4"/>
  </r>
  <r>
    <n v="12"/>
    <n v="65"/>
    <n v="3"/>
    <n v="0"/>
    <n v="3"/>
    <n v="3"/>
    <n v="3"/>
    <n v="0.01"/>
    <n v="7"/>
    <n v="0"/>
    <n v="0.78675933324055169"/>
    <n v="0.21324066675944831"/>
    <x v="4"/>
  </r>
  <r>
    <n v="12"/>
    <n v="68"/>
    <n v="2"/>
    <n v="0"/>
    <n v="1"/>
    <n v="12"/>
    <n v="0"/>
    <n v="6653.34"/>
    <n v="9"/>
    <n v="1"/>
    <n v="0.78700244022088728"/>
    <n v="0.21299755977911269"/>
    <x v="4"/>
  </r>
  <r>
    <n v="9"/>
    <n v="56"/>
    <n v="5"/>
    <n v="0"/>
    <n v="0"/>
    <n v="2"/>
    <n v="0"/>
    <n v="6107.64"/>
    <n v="13"/>
    <n v="0"/>
    <n v="0.7870682109043291"/>
    <n v="0.2129317890956709"/>
    <x v="4"/>
  </r>
  <r>
    <n v="8"/>
    <n v="50"/>
    <n v="2"/>
    <n v="0"/>
    <n v="0"/>
    <n v="11"/>
    <n v="3"/>
    <n v="0.01"/>
    <n v="9"/>
    <n v="0"/>
    <n v="0.78709961876577361"/>
    <n v="0.21290038123422639"/>
    <x v="4"/>
  </r>
  <r>
    <n v="7"/>
    <n v="43"/>
    <n v="3"/>
    <n v="1"/>
    <n v="2"/>
    <n v="1"/>
    <n v="0"/>
    <n v="8088.46"/>
    <n v="7"/>
    <n v="1"/>
    <n v="0.78772517348973148"/>
    <n v="0.2122748265102686"/>
    <x v="4"/>
  </r>
  <r>
    <n v="7"/>
    <n v="48"/>
    <n v="2"/>
    <n v="0"/>
    <n v="3"/>
    <n v="3"/>
    <n v="0"/>
    <n v="6000"/>
    <n v="24"/>
    <n v="1"/>
    <n v="0.78772734180432957"/>
    <n v="0.2122726581956704"/>
    <x v="4"/>
  </r>
  <r>
    <n v="8"/>
    <n v="51"/>
    <n v="2"/>
    <n v="0"/>
    <n v="2"/>
    <n v="1"/>
    <n v="2"/>
    <n v="1392.21"/>
    <n v="18"/>
    <n v="0"/>
    <n v="0.78782069969923596"/>
    <n v="0.21217930030076401"/>
    <x v="4"/>
  </r>
  <r>
    <n v="8"/>
    <n v="47"/>
    <n v="5"/>
    <n v="0"/>
    <n v="4"/>
    <n v="9"/>
    <n v="3"/>
    <n v="0.01"/>
    <n v="5"/>
    <n v="0"/>
    <n v="0.78814453586923938"/>
    <n v="0.21185546413076059"/>
    <x v="4"/>
  </r>
  <r>
    <n v="7"/>
    <n v="44"/>
    <n v="5"/>
    <n v="0"/>
    <n v="3"/>
    <n v="3"/>
    <n v="3"/>
    <n v="0.01"/>
    <n v="5"/>
    <n v="0"/>
    <n v="0.78845058730254225"/>
    <n v="0.21154941269745769"/>
    <x v="4"/>
  </r>
  <r>
    <n v="7"/>
    <n v="46"/>
    <n v="2"/>
    <n v="0"/>
    <n v="0"/>
    <n v="11"/>
    <n v="3"/>
    <n v="0.01"/>
    <n v="5"/>
    <n v="0"/>
    <n v="0.78846414777238738"/>
    <n v="0.21153585222761259"/>
    <x v="4"/>
  </r>
  <r>
    <n v="8"/>
    <n v="44"/>
    <n v="3"/>
    <n v="1"/>
    <n v="3"/>
    <n v="3"/>
    <n v="3"/>
    <n v="0.01"/>
    <n v="4"/>
    <n v="0"/>
    <n v="0.78852382554164024"/>
    <n v="0.21147617445835981"/>
    <x v="4"/>
  </r>
  <r>
    <n v="8"/>
    <n v="49"/>
    <n v="3"/>
    <n v="0"/>
    <n v="3"/>
    <n v="3"/>
    <n v="3"/>
    <n v="0.01"/>
    <n v="8"/>
    <n v="0"/>
    <n v="0.78856594363559251"/>
    <n v="0.2114340563644074"/>
    <x v="4"/>
  </r>
  <r>
    <n v="10"/>
    <n v="62"/>
    <n v="1"/>
    <n v="0"/>
    <n v="0"/>
    <n v="2"/>
    <n v="0"/>
    <n v="12000"/>
    <n v="8"/>
    <n v="0"/>
    <n v="0.78858045281738254"/>
    <n v="0.21141954718261749"/>
    <x v="4"/>
  </r>
  <r>
    <n v="8"/>
    <n v="51"/>
    <n v="2"/>
    <n v="0"/>
    <n v="2"/>
    <n v="0"/>
    <n v="2"/>
    <n v="50"/>
    <n v="11"/>
    <n v="1"/>
    <n v="0.7887667116449556"/>
    <n v="0.2112332883550444"/>
    <x v="4"/>
  </r>
  <r>
    <n v="5"/>
    <n v="39"/>
    <n v="0"/>
    <n v="0"/>
    <n v="3"/>
    <n v="3"/>
    <n v="2"/>
    <n v="3000"/>
    <n v="8"/>
    <n v="0"/>
    <n v="0.78884257026211402"/>
    <n v="0.21115742973788601"/>
    <x v="4"/>
  </r>
  <r>
    <n v="8"/>
    <n v="51"/>
    <n v="2"/>
    <n v="0"/>
    <n v="0"/>
    <n v="11"/>
    <n v="2"/>
    <n v="1000"/>
    <n v="12"/>
    <n v="0"/>
    <n v="0.7888864554173769"/>
    <n v="0.2111135445826231"/>
    <x v="4"/>
  </r>
  <r>
    <n v="8"/>
    <n v="51"/>
    <n v="2"/>
    <n v="0"/>
    <n v="2"/>
    <n v="1"/>
    <n v="2"/>
    <n v="3000"/>
    <n v="11"/>
    <n v="0"/>
    <n v="0.78888936136247889"/>
    <n v="0.21111063863752111"/>
    <x v="4"/>
  </r>
  <r>
    <n v="9"/>
    <n v="55"/>
    <n v="4"/>
    <n v="0"/>
    <n v="1"/>
    <n v="12"/>
    <n v="0"/>
    <n v="6000"/>
    <n v="2"/>
    <n v="0"/>
    <n v="0.78893125631906891"/>
    <n v="0.21106874368093109"/>
    <x v="4"/>
  </r>
  <r>
    <n v="7"/>
    <n v="48"/>
    <n v="2"/>
    <n v="0"/>
    <n v="3"/>
    <n v="3"/>
    <n v="0"/>
    <n v="8500"/>
    <n v="14"/>
    <n v="0"/>
    <n v="0.78919883289780279"/>
    <n v="0.21080116710219721"/>
    <x v="4"/>
  </r>
  <r>
    <n v="4"/>
    <n v="35"/>
    <n v="0"/>
    <n v="0"/>
    <n v="3"/>
    <n v="3"/>
    <n v="2"/>
    <n v="3000"/>
    <n v="8"/>
    <n v="1"/>
    <n v="0.78934546189167776"/>
    <n v="0.21065453810832219"/>
    <x v="4"/>
  </r>
  <r>
    <n v="6"/>
    <n v="43"/>
    <n v="4"/>
    <n v="0"/>
    <n v="2"/>
    <n v="6"/>
    <n v="0"/>
    <n v="6000"/>
    <n v="2"/>
    <n v="1"/>
    <n v="0.78968845183120828"/>
    <n v="0.21031154816879169"/>
    <x v="4"/>
  </r>
  <r>
    <n v="8"/>
    <n v="53"/>
    <n v="0"/>
    <n v="0"/>
    <n v="0"/>
    <n v="4"/>
    <n v="2"/>
    <n v="5000"/>
    <n v="26"/>
    <n v="0"/>
    <n v="0.78969809189364126"/>
    <n v="0.21030190810635879"/>
    <x v="4"/>
  </r>
  <r>
    <n v="11"/>
    <n v="54"/>
    <n v="0"/>
    <n v="2"/>
    <n v="1"/>
    <n v="7"/>
    <n v="2"/>
    <n v="600"/>
    <n v="4"/>
    <n v="0"/>
    <n v="0.7897361822499761"/>
    <n v="0.2102638177500239"/>
    <x v="4"/>
  </r>
  <r>
    <n v="8"/>
    <n v="46"/>
    <n v="2"/>
    <n v="1"/>
    <n v="1"/>
    <n v="7"/>
    <n v="2"/>
    <n v="50"/>
    <n v="10"/>
    <n v="1"/>
    <n v="0.78974701131086777"/>
    <n v="0.2102529886891322"/>
    <x v="4"/>
  </r>
  <r>
    <n v="8"/>
    <n v="51"/>
    <n v="3"/>
    <n v="0"/>
    <n v="3"/>
    <n v="8"/>
    <n v="0"/>
    <n v="6053.35"/>
    <n v="7"/>
    <n v="0"/>
    <n v="0.78977918430550731"/>
    <n v="0.21022081569449269"/>
    <x v="4"/>
  </r>
  <r>
    <n v="11"/>
    <n v="55"/>
    <n v="0"/>
    <n v="2"/>
    <n v="0"/>
    <n v="4"/>
    <n v="2"/>
    <n v="3000"/>
    <n v="12"/>
    <n v="0"/>
    <n v="0.78992427002644672"/>
    <n v="0.21007572997355331"/>
    <x v="4"/>
  </r>
  <r>
    <n v="7"/>
    <n v="46"/>
    <n v="1"/>
    <n v="0"/>
    <n v="3"/>
    <n v="3"/>
    <n v="3"/>
    <n v="0.01"/>
    <n v="8"/>
    <n v="0"/>
    <n v="0.79032628118258896"/>
    <n v="0.20967371881741101"/>
    <x v="4"/>
  </r>
  <r>
    <n v="10"/>
    <n v="57"/>
    <n v="4"/>
    <n v="0"/>
    <n v="2"/>
    <n v="6"/>
    <n v="3"/>
    <n v="0.01"/>
    <n v="5"/>
    <n v="0"/>
    <n v="0.79058590343170343"/>
    <n v="0.20941409656829649"/>
    <x v="4"/>
  </r>
  <r>
    <n v="8"/>
    <n v="51"/>
    <n v="2"/>
    <n v="0"/>
    <n v="0"/>
    <n v="4"/>
    <n v="3"/>
    <n v="0.01"/>
    <n v="9"/>
    <n v="0"/>
    <n v="0.79072116300001438"/>
    <n v="0.20927883699998559"/>
    <x v="4"/>
  </r>
  <r>
    <n v="7"/>
    <n v="46"/>
    <n v="1"/>
    <n v="0"/>
    <n v="3"/>
    <n v="3"/>
    <n v="3"/>
    <n v="0.01"/>
    <n v="5"/>
    <n v="0"/>
    <n v="0.79096441069987433"/>
    <n v="0.20903558930012561"/>
    <x v="4"/>
  </r>
  <r>
    <n v="8"/>
    <n v="50"/>
    <n v="3"/>
    <n v="0"/>
    <n v="3"/>
    <n v="3"/>
    <n v="2"/>
    <n v="1500"/>
    <n v="7"/>
    <n v="0"/>
    <n v="0.79106109653722778"/>
    <n v="0.20893890346277219"/>
    <x v="4"/>
  </r>
  <r>
    <n v="6"/>
    <n v="44"/>
    <n v="5"/>
    <n v="0"/>
    <n v="0"/>
    <n v="4"/>
    <n v="0"/>
    <n v="10000"/>
    <n v="5"/>
    <n v="0"/>
    <n v="0.79107147428185021"/>
    <n v="0.20892852571814979"/>
    <x v="4"/>
  </r>
  <r>
    <n v="10"/>
    <n v="54"/>
    <n v="1"/>
    <n v="1"/>
    <n v="3"/>
    <n v="3"/>
    <n v="2"/>
    <n v="420"/>
    <n v="5"/>
    <n v="0"/>
    <n v="0.79113424272391064"/>
    <n v="0.20886575727608939"/>
    <x v="4"/>
  </r>
  <r>
    <n v="11"/>
    <n v="53"/>
    <n v="5"/>
    <n v="2"/>
    <n v="0"/>
    <n v="2"/>
    <n v="2"/>
    <n v="4000"/>
    <n v="5"/>
    <n v="0"/>
    <n v="0.7911777791535729"/>
    <n v="0.2088222208464271"/>
    <x v="4"/>
  </r>
  <r>
    <n v="8"/>
    <n v="50"/>
    <n v="3"/>
    <n v="0"/>
    <n v="3"/>
    <n v="3"/>
    <n v="2"/>
    <n v="50"/>
    <n v="8"/>
    <n v="0"/>
    <n v="0.79123479614347625"/>
    <n v="0.2087652038565237"/>
    <x v="4"/>
  </r>
  <r>
    <n v="10"/>
    <n v="58"/>
    <n v="5"/>
    <n v="0"/>
    <n v="0"/>
    <n v="11"/>
    <n v="2"/>
    <n v="3000.01"/>
    <n v="8"/>
    <n v="0"/>
    <n v="0.79130908500517583"/>
    <n v="0.2086909149948242"/>
    <x v="4"/>
  </r>
  <r>
    <n v="8"/>
    <n v="51"/>
    <n v="1"/>
    <n v="0"/>
    <n v="3"/>
    <n v="3"/>
    <n v="2"/>
    <n v="3500.01"/>
    <n v="9"/>
    <n v="0"/>
    <n v="0.79135449418387549"/>
    <n v="0.20864550581612451"/>
    <x v="4"/>
  </r>
  <r>
    <n v="8"/>
    <n v="51"/>
    <n v="2"/>
    <n v="0"/>
    <n v="0"/>
    <n v="11"/>
    <n v="2"/>
    <n v="100"/>
    <n v="1"/>
    <n v="1"/>
    <n v="0.79147049642800493"/>
    <n v="0.20852950357199501"/>
    <x v="4"/>
  </r>
  <r>
    <n v="9"/>
    <n v="48"/>
    <n v="3"/>
    <n v="1"/>
    <n v="3"/>
    <n v="8"/>
    <n v="3"/>
    <n v="0.01"/>
    <n v="9"/>
    <n v="0"/>
    <n v="0.79150984709959815"/>
    <n v="0.20849015290040179"/>
    <x v="4"/>
  </r>
  <r>
    <n v="10"/>
    <n v="58"/>
    <n v="5"/>
    <n v="0"/>
    <n v="0"/>
    <n v="11"/>
    <n v="2"/>
    <n v="3000"/>
    <n v="7"/>
    <n v="0"/>
    <n v="0.79152122181917128"/>
    <n v="0.20847877818082869"/>
    <x v="4"/>
  </r>
  <r>
    <n v="7"/>
    <n v="45"/>
    <n v="5"/>
    <n v="0"/>
    <n v="0"/>
    <n v="11"/>
    <n v="3"/>
    <n v="0.01"/>
    <n v="5"/>
    <n v="0"/>
    <n v="0.79157184614509024"/>
    <n v="0.20842815385490979"/>
    <x v="4"/>
  </r>
  <r>
    <n v="8"/>
    <n v="51"/>
    <n v="0"/>
    <n v="0"/>
    <n v="3"/>
    <n v="8"/>
    <n v="2"/>
    <n v="4600"/>
    <n v="7"/>
    <n v="0"/>
    <n v="0.79167505492958967"/>
    <n v="0.2083249450704103"/>
    <x v="4"/>
  </r>
  <r>
    <n v="9"/>
    <n v="55"/>
    <n v="1"/>
    <n v="0"/>
    <n v="3"/>
    <n v="3"/>
    <n v="2"/>
    <n v="1150"/>
    <n v="8"/>
    <n v="1"/>
    <n v="0.79169273275995566"/>
    <n v="0.20830726724004439"/>
    <x v="4"/>
  </r>
  <r>
    <n v="8"/>
    <n v="45"/>
    <n v="5"/>
    <n v="1"/>
    <n v="0"/>
    <n v="2"/>
    <n v="3"/>
    <n v="0.01"/>
    <n v="5"/>
    <n v="0"/>
    <n v="0.79195994677780002"/>
    <n v="0.2080400532221999"/>
    <x v="4"/>
  </r>
  <r>
    <n v="15"/>
    <n v="75"/>
    <n v="2"/>
    <n v="1"/>
    <n v="3"/>
    <n v="8"/>
    <n v="0"/>
    <n v="6000"/>
    <n v="2"/>
    <n v="1"/>
    <n v="0.79206736602944405"/>
    <n v="0.20793263397055589"/>
    <x v="4"/>
  </r>
  <r>
    <n v="4"/>
    <n v="33"/>
    <n v="5"/>
    <n v="0"/>
    <n v="3"/>
    <n v="3"/>
    <n v="2"/>
    <n v="1680"/>
    <n v="5"/>
    <n v="0"/>
    <n v="0.79218253513467574"/>
    <n v="0.20781746486532421"/>
    <x v="4"/>
  </r>
  <r>
    <n v="10"/>
    <n v="53"/>
    <n v="5"/>
    <n v="1"/>
    <n v="0"/>
    <n v="11"/>
    <n v="2"/>
    <n v="1800"/>
    <n v="1"/>
    <n v="1"/>
    <n v="0.79222183568799165"/>
    <n v="0.20777816431200841"/>
    <x v="4"/>
  </r>
  <r>
    <n v="9"/>
    <n v="55"/>
    <n v="1"/>
    <n v="0"/>
    <n v="3"/>
    <n v="3"/>
    <n v="2"/>
    <n v="1200"/>
    <n v="5"/>
    <n v="1"/>
    <n v="0.79231453997546286"/>
    <n v="0.20768546002453719"/>
    <x v="4"/>
  </r>
  <r>
    <n v="11"/>
    <n v="63"/>
    <n v="5"/>
    <n v="0"/>
    <n v="3"/>
    <n v="3"/>
    <n v="0"/>
    <n v="6053.35"/>
    <n v="7"/>
    <n v="0"/>
    <n v="0.79243852460871222"/>
    <n v="0.2075614753912878"/>
    <x v="4"/>
  </r>
  <r>
    <n v="7"/>
    <n v="41"/>
    <n v="5"/>
    <n v="1"/>
    <n v="1"/>
    <n v="5"/>
    <n v="2"/>
    <n v="3500"/>
    <n v="1"/>
    <n v="1"/>
    <n v="0.79252028773483785"/>
    <n v="0.2074797122651621"/>
    <x v="4"/>
  </r>
  <r>
    <n v="11"/>
    <n v="61"/>
    <n v="0"/>
    <n v="1"/>
    <n v="2"/>
    <n v="1"/>
    <n v="0"/>
    <n v="9000"/>
    <n v="6"/>
    <n v="0"/>
    <n v="0.79256174052276129"/>
    <n v="0.20743825947723871"/>
    <x v="4"/>
  </r>
  <r>
    <n v="11"/>
    <n v="63"/>
    <n v="3"/>
    <n v="0"/>
    <n v="1"/>
    <n v="7"/>
    <n v="2"/>
    <n v="3000.01"/>
    <n v="9"/>
    <n v="0"/>
    <n v="0.79291112813401221"/>
    <n v="0.20708887186598779"/>
    <x v="4"/>
  </r>
  <r>
    <n v="7"/>
    <n v="36"/>
    <n v="5"/>
    <n v="2"/>
    <n v="0"/>
    <n v="4"/>
    <n v="3"/>
    <n v="0.01"/>
    <n v="7"/>
    <n v="0"/>
    <n v="0.79295295937927035"/>
    <n v="0.20704704062072959"/>
    <x v="4"/>
  </r>
  <r>
    <n v="7"/>
    <n v="45"/>
    <n v="3"/>
    <n v="0"/>
    <n v="4"/>
    <n v="9"/>
    <n v="2"/>
    <n v="1200"/>
    <n v="1"/>
    <n v="0"/>
    <n v="0.7931037562486245"/>
    <n v="0.20689624375137541"/>
    <x v="4"/>
  </r>
  <r>
    <n v="7"/>
    <n v="47"/>
    <n v="1"/>
    <n v="0"/>
    <n v="3"/>
    <n v="3"/>
    <n v="2"/>
    <n v="1500"/>
    <n v="5"/>
    <n v="0"/>
    <n v="0.79322798054757293"/>
    <n v="0.2067720194524271"/>
    <x v="4"/>
  </r>
  <r>
    <n v="11"/>
    <n v="59"/>
    <n v="5"/>
    <n v="1"/>
    <n v="1"/>
    <n v="5"/>
    <n v="0"/>
    <n v="12000"/>
    <n v="2"/>
    <n v="0"/>
    <n v="0.7933833595706854"/>
    <n v="0.2066166404293146"/>
    <x v="4"/>
  </r>
  <r>
    <n v="9"/>
    <n v="55"/>
    <n v="1"/>
    <n v="0"/>
    <n v="2"/>
    <n v="1"/>
    <n v="3"/>
    <n v="0.01"/>
    <n v="5"/>
    <n v="1"/>
    <n v="0.79338885534104442"/>
    <n v="0.20661114465895561"/>
    <x v="4"/>
  </r>
  <r>
    <n v="7"/>
    <n v="45"/>
    <n v="4"/>
    <n v="0"/>
    <n v="3"/>
    <n v="3"/>
    <n v="3"/>
    <n v="0.01"/>
    <n v="8"/>
    <n v="0"/>
    <n v="0.79341379051804961"/>
    <n v="0.20658620948195031"/>
    <x v="4"/>
  </r>
  <r>
    <n v="8"/>
    <n v="51"/>
    <n v="5"/>
    <n v="0"/>
    <n v="3"/>
    <n v="8"/>
    <n v="0"/>
    <n v="13000"/>
    <n v="22"/>
    <n v="0"/>
    <n v="0.79343085717146922"/>
    <n v="0.20656914282853081"/>
    <x v="4"/>
  </r>
  <r>
    <n v="8"/>
    <n v="51"/>
    <n v="4"/>
    <n v="0"/>
    <n v="0"/>
    <n v="4"/>
    <n v="2"/>
    <n v="500"/>
    <n v="2"/>
    <n v="0"/>
    <n v="0.7934849491542274"/>
    <n v="0.2065150508457726"/>
    <x v="4"/>
  </r>
  <r>
    <n v="7"/>
    <n v="44"/>
    <n v="2"/>
    <n v="1"/>
    <n v="1"/>
    <n v="7"/>
    <n v="0"/>
    <n v="9053.35"/>
    <n v="8"/>
    <n v="0"/>
    <n v="0.79360775897913172"/>
    <n v="0.20639224102086831"/>
    <x v="4"/>
  </r>
  <r>
    <n v="6"/>
    <n v="42"/>
    <n v="3"/>
    <n v="0"/>
    <n v="2"/>
    <n v="1"/>
    <n v="3"/>
    <n v="0.01"/>
    <n v="5"/>
    <n v="0"/>
    <n v="0.79363406793901581"/>
    <n v="0.20636593206098419"/>
    <x v="4"/>
  </r>
  <r>
    <n v="12"/>
    <n v="69"/>
    <n v="4"/>
    <n v="0"/>
    <n v="0"/>
    <n v="11"/>
    <n v="1"/>
    <n v="62000"/>
    <n v="4"/>
    <n v="0"/>
    <n v="0.7936509824379252"/>
    <n v="0.20634901756207469"/>
    <x v="4"/>
  </r>
  <r>
    <n v="11"/>
    <n v="64"/>
    <n v="5"/>
    <n v="0"/>
    <n v="1"/>
    <n v="5"/>
    <n v="0"/>
    <n v="12000"/>
    <n v="4"/>
    <n v="1"/>
    <n v="0.79384569338354438"/>
    <n v="0.20615430661645559"/>
    <x v="4"/>
  </r>
  <r>
    <n v="8"/>
    <n v="51"/>
    <n v="3"/>
    <n v="0"/>
    <n v="0"/>
    <n v="11"/>
    <n v="2"/>
    <n v="5000"/>
    <n v="4"/>
    <n v="0"/>
    <n v="0.79386207769275807"/>
    <n v="0.2061379223072419"/>
    <x v="4"/>
  </r>
  <r>
    <n v="7"/>
    <n v="46"/>
    <n v="3"/>
    <n v="0"/>
    <n v="1"/>
    <n v="7"/>
    <n v="3"/>
    <n v="0.01"/>
    <n v="5"/>
    <n v="0"/>
    <n v="0.79387803747621621"/>
    <n v="0.20612196252378381"/>
    <x v="4"/>
  </r>
  <r>
    <n v="7"/>
    <n v="47"/>
    <n v="1"/>
    <n v="0"/>
    <n v="1"/>
    <n v="7"/>
    <n v="3"/>
    <n v="0.01"/>
    <n v="9"/>
    <n v="0"/>
    <n v="0.79427512956575019"/>
    <n v="0.20572487043424981"/>
    <x v="4"/>
  </r>
  <r>
    <n v="11"/>
    <n v="66"/>
    <n v="2"/>
    <n v="0"/>
    <n v="0"/>
    <n v="2"/>
    <n v="0"/>
    <n v="5000.01"/>
    <n v="8"/>
    <n v="0"/>
    <n v="0.79428478588569373"/>
    <n v="0.20571521411430629"/>
    <x v="4"/>
  </r>
  <r>
    <n v="10"/>
    <n v="49"/>
    <n v="2"/>
    <n v="2"/>
    <n v="1"/>
    <n v="5"/>
    <n v="3"/>
    <n v="0.01"/>
    <n v="5"/>
    <n v="0"/>
    <n v="0.79437526342210196"/>
    <n v="0.20562473657789801"/>
    <x v="4"/>
  </r>
  <r>
    <n v="12"/>
    <n v="70"/>
    <n v="2"/>
    <n v="0"/>
    <n v="0"/>
    <n v="4"/>
    <n v="0"/>
    <n v="9000"/>
    <n v="8"/>
    <n v="1"/>
    <n v="0.79453176648352886"/>
    <n v="0.2054682335164712"/>
    <x v="4"/>
  </r>
  <r>
    <n v="8"/>
    <n v="50"/>
    <n v="5"/>
    <n v="0"/>
    <n v="0"/>
    <n v="4"/>
    <n v="3"/>
    <n v="0.01"/>
    <n v="5"/>
    <n v="0"/>
    <n v="0.79464445358132185"/>
    <n v="0.20535554641867809"/>
    <x v="4"/>
  </r>
  <r>
    <n v="7"/>
    <n v="50"/>
    <n v="1"/>
    <n v="0"/>
    <n v="0"/>
    <n v="4"/>
    <n v="0"/>
    <n v="6000"/>
    <n v="2"/>
    <n v="0"/>
    <n v="0.79475211868471984"/>
    <n v="0.2052478813152801"/>
    <x v="4"/>
  </r>
  <r>
    <n v="9"/>
    <n v="51"/>
    <n v="3"/>
    <n v="1"/>
    <n v="3"/>
    <n v="3"/>
    <n v="0"/>
    <n v="6000"/>
    <n v="2"/>
    <n v="0"/>
    <n v="0.79485096710910341"/>
    <n v="0.20514903289089659"/>
    <x v="4"/>
  </r>
  <r>
    <n v="7"/>
    <n v="49"/>
    <n v="2"/>
    <n v="0"/>
    <n v="0"/>
    <n v="11"/>
    <n v="0"/>
    <n v="6000"/>
    <n v="5"/>
    <n v="1"/>
    <n v="0.79486625807918998"/>
    <n v="0.20513374192080999"/>
    <x v="4"/>
  </r>
  <r>
    <n v="4"/>
    <n v="29"/>
    <n v="2"/>
    <n v="1"/>
    <n v="1"/>
    <n v="12"/>
    <n v="3"/>
    <n v="0.01"/>
    <n v="4"/>
    <n v="0"/>
    <n v="0.79487479090869995"/>
    <n v="0.20512520909130011"/>
    <x v="4"/>
  </r>
  <r>
    <n v="11"/>
    <n v="63"/>
    <n v="2"/>
    <n v="0"/>
    <n v="3"/>
    <n v="3"/>
    <n v="2"/>
    <n v="500"/>
    <n v="9"/>
    <n v="1"/>
    <n v="0.7949752628856418"/>
    <n v="0.2050247371143582"/>
    <x v="4"/>
  </r>
  <r>
    <n v="8"/>
    <n v="51"/>
    <n v="3"/>
    <n v="0"/>
    <n v="0"/>
    <n v="4"/>
    <n v="3"/>
    <n v="0.01"/>
    <n v="9"/>
    <n v="0"/>
    <n v="0.7950404503711026"/>
    <n v="0.2049595496288974"/>
    <x v="4"/>
  </r>
  <r>
    <n v="10"/>
    <n v="60"/>
    <n v="3"/>
    <n v="0"/>
    <n v="0"/>
    <n v="2"/>
    <n v="2"/>
    <n v="2000"/>
    <n v="5"/>
    <n v="0"/>
    <n v="0.79521273743027099"/>
    <n v="0.20478726256972901"/>
    <x v="4"/>
  </r>
  <r>
    <n v="11"/>
    <n v="63"/>
    <n v="1"/>
    <n v="0"/>
    <n v="3"/>
    <n v="8"/>
    <n v="2"/>
    <n v="50.01"/>
    <n v="9"/>
    <n v="0"/>
    <n v="0.79527985932042333"/>
    <n v="0.2047201406795767"/>
    <x v="4"/>
  </r>
  <r>
    <n v="7"/>
    <n v="43"/>
    <n v="1"/>
    <n v="1"/>
    <n v="2"/>
    <n v="0"/>
    <n v="2"/>
    <n v="3000"/>
    <n v="1"/>
    <n v="0"/>
    <n v="0.79528876784347335"/>
    <n v="0.2047112321565267"/>
    <x v="4"/>
  </r>
  <r>
    <n v="9"/>
    <n v="47"/>
    <n v="1"/>
    <n v="2"/>
    <n v="0"/>
    <n v="2"/>
    <n v="2"/>
    <n v="2000"/>
    <n v="4"/>
    <n v="0"/>
    <n v="0.79539015127245882"/>
    <n v="0.20460984872754109"/>
    <x v="4"/>
  </r>
  <r>
    <n v="8"/>
    <n v="51"/>
    <n v="0"/>
    <n v="0"/>
    <n v="3"/>
    <n v="3"/>
    <n v="3"/>
    <n v="0.01"/>
    <n v="8"/>
    <n v="0"/>
    <n v="0.7953925762115317"/>
    <n v="0.2046074237884683"/>
    <x v="4"/>
  </r>
  <r>
    <n v="8"/>
    <n v="46"/>
    <n v="2"/>
    <n v="1"/>
    <n v="3"/>
    <n v="3"/>
    <n v="2"/>
    <n v="600"/>
    <n v="9"/>
    <n v="0"/>
    <n v="0.79554696839901573"/>
    <n v="0.20445303160098419"/>
    <x v="4"/>
  </r>
  <r>
    <n v="9"/>
    <n v="51"/>
    <n v="1"/>
    <n v="1"/>
    <n v="0"/>
    <n v="4"/>
    <n v="3"/>
    <n v="0.01"/>
    <n v="5"/>
    <n v="0"/>
    <n v="0.79573932887342103"/>
    <n v="0.204260671126579"/>
    <x v="4"/>
  </r>
  <r>
    <n v="8"/>
    <n v="53"/>
    <n v="0"/>
    <n v="0"/>
    <n v="2"/>
    <n v="1"/>
    <n v="2"/>
    <n v="2004"/>
    <n v="31"/>
    <n v="0"/>
    <n v="0.79606663302332537"/>
    <n v="0.20393336697667461"/>
    <x v="4"/>
  </r>
  <r>
    <n v="10"/>
    <n v="60"/>
    <n v="1"/>
    <n v="0"/>
    <n v="0"/>
    <n v="4"/>
    <n v="3"/>
    <n v="0.01"/>
    <n v="5"/>
    <n v="0"/>
    <n v="0.79612445260120845"/>
    <n v="0.20387554739879149"/>
    <x v="4"/>
  </r>
  <r>
    <n v="10"/>
    <n v="59"/>
    <n v="2"/>
    <n v="0"/>
    <n v="1"/>
    <n v="5"/>
    <n v="3"/>
    <n v="0.01"/>
    <n v="5"/>
    <n v="0"/>
    <n v="0.79613143666798236"/>
    <n v="0.20386856333201761"/>
    <x v="4"/>
  </r>
  <r>
    <n v="9"/>
    <n v="53"/>
    <n v="2"/>
    <n v="1"/>
    <n v="0"/>
    <n v="4"/>
    <n v="0"/>
    <n v="6000"/>
    <n v="6"/>
    <n v="0"/>
    <n v="0.79633407419918567"/>
    <n v="0.2036659258008143"/>
    <x v="4"/>
  </r>
  <r>
    <n v="10"/>
    <n v="61"/>
    <n v="1"/>
    <n v="0"/>
    <n v="3"/>
    <n v="3"/>
    <n v="0"/>
    <n v="6000"/>
    <n v="2"/>
    <n v="0"/>
    <n v="0.79646702291309057"/>
    <n v="0.2035329770869094"/>
    <x v="4"/>
  </r>
  <r>
    <n v="8"/>
    <n v="51"/>
    <n v="5"/>
    <n v="0"/>
    <n v="0"/>
    <n v="4"/>
    <n v="2"/>
    <n v="2800"/>
    <n v="5"/>
    <n v="1"/>
    <n v="0.79653915514560947"/>
    <n v="0.2034608448543905"/>
    <x v="4"/>
  </r>
  <r>
    <n v="11"/>
    <n v="62"/>
    <n v="3"/>
    <n v="0"/>
    <n v="1"/>
    <n v="12"/>
    <n v="3"/>
    <n v="0.01"/>
    <n v="4"/>
    <n v="1"/>
    <n v="0.79658849346895289"/>
    <n v="0.20341150653104709"/>
    <x v="4"/>
  </r>
  <r>
    <n v="9"/>
    <n v="56"/>
    <n v="0"/>
    <n v="0"/>
    <n v="3"/>
    <n v="3"/>
    <n v="2"/>
    <n v="3000"/>
    <n v="8"/>
    <n v="0"/>
    <n v="0.79674113245185019"/>
    <n v="0.20325886754814981"/>
    <x v="4"/>
  </r>
  <r>
    <n v="8"/>
    <n v="51"/>
    <n v="2"/>
    <n v="0"/>
    <n v="3"/>
    <n v="3"/>
    <n v="2"/>
    <n v="50.02"/>
    <n v="8"/>
    <n v="0"/>
    <n v="0.79677452564734574"/>
    <n v="0.2032254743526542"/>
    <x v="4"/>
  </r>
  <r>
    <n v="10"/>
    <n v="59"/>
    <n v="2"/>
    <n v="0"/>
    <n v="1"/>
    <n v="7"/>
    <n v="3"/>
    <n v="0.01"/>
    <n v="10"/>
    <n v="1"/>
    <n v="0.7968695184432435"/>
    <n v="0.20313048155675659"/>
    <x v="4"/>
  </r>
  <r>
    <n v="9"/>
    <n v="49"/>
    <n v="5"/>
    <n v="1"/>
    <n v="1"/>
    <n v="12"/>
    <n v="2"/>
    <n v="600"/>
    <n v="9"/>
    <n v="0"/>
    <n v="0.79688844840435524"/>
    <n v="0.20311155159564481"/>
    <x v="4"/>
  </r>
  <r>
    <n v="11"/>
    <n v="54"/>
    <n v="2"/>
    <n v="2"/>
    <n v="4"/>
    <n v="9"/>
    <n v="0"/>
    <n v="11000"/>
    <n v="4"/>
    <n v="0"/>
    <n v="0.79696206376321888"/>
    <n v="0.20303793623678121"/>
    <x v="4"/>
  </r>
  <r>
    <n v="7"/>
    <n v="43"/>
    <n v="0"/>
    <n v="1"/>
    <n v="3"/>
    <n v="3"/>
    <n v="2"/>
    <n v="4884.25"/>
    <n v="5"/>
    <n v="0"/>
    <n v="0.79697906127733842"/>
    <n v="0.20302093872266161"/>
    <x v="4"/>
  </r>
  <r>
    <n v="11"/>
    <n v="59"/>
    <n v="3"/>
    <n v="1"/>
    <n v="3"/>
    <n v="3"/>
    <n v="1"/>
    <n v="20499.3"/>
    <n v="3"/>
    <n v="0"/>
    <n v="0.79701458811058301"/>
    <n v="0.20298541188941699"/>
    <x v="4"/>
  </r>
  <r>
    <n v="7"/>
    <n v="47"/>
    <n v="5"/>
    <n v="0"/>
    <n v="0"/>
    <n v="4"/>
    <n v="2"/>
    <n v="3000"/>
    <n v="4"/>
    <n v="0"/>
    <n v="0.79718414650705849"/>
    <n v="0.20281585349294151"/>
    <x v="4"/>
  </r>
  <r>
    <n v="8"/>
    <n v="51"/>
    <n v="2"/>
    <n v="0"/>
    <n v="3"/>
    <n v="3"/>
    <n v="2"/>
    <n v="3000"/>
    <n v="2"/>
    <n v="0"/>
    <n v="0.79725295434086041"/>
    <n v="0.20274704565913959"/>
    <x v="4"/>
  </r>
  <r>
    <n v="5"/>
    <n v="37"/>
    <n v="5"/>
    <n v="0"/>
    <n v="2"/>
    <n v="6"/>
    <n v="3"/>
    <n v="0.01"/>
    <n v="4"/>
    <n v="0"/>
    <n v="0.79756700883596932"/>
    <n v="0.20243299116403071"/>
    <x v="4"/>
  </r>
  <r>
    <n v="8"/>
    <n v="53"/>
    <n v="2"/>
    <n v="0"/>
    <n v="3"/>
    <n v="3"/>
    <n v="1"/>
    <n v="45000"/>
    <n v="7"/>
    <n v="0"/>
    <n v="0.79761452209054662"/>
    <n v="0.20238547790945341"/>
    <x v="4"/>
  </r>
  <r>
    <n v="9"/>
    <n v="58"/>
    <n v="1"/>
    <n v="0"/>
    <n v="0"/>
    <n v="11"/>
    <n v="0"/>
    <n v="12000"/>
    <n v="5"/>
    <n v="1"/>
    <n v="0.79781149659234352"/>
    <n v="0.2021885034076564"/>
    <x v="4"/>
  </r>
  <r>
    <n v="11"/>
    <n v="63"/>
    <n v="4"/>
    <n v="0"/>
    <n v="1"/>
    <n v="7"/>
    <n v="2"/>
    <n v="300"/>
    <n v="9"/>
    <n v="1"/>
    <n v="0.79789924225796705"/>
    <n v="0.20210075774203301"/>
    <x v="4"/>
  </r>
  <r>
    <n v="8"/>
    <n v="52"/>
    <n v="3"/>
    <n v="0"/>
    <n v="0"/>
    <n v="4"/>
    <n v="2"/>
    <n v="2040"/>
    <n v="5"/>
    <n v="0"/>
    <n v="0.79796050596322599"/>
    <n v="0.20203949403677399"/>
    <x v="4"/>
  </r>
  <r>
    <n v="13"/>
    <n v="67"/>
    <n v="4"/>
    <n v="1"/>
    <n v="0"/>
    <n v="4"/>
    <n v="2"/>
    <n v="3000"/>
    <n v="8"/>
    <n v="0"/>
    <n v="0.79802481967017913"/>
    <n v="0.20197518032982081"/>
    <x v="4"/>
  </r>
  <r>
    <n v="11"/>
    <n v="65"/>
    <n v="2"/>
    <n v="0"/>
    <n v="3"/>
    <n v="3"/>
    <n v="0"/>
    <n v="12433.27"/>
    <n v="4"/>
    <n v="1"/>
    <n v="0.79813888922885812"/>
    <n v="0.2018611107711418"/>
    <x v="4"/>
  </r>
  <r>
    <n v="15"/>
    <n v="76"/>
    <n v="2"/>
    <n v="1"/>
    <n v="0"/>
    <n v="4"/>
    <n v="2"/>
    <n v="3000"/>
    <n v="8"/>
    <n v="0"/>
    <n v="0.79827053835201611"/>
    <n v="0.20172946164798389"/>
    <x v="4"/>
  </r>
  <r>
    <n v="7"/>
    <n v="47"/>
    <n v="2"/>
    <n v="0"/>
    <n v="3"/>
    <n v="3"/>
    <n v="2"/>
    <n v="1500"/>
    <n v="1"/>
    <n v="0"/>
    <n v="0.79833759988677633"/>
    <n v="0.2016624001132237"/>
    <x v="4"/>
  </r>
  <r>
    <n v="10"/>
    <n v="55"/>
    <n v="1"/>
    <n v="1"/>
    <n v="1"/>
    <n v="12"/>
    <n v="2"/>
    <n v="2100"/>
    <n v="9"/>
    <n v="0"/>
    <n v="0.79845373607786585"/>
    <n v="0.20154626392213409"/>
    <x v="4"/>
  </r>
  <r>
    <n v="9"/>
    <n v="54"/>
    <n v="2"/>
    <n v="0"/>
    <n v="3"/>
    <n v="8"/>
    <n v="3"/>
    <n v="0.01"/>
    <n v="6"/>
    <n v="1"/>
    <n v="0.7985360496343934"/>
    <n v="0.2014639503656066"/>
    <x v="4"/>
  </r>
  <r>
    <n v="7"/>
    <n v="50"/>
    <n v="2"/>
    <n v="0"/>
    <n v="0"/>
    <n v="4"/>
    <n v="0"/>
    <n v="5430.5"/>
    <n v="5"/>
    <n v="0"/>
    <n v="0.79853718834315479"/>
    <n v="0.20146281165684521"/>
    <x v="4"/>
  </r>
  <r>
    <n v="8"/>
    <n v="47"/>
    <n v="2"/>
    <n v="1"/>
    <n v="0"/>
    <n v="11"/>
    <n v="2"/>
    <n v="3000"/>
    <n v="6"/>
    <n v="0"/>
    <n v="0.79858837326464094"/>
    <n v="0.20141162673535909"/>
    <x v="4"/>
  </r>
  <r>
    <n v="8"/>
    <n v="49"/>
    <n v="3"/>
    <n v="0"/>
    <n v="4"/>
    <n v="9"/>
    <n v="3"/>
    <n v="0.01"/>
    <n v="8"/>
    <n v="0"/>
    <n v="0.79861561495861122"/>
    <n v="0.20138438504138881"/>
    <x v="4"/>
  </r>
  <r>
    <n v="14"/>
    <n v="71"/>
    <n v="1"/>
    <n v="1"/>
    <n v="3"/>
    <n v="3"/>
    <n v="2"/>
    <n v="2400"/>
    <n v="4"/>
    <n v="0"/>
    <n v="0.79866274540517035"/>
    <n v="0.20133725459482971"/>
    <x v="4"/>
  </r>
  <r>
    <n v="7"/>
    <n v="46"/>
    <n v="3"/>
    <n v="0"/>
    <n v="3"/>
    <n v="3"/>
    <n v="3"/>
    <n v="0.01"/>
    <n v="8"/>
    <n v="0"/>
    <n v="0.79891039911255812"/>
    <n v="0.20108960088744179"/>
    <x v="4"/>
  </r>
  <r>
    <n v="7"/>
    <n v="47"/>
    <n v="1"/>
    <n v="0"/>
    <n v="1"/>
    <n v="12"/>
    <n v="3"/>
    <n v="0.01"/>
    <n v="8"/>
    <n v="0"/>
    <n v="0.79893037249120324"/>
    <n v="0.20106962750879681"/>
    <x v="4"/>
  </r>
  <r>
    <n v="8"/>
    <n v="50"/>
    <n v="5"/>
    <n v="0"/>
    <n v="1"/>
    <n v="12"/>
    <n v="2"/>
    <n v="3500"/>
    <n v="2"/>
    <n v="1"/>
    <n v="0.79894229335363143"/>
    <n v="0.2010577066463686"/>
    <x v="4"/>
  </r>
  <r>
    <n v="9"/>
    <n v="55"/>
    <n v="1"/>
    <n v="0"/>
    <n v="3"/>
    <n v="3"/>
    <n v="3"/>
    <n v="0.01"/>
    <n v="9"/>
    <n v="1"/>
    <n v="0.79894897225507244"/>
    <n v="0.20105102774492761"/>
    <x v="4"/>
  </r>
  <r>
    <n v="6"/>
    <n v="42"/>
    <n v="3"/>
    <n v="0"/>
    <n v="1"/>
    <n v="12"/>
    <n v="3"/>
    <n v="0.01"/>
    <n v="4"/>
    <n v="0"/>
    <n v="0.79902566721528911"/>
    <n v="0.2009743327847108"/>
    <x v="4"/>
  </r>
  <r>
    <n v="9"/>
    <n v="51"/>
    <n v="2"/>
    <n v="1"/>
    <n v="1"/>
    <n v="7"/>
    <n v="2"/>
    <n v="5000"/>
    <n v="4"/>
    <n v="0"/>
    <n v="0.79903720449968951"/>
    <n v="0.20096279550031049"/>
    <x v="4"/>
  </r>
  <r>
    <n v="7"/>
    <n v="47"/>
    <n v="2"/>
    <n v="0"/>
    <n v="1"/>
    <n v="7"/>
    <n v="3"/>
    <n v="0.01"/>
    <n v="6"/>
    <n v="0"/>
    <n v="0.79915923976453729"/>
    <n v="0.20084076023546271"/>
    <x v="4"/>
  </r>
  <r>
    <n v="10"/>
    <n v="59"/>
    <n v="3"/>
    <n v="0"/>
    <n v="3"/>
    <n v="3"/>
    <n v="2"/>
    <n v="3000"/>
    <n v="8"/>
    <n v="0"/>
    <n v="0.79927375933723788"/>
    <n v="0.20072624066276221"/>
    <x v="4"/>
  </r>
  <r>
    <n v="7"/>
    <n v="50"/>
    <n v="3"/>
    <n v="0"/>
    <n v="0"/>
    <n v="2"/>
    <n v="0"/>
    <n v="12035.56"/>
    <n v="4"/>
    <n v="0"/>
    <n v="0.79949530602953667"/>
    <n v="0.2005046939704633"/>
    <x v="4"/>
  </r>
  <r>
    <n v="10"/>
    <n v="51"/>
    <n v="1"/>
    <n v="2"/>
    <n v="0"/>
    <n v="11"/>
    <n v="2"/>
    <n v="2500"/>
    <n v="19"/>
    <n v="0"/>
    <n v="0.79963738883548086"/>
    <n v="0.20036261116451909"/>
    <x v="4"/>
  </r>
  <r>
    <n v="15"/>
    <n v="72"/>
    <n v="4"/>
    <n v="2"/>
    <n v="0"/>
    <n v="4"/>
    <n v="0"/>
    <n v="6340.26"/>
    <n v="12"/>
    <n v="0"/>
    <n v="0.7996904549772329"/>
    <n v="0.2003095450227671"/>
    <x v="4"/>
  </r>
  <r>
    <n v="8"/>
    <n v="52"/>
    <n v="4"/>
    <n v="0"/>
    <n v="3"/>
    <n v="3"/>
    <n v="0"/>
    <n v="6000"/>
    <n v="5"/>
    <n v="0"/>
    <n v="0.79983761991056146"/>
    <n v="0.2001623800894386"/>
    <x v="4"/>
  </r>
  <r>
    <n v="12"/>
    <n v="68"/>
    <n v="2"/>
    <n v="0"/>
    <n v="4"/>
    <n v="9"/>
    <n v="0"/>
    <n v="6000"/>
    <n v="2"/>
    <n v="0"/>
    <n v="0.79992161152858032"/>
    <n v="0.2000783884714197"/>
    <x v="4"/>
  </r>
  <r>
    <n v="9"/>
    <n v="51"/>
    <n v="1"/>
    <n v="1"/>
    <n v="1"/>
    <n v="12"/>
    <n v="2"/>
    <n v="1000"/>
    <n v="5"/>
    <n v="1"/>
    <n v="0.80004768540208882"/>
    <n v="0.1999523145979111"/>
    <x v="4"/>
  </r>
  <r>
    <n v="8"/>
    <n v="52"/>
    <n v="4"/>
    <n v="0"/>
    <n v="0"/>
    <n v="2"/>
    <n v="2"/>
    <n v="3000"/>
    <n v="5"/>
    <n v="0"/>
    <n v="0.80017247561342786"/>
    <n v="0.1998275243865722"/>
    <x v="4"/>
  </r>
  <r>
    <n v="6"/>
    <n v="32"/>
    <n v="5"/>
    <n v="2"/>
    <n v="3"/>
    <n v="3"/>
    <n v="2"/>
    <n v="89"/>
    <n v="2"/>
    <n v="1"/>
    <n v="0.80025595298685137"/>
    <n v="0.19974404701314871"/>
    <x v="4"/>
  </r>
  <r>
    <n v="5"/>
    <n v="41"/>
    <n v="3"/>
    <n v="0"/>
    <n v="0"/>
    <n v="11"/>
    <n v="0"/>
    <n v="5300"/>
    <n v="5"/>
    <n v="0"/>
    <n v="0.8002704487839194"/>
    <n v="0.1997295512160806"/>
    <x v="4"/>
  </r>
  <r>
    <n v="8"/>
    <n v="51"/>
    <n v="3"/>
    <n v="0"/>
    <n v="3"/>
    <n v="3"/>
    <n v="2"/>
    <n v="3000"/>
    <n v="7"/>
    <n v="0"/>
    <n v="0.80044693659718791"/>
    <n v="0.19955306340281209"/>
    <x v="4"/>
  </r>
  <r>
    <n v="7"/>
    <n v="40"/>
    <n v="2"/>
    <n v="2"/>
    <n v="0"/>
    <n v="11"/>
    <n v="0"/>
    <n v="15000"/>
    <n v="5"/>
    <n v="0"/>
    <n v="0.80049619204189915"/>
    <n v="0.19950380795810091"/>
    <x v="4"/>
  </r>
  <r>
    <n v="8"/>
    <n v="52"/>
    <n v="4"/>
    <n v="0"/>
    <n v="3"/>
    <n v="8"/>
    <n v="0"/>
    <n v="17900"/>
    <n v="8"/>
    <n v="1"/>
    <n v="0.80054404160772097"/>
    <n v="0.199455958392279"/>
    <x v="4"/>
  </r>
  <r>
    <n v="11"/>
    <n v="66"/>
    <n v="0"/>
    <n v="0"/>
    <n v="3"/>
    <n v="3"/>
    <n v="0"/>
    <n v="6053.35"/>
    <n v="6"/>
    <n v="1"/>
    <n v="0.8005891897586187"/>
    <n v="0.1994108102413813"/>
    <x v="4"/>
  </r>
  <r>
    <n v="8"/>
    <n v="52"/>
    <n v="2"/>
    <n v="0"/>
    <n v="1"/>
    <n v="7"/>
    <n v="2"/>
    <n v="2500"/>
    <n v="6"/>
    <n v="1"/>
    <n v="0.80061782887772248"/>
    <n v="0.19938217112227749"/>
    <x v="4"/>
  </r>
  <r>
    <n v="9"/>
    <n v="57"/>
    <n v="0"/>
    <n v="0"/>
    <n v="2"/>
    <n v="1"/>
    <n v="2"/>
    <n v="4000"/>
    <n v="4"/>
    <n v="1"/>
    <n v="0.8006478628005782"/>
    <n v="0.1993521371994218"/>
    <x v="4"/>
  </r>
  <r>
    <n v="8"/>
    <n v="51"/>
    <n v="2"/>
    <n v="0"/>
    <n v="3"/>
    <n v="8"/>
    <n v="2"/>
    <n v="5000"/>
    <n v="4"/>
    <n v="0"/>
    <n v="0.80073070690907977"/>
    <n v="0.19926929309092031"/>
    <x v="4"/>
  </r>
  <r>
    <n v="8"/>
    <n v="49"/>
    <n v="2"/>
    <n v="1"/>
    <n v="0"/>
    <n v="4"/>
    <n v="1"/>
    <n v="20523.439999999999"/>
    <n v="3"/>
    <n v="0"/>
    <n v="0.80075586920402586"/>
    <n v="0.19924413079597419"/>
    <x v="4"/>
  </r>
  <r>
    <n v="12"/>
    <n v="70"/>
    <n v="3"/>
    <n v="0"/>
    <n v="0"/>
    <n v="4"/>
    <n v="0"/>
    <n v="6000"/>
    <n v="1"/>
    <n v="0"/>
    <n v="0.80100590182297027"/>
    <n v="0.19899409817702979"/>
    <x v="4"/>
  </r>
  <r>
    <n v="6"/>
    <n v="42"/>
    <n v="5"/>
    <n v="0"/>
    <n v="1"/>
    <n v="5"/>
    <n v="3"/>
    <n v="0.01"/>
    <n v="5"/>
    <n v="0"/>
    <n v="0.80108820479708442"/>
    <n v="0.1989117952029156"/>
    <x v="4"/>
  </r>
  <r>
    <n v="8"/>
    <n v="51"/>
    <n v="3"/>
    <n v="0"/>
    <n v="3"/>
    <n v="3"/>
    <n v="2"/>
    <n v="1000"/>
    <n v="6"/>
    <n v="0"/>
    <n v="0.80116595920941425"/>
    <n v="0.19883404079058581"/>
    <x v="4"/>
  </r>
  <r>
    <n v="7"/>
    <n v="48"/>
    <n v="2"/>
    <n v="0"/>
    <n v="1"/>
    <n v="7"/>
    <n v="2"/>
    <n v="600.01"/>
    <n v="8"/>
    <n v="0"/>
    <n v="0.80117800717220689"/>
    <n v="0.19882199282779309"/>
    <x v="4"/>
  </r>
  <r>
    <n v="8"/>
    <n v="52"/>
    <n v="1"/>
    <n v="0"/>
    <n v="1"/>
    <n v="12"/>
    <n v="2"/>
    <n v="4199.92"/>
    <n v="2"/>
    <n v="0"/>
    <n v="0.80118327850024573"/>
    <n v="0.19881672149975421"/>
    <x v="4"/>
  </r>
  <r>
    <n v="10"/>
    <n v="63"/>
    <n v="1"/>
    <n v="0"/>
    <n v="0"/>
    <n v="2"/>
    <n v="0"/>
    <n v="6000"/>
    <n v="2"/>
    <n v="0"/>
    <n v="0.80122070644804677"/>
    <n v="0.1987792935519532"/>
    <x v="4"/>
  </r>
  <r>
    <n v="6"/>
    <n v="43"/>
    <n v="1"/>
    <n v="0"/>
    <n v="3"/>
    <n v="3"/>
    <n v="3"/>
    <n v="0.01"/>
    <n v="5"/>
    <n v="0"/>
    <n v="0.80122110071078234"/>
    <n v="0.1987788992892176"/>
    <x v="4"/>
  </r>
  <r>
    <n v="8"/>
    <n v="51"/>
    <n v="5"/>
    <n v="0"/>
    <n v="2"/>
    <n v="1"/>
    <n v="2"/>
    <n v="4884.25"/>
    <n v="11"/>
    <n v="1"/>
    <n v="0.8012483931182679"/>
    <n v="0.1987516068817321"/>
    <x v="4"/>
  </r>
  <r>
    <n v="8"/>
    <n v="51"/>
    <n v="1"/>
    <n v="0"/>
    <n v="4"/>
    <n v="9"/>
    <n v="2"/>
    <n v="1500"/>
    <n v="11"/>
    <n v="1"/>
    <n v="0.80140886819753776"/>
    <n v="0.19859113180246221"/>
    <x v="4"/>
  </r>
  <r>
    <n v="5"/>
    <n v="34"/>
    <n v="3"/>
    <n v="1"/>
    <n v="1"/>
    <n v="12"/>
    <n v="2"/>
    <n v="1500"/>
    <n v="1"/>
    <n v="1"/>
    <n v="0.80146013772296332"/>
    <n v="0.19853986227703671"/>
    <x v="4"/>
  </r>
  <r>
    <n v="6"/>
    <n v="43"/>
    <n v="3"/>
    <n v="0"/>
    <n v="3"/>
    <n v="3"/>
    <n v="2"/>
    <n v="1910.01"/>
    <n v="8"/>
    <n v="0"/>
    <n v="0.80148549673043745"/>
    <n v="0.19851450326956249"/>
    <x v="4"/>
  </r>
  <r>
    <n v="8"/>
    <n v="53"/>
    <n v="5"/>
    <n v="0"/>
    <n v="0"/>
    <n v="4"/>
    <n v="0"/>
    <n v="6000"/>
    <n v="2"/>
    <n v="0"/>
    <n v="0.80152076353572776"/>
    <n v="0.19847923646427221"/>
    <x v="4"/>
  </r>
  <r>
    <n v="11"/>
    <n v="58"/>
    <n v="2"/>
    <n v="1"/>
    <n v="3"/>
    <n v="3"/>
    <n v="3"/>
    <n v="0.01"/>
    <n v="8"/>
    <n v="0"/>
    <n v="0.80153081224733103"/>
    <n v="0.19846918775266889"/>
    <x v="4"/>
  </r>
  <r>
    <n v="8"/>
    <n v="51"/>
    <n v="5"/>
    <n v="0"/>
    <n v="0"/>
    <n v="2"/>
    <n v="3"/>
    <n v="0.01"/>
    <n v="10"/>
    <n v="1"/>
    <n v="0.80153586710692115"/>
    <n v="0.19846413289307879"/>
    <x v="4"/>
  </r>
  <r>
    <n v="12"/>
    <n v="64"/>
    <n v="1"/>
    <n v="1"/>
    <n v="0"/>
    <n v="2"/>
    <n v="3"/>
    <n v="0.01"/>
    <n v="8"/>
    <n v="0"/>
    <n v="0.80157207759562421"/>
    <n v="0.19842792240437579"/>
    <x v="4"/>
  </r>
  <r>
    <n v="6"/>
    <n v="43"/>
    <n v="4"/>
    <n v="0"/>
    <n v="4"/>
    <n v="9"/>
    <n v="0"/>
    <n v="6000"/>
    <n v="2"/>
    <n v="0"/>
    <n v="0.80160663884836891"/>
    <n v="0.19839336115163109"/>
    <x v="4"/>
  </r>
  <r>
    <n v="10"/>
    <n v="60"/>
    <n v="1"/>
    <n v="0"/>
    <n v="3"/>
    <n v="3"/>
    <n v="2"/>
    <n v="1000"/>
    <n v="5"/>
    <n v="0"/>
    <n v="0.80161324907099418"/>
    <n v="0.19838675092900579"/>
    <x v="4"/>
  </r>
  <r>
    <n v="12"/>
    <n v="68"/>
    <n v="4"/>
    <n v="0"/>
    <n v="3"/>
    <n v="3"/>
    <n v="1"/>
    <n v="20351.580000000002"/>
    <n v="3"/>
    <n v="0"/>
    <n v="0.80165182742115026"/>
    <n v="0.19834817257884979"/>
    <x v="4"/>
  </r>
  <r>
    <n v="5"/>
    <n v="39"/>
    <n v="1"/>
    <n v="0"/>
    <n v="3"/>
    <n v="3"/>
    <n v="3"/>
    <n v="0.01"/>
    <n v="5"/>
    <n v="0"/>
    <n v="0.80170192248871386"/>
    <n v="0.19829807751128611"/>
    <x v="4"/>
  </r>
  <r>
    <n v="10"/>
    <n v="55"/>
    <n v="3"/>
    <n v="1"/>
    <n v="1"/>
    <n v="5"/>
    <n v="2"/>
    <n v="1300.01"/>
    <n v="5"/>
    <n v="1"/>
    <n v="0.80174969515683836"/>
    <n v="0.19825030484316161"/>
    <x v="4"/>
  </r>
  <r>
    <n v="6"/>
    <n v="42"/>
    <n v="5"/>
    <n v="0"/>
    <n v="0"/>
    <n v="11"/>
    <n v="3"/>
    <n v="0.01"/>
    <n v="5"/>
    <n v="0"/>
    <n v="0.80180619956729382"/>
    <n v="0.1981938004327061"/>
    <x v="4"/>
  </r>
  <r>
    <n v="9"/>
    <n v="51"/>
    <n v="4"/>
    <n v="1"/>
    <n v="0"/>
    <n v="4"/>
    <n v="2"/>
    <n v="600"/>
    <n v="1"/>
    <n v="0"/>
    <n v="0.80201630168692417"/>
    <n v="0.1979836983130758"/>
    <x v="4"/>
  </r>
  <r>
    <n v="4"/>
    <n v="35"/>
    <n v="4"/>
    <n v="0"/>
    <n v="0"/>
    <n v="4"/>
    <n v="3"/>
    <n v="0.01"/>
    <n v="5"/>
    <n v="0"/>
    <n v="0.80204262435326168"/>
    <n v="0.19795737564673829"/>
    <x v="4"/>
  </r>
  <r>
    <n v="7"/>
    <n v="42"/>
    <n v="2"/>
    <n v="1"/>
    <n v="2"/>
    <n v="6"/>
    <n v="3"/>
    <n v="0.01"/>
    <n v="5"/>
    <n v="0"/>
    <n v="0.80216410679868766"/>
    <n v="0.19783589320131231"/>
    <x v="4"/>
  </r>
  <r>
    <n v="10"/>
    <n v="63"/>
    <n v="0"/>
    <n v="0"/>
    <n v="2"/>
    <n v="1"/>
    <n v="1"/>
    <n v="38000"/>
    <n v="11"/>
    <n v="0"/>
    <n v="0.80216561765079553"/>
    <n v="0.19783438234920439"/>
    <x v="4"/>
  </r>
  <r>
    <n v="6"/>
    <n v="45"/>
    <n v="2"/>
    <n v="0"/>
    <n v="3"/>
    <n v="3"/>
    <n v="0"/>
    <n v="6000"/>
    <n v="4"/>
    <n v="0"/>
    <n v="0.80221197274043821"/>
    <n v="0.19778802725956179"/>
    <x v="4"/>
  </r>
  <r>
    <n v="8"/>
    <n v="53"/>
    <n v="3"/>
    <n v="0"/>
    <n v="3"/>
    <n v="3"/>
    <n v="0"/>
    <n v="15195.76"/>
    <n v="8"/>
    <n v="0"/>
    <n v="0.80225991038129063"/>
    <n v="0.19774008961870931"/>
    <x v="4"/>
  </r>
  <r>
    <n v="9"/>
    <n v="57"/>
    <n v="2"/>
    <n v="0"/>
    <n v="0"/>
    <n v="2"/>
    <n v="2"/>
    <n v="25"/>
    <n v="2"/>
    <n v="0"/>
    <n v="0.80227404243706157"/>
    <n v="0.19772595756293851"/>
    <x v="4"/>
  </r>
  <r>
    <n v="13"/>
    <n v="71"/>
    <n v="4"/>
    <n v="0"/>
    <n v="3"/>
    <n v="3"/>
    <n v="2"/>
    <n v="4000"/>
    <n v="5"/>
    <n v="1"/>
    <n v="0.80238101456180044"/>
    <n v="0.1976189854381995"/>
    <x v="4"/>
  </r>
  <r>
    <n v="8"/>
    <n v="51"/>
    <n v="2"/>
    <n v="0"/>
    <n v="1"/>
    <n v="12"/>
    <n v="3"/>
    <n v="0.01"/>
    <n v="9"/>
    <n v="0"/>
    <n v="0.8024405495933119"/>
    <n v="0.1975594504066881"/>
    <x v="4"/>
  </r>
  <r>
    <n v="5"/>
    <n v="35"/>
    <n v="1"/>
    <n v="1"/>
    <n v="3"/>
    <n v="3"/>
    <n v="2"/>
    <n v="300"/>
    <n v="9"/>
    <n v="0"/>
    <n v="0.80251871132143282"/>
    <n v="0.19748128867856721"/>
    <x v="4"/>
  </r>
  <r>
    <n v="12"/>
    <n v="69"/>
    <n v="3"/>
    <n v="0"/>
    <n v="3"/>
    <n v="8"/>
    <n v="0"/>
    <n v="6000"/>
    <n v="30"/>
    <n v="0"/>
    <n v="0.80256203632832923"/>
    <n v="0.1974379636716708"/>
    <x v="4"/>
  </r>
  <r>
    <n v="11"/>
    <n v="63"/>
    <n v="1"/>
    <n v="0"/>
    <n v="3"/>
    <n v="8"/>
    <n v="3"/>
    <n v="0.01"/>
    <n v="8"/>
    <n v="0"/>
    <n v="0.80256876370643038"/>
    <n v="0.1974312362935696"/>
    <x v="4"/>
  </r>
  <r>
    <n v="9"/>
    <n v="58"/>
    <n v="2"/>
    <n v="0"/>
    <n v="1"/>
    <n v="7"/>
    <n v="0"/>
    <n v="12106.69"/>
    <n v="7"/>
    <n v="0"/>
    <n v="0.80261186775592785"/>
    <n v="0.19738813224407209"/>
    <x v="4"/>
  </r>
  <r>
    <n v="7"/>
    <n v="51"/>
    <n v="0"/>
    <n v="0"/>
    <n v="1"/>
    <n v="7"/>
    <n v="0"/>
    <n v="6000"/>
    <n v="25"/>
    <n v="0"/>
    <n v="0.80266262384538301"/>
    <n v="0.19733737615461699"/>
    <x v="4"/>
  </r>
  <r>
    <n v="5"/>
    <n v="39"/>
    <n v="3"/>
    <n v="0"/>
    <n v="3"/>
    <n v="3"/>
    <n v="2"/>
    <n v="3000"/>
    <n v="3"/>
    <n v="0"/>
    <n v="0.80270631662139036"/>
    <n v="0.1972936833786097"/>
    <x v="4"/>
  </r>
  <r>
    <n v="5"/>
    <n v="42"/>
    <n v="0"/>
    <n v="0"/>
    <n v="1"/>
    <n v="12"/>
    <n v="0"/>
    <n v="6000"/>
    <n v="4"/>
    <n v="0"/>
    <n v="0.80271067855699429"/>
    <n v="0.19728932144300571"/>
    <x v="4"/>
  </r>
  <r>
    <n v="8"/>
    <n v="42"/>
    <n v="3"/>
    <n v="2"/>
    <n v="0"/>
    <n v="4"/>
    <n v="3"/>
    <n v="0.01"/>
    <n v="9"/>
    <n v="0"/>
    <n v="0.80297109637866537"/>
    <n v="0.19702890362133471"/>
    <x v="4"/>
  </r>
  <r>
    <n v="7"/>
    <n v="42"/>
    <n v="5"/>
    <n v="1"/>
    <n v="1"/>
    <n v="7"/>
    <n v="2"/>
    <n v="269.52"/>
    <n v="10"/>
    <n v="0"/>
    <n v="0.80297241136122055"/>
    <n v="0.19702758863877951"/>
    <x v="4"/>
  </r>
  <r>
    <n v="8"/>
    <n v="54"/>
    <n v="0"/>
    <n v="0"/>
    <n v="3"/>
    <n v="3"/>
    <n v="0"/>
    <n v="6000"/>
    <n v="1"/>
    <n v="0"/>
    <n v="0.80306427559420657"/>
    <n v="0.19693572440579341"/>
    <x v="4"/>
  </r>
  <r>
    <n v="13"/>
    <n v="75"/>
    <n v="0"/>
    <n v="0"/>
    <n v="0"/>
    <n v="11"/>
    <n v="0"/>
    <n v="7200"/>
    <n v="2"/>
    <n v="0"/>
    <n v="0.80314142171322922"/>
    <n v="0.19685857828677081"/>
    <x v="4"/>
  </r>
  <r>
    <n v="6"/>
    <n v="44"/>
    <n v="1"/>
    <n v="0"/>
    <n v="3"/>
    <n v="3"/>
    <n v="2"/>
    <n v="50"/>
    <n v="7"/>
    <n v="0"/>
    <n v="0.80336427689919221"/>
    <n v="0.19663572310080779"/>
    <x v="4"/>
  </r>
  <r>
    <n v="7"/>
    <n v="41"/>
    <n v="2"/>
    <n v="1"/>
    <n v="4"/>
    <n v="9"/>
    <n v="3"/>
    <n v="0.01"/>
    <n v="8"/>
    <n v="1"/>
    <n v="0.8036341037265613"/>
    <n v="0.19636589627343859"/>
    <x v="4"/>
  </r>
  <r>
    <n v="7"/>
    <n v="47"/>
    <n v="5"/>
    <n v="0"/>
    <n v="1"/>
    <n v="7"/>
    <n v="2"/>
    <n v="5000"/>
    <n v="5"/>
    <n v="0"/>
    <n v="0.8036354366620132"/>
    <n v="0.1963645633379868"/>
    <x v="4"/>
  </r>
  <r>
    <n v="6"/>
    <n v="38"/>
    <n v="5"/>
    <n v="1"/>
    <n v="0"/>
    <n v="11"/>
    <n v="2"/>
    <n v="1100"/>
    <n v="1"/>
    <n v="1"/>
    <n v="0.80404321701775916"/>
    <n v="0.1959567829822409"/>
    <x v="4"/>
  </r>
  <r>
    <n v="5"/>
    <n v="38"/>
    <n v="4"/>
    <n v="0"/>
    <n v="3"/>
    <n v="3"/>
    <n v="3"/>
    <n v="0.01"/>
    <n v="8"/>
    <n v="0"/>
    <n v="0.80405665354154632"/>
    <n v="0.19594334645845371"/>
    <x v="4"/>
  </r>
  <r>
    <n v="6"/>
    <n v="38"/>
    <n v="5"/>
    <n v="1"/>
    <n v="1"/>
    <n v="7"/>
    <n v="2"/>
    <n v="1000"/>
    <n v="6"/>
    <n v="0"/>
    <n v="0.80407515403949625"/>
    <n v="0.19592484596050369"/>
    <x v="4"/>
  </r>
  <r>
    <n v="8"/>
    <n v="47"/>
    <n v="0"/>
    <n v="1"/>
    <n v="3"/>
    <n v="3"/>
    <n v="3"/>
    <n v="0.01"/>
    <n v="8"/>
    <n v="0"/>
    <n v="0.80416364913719385"/>
    <n v="0.19583635086280621"/>
    <x v="4"/>
  </r>
  <r>
    <n v="14"/>
    <n v="77"/>
    <n v="5"/>
    <n v="0"/>
    <n v="2"/>
    <n v="0"/>
    <n v="0"/>
    <n v="6000"/>
    <n v="2"/>
    <n v="0"/>
    <n v="0.80417374705125211"/>
    <n v="0.19582625294874789"/>
    <x v="4"/>
  </r>
  <r>
    <n v="8"/>
    <n v="53"/>
    <n v="1"/>
    <n v="0"/>
    <n v="0"/>
    <n v="2"/>
    <n v="3"/>
    <n v="0.01"/>
    <n v="8"/>
    <n v="0"/>
    <n v="0.80433766423455288"/>
    <n v="0.19566233576544709"/>
    <x v="4"/>
  </r>
  <r>
    <n v="8"/>
    <n v="48"/>
    <n v="3"/>
    <n v="1"/>
    <n v="0"/>
    <n v="2"/>
    <n v="2"/>
    <n v="50.01"/>
    <n v="10"/>
    <n v="0"/>
    <n v="0.80442421720855428"/>
    <n v="0.19557578279144569"/>
    <x v="4"/>
  </r>
  <r>
    <n v="8"/>
    <n v="51"/>
    <n v="2"/>
    <n v="0"/>
    <n v="3"/>
    <n v="3"/>
    <n v="3"/>
    <n v="0.01"/>
    <n v="5"/>
    <n v="0"/>
    <n v="0.804427986990359"/>
    <n v="0.195572013009641"/>
    <x v="4"/>
  </r>
  <r>
    <n v="5"/>
    <n v="39"/>
    <n v="3"/>
    <n v="0"/>
    <n v="1"/>
    <n v="7"/>
    <n v="3"/>
    <n v="0.01"/>
    <n v="5"/>
    <n v="1"/>
    <n v="0.80450287666785014"/>
    <n v="0.1954971233321498"/>
    <x v="4"/>
  </r>
  <r>
    <n v="8"/>
    <n v="51"/>
    <n v="5"/>
    <n v="0"/>
    <n v="1"/>
    <n v="7"/>
    <n v="2"/>
    <n v="1060"/>
    <n v="2"/>
    <n v="1"/>
    <n v="0.80476628366746661"/>
    <n v="0.19523371633253339"/>
    <x v="4"/>
  </r>
  <r>
    <n v="11"/>
    <n v="63"/>
    <n v="4"/>
    <n v="0"/>
    <n v="1"/>
    <n v="7"/>
    <n v="3"/>
    <n v="0.01"/>
    <n v="10"/>
    <n v="1"/>
    <n v="0.80477745380554677"/>
    <n v="0.1952225461944532"/>
    <x v="4"/>
  </r>
  <r>
    <n v="11"/>
    <n v="62"/>
    <n v="5"/>
    <n v="0"/>
    <n v="1"/>
    <n v="12"/>
    <n v="3"/>
    <n v="0.01"/>
    <n v="5"/>
    <n v="0"/>
    <n v="0.80477768019398743"/>
    <n v="0.1952223198060126"/>
    <x v="4"/>
  </r>
  <r>
    <n v="9"/>
    <n v="56"/>
    <n v="3"/>
    <n v="0"/>
    <n v="1"/>
    <n v="7"/>
    <n v="2"/>
    <n v="2074"/>
    <n v="4"/>
    <n v="0"/>
    <n v="0.80482016913966126"/>
    <n v="0.19517983086033869"/>
    <x v="4"/>
  </r>
  <r>
    <n v="8"/>
    <n v="48"/>
    <n v="2"/>
    <n v="1"/>
    <n v="3"/>
    <n v="8"/>
    <n v="0"/>
    <n v="8000"/>
    <n v="1"/>
    <n v="0"/>
    <n v="0.80483950935154169"/>
    <n v="0.19516049064845831"/>
    <x v="4"/>
  </r>
  <r>
    <n v="9"/>
    <n v="46"/>
    <n v="2"/>
    <n v="2"/>
    <n v="2"/>
    <n v="0"/>
    <n v="3"/>
    <n v="0.01"/>
    <n v="4"/>
    <n v="0"/>
    <n v="0.80486155007265625"/>
    <n v="0.19513844992734369"/>
    <x v="4"/>
  </r>
  <r>
    <n v="8"/>
    <n v="53"/>
    <n v="2"/>
    <n v="0"/>
    <n v="3"/>
    <n v="8"/>
    <n v="0"/>
    <n v="6000"/>
    <n v="6"/>
    <n v="0"/>
    <n v="0.80518327233121645"/>
    <n v="0.19481672766878361"/>
    <x v="4"/>
  </r>
  <r>
    <n v="9"/>
    <n v="51"/>
    <n v="2"/>
    <n v="1"/>
    <n v="3"/>
    <n v="3"/>
    <n v="2"/>
    <n v="3000"/>
    <n v="3"/>
    <n v="0"/>
    <n v="0.80528932047469803"/>
    <n v="0.19471067952530199"/>
    <x v="4"/>
  </r>
  <r>
    <n v="6"/>
    <n v="43"/>
    <n v="2"/>
    <n v="0"/>
    <n v="3"/>
    <n v="3"/>
    <n v="3"/>
    <n v="0.01"/>
    <n v="5"/>
    <n v="0"/>
    <n v="0.8053770197237422"/>
    <n v="0.19462298027625771"/>
    <x v="4"/>
  </r>
  <r>
    <n v="9"/>
    <n v="49"/>
    <n v="5"/>
    <n v="1"/>
    <n v="3"/>
    <n v="3"/>
    <n v="3"/>
    <n v="0.01"/>
    <n v="7"/>
    <n v="0"/>
    <n v="0.80564423083297276"/>
    <n v="0.19435576916702729"/>
    <x v="4"/>
  </r>
  <r>
    <n v="6"/>
    <n v="42"/>
    <n v="5"/>
    <n v="0"/>
    <n v="3"/>
    <n v="8"/>
    <n v="2"/>
    <n v="100"/>
    <n v="5"/>
    <n v="0"/>
    <n v="0.80569166572535367"/>
    <n v="0.19430833427464639"/>
    <x v="4"/>
  </r>
  <r>
    <n v="9"/>
    <n v="51"/>
    <n v="2"/>
    <n v="1"/>
    <n v="3"/>
    <n v="3"/>
    <n v="2"/>
    <n v="3000"/>
    <n v="1"/>
    <n v="0"/>
    <n v="0.80569199518315993"/>
    <n v="0.1943080048168401"/>
    <x v="4"/>
  </r>
  <r>
    <n v="10"/>
    <n v="61"/>
    <n v="0"/>
    <n v="0"/>
    <n v="3"/>
    <n v="3"/>
    <n v="2"/>
    <n v="2000"/>
    <n v="8"/>
    <n v="1"/>
    <n v="0.80609176412368633"/>
    <n v="0.1939082358763137"/>
    <x v="4"/>
  </r>
  <r>
    <n v="8"/>
    <n v="51"/>
    <n v="4"/>
    <n v="0"/>
    <n v="3"/>
    <n v="3"/>
    <n v="2"/>
    <n v="1000"/>
    <n v="2"/>
    <n v="0"/>
    <n v="0.80612736324046841"/>
    <n v="0.19387263675953159"/>
    <x v="4"/>
  </r>
  <r>
    <n v="7"/>
    <n v="47"/>
    <n v="4"/>
    <n v="0"/>
    <n v="1"/>
    <n v="5"/>
    <n v="3"/>
    <n v="0.01"/>
    <n v="4"/>
    <n v="0"/>
    <n v="0.80615919775506861"/>
    <n v="0.1938408022449313"/>
    <x v="4"/>
  </r>
  <r>
    <n v="8"/>
    <n v="51"/>
    <n v="4"/>
    <n v="0"/>
    <n v="0"/>
    <n v="11"/>
    <n v="3"/>
    <n v="0.01"/>
    <n v="5"/>
    <n v="1"/>
    <n v="0.80619126444815048"/>
    <n v="0.19380873555184949"/>
    <x v="4"/>
  </r>
  <r>
    <n v="7"/>
    <n v="48"/>
    <n v="2"/>
    <n v="0"/>
    <n v="3"/>
    <n v="3"/>
    <n v="2"/>
    <n v="5000"/>
    <n v="4"/>
    <n v="0"/>
    <n v="0.80637344290030133"/>
    <n v="0.19362655709969859"/>
    <x v="4"/>
  </r>
  <r>
    <n v="7"/>
    <n v="48"/>
    <n v="5"/>
    <n v="0"/>
    <n v="0"/>
    <n v="4"/>
    <n v="2"/>
    <n v="500"/>
    <n v="8"/>
    <n v="0"/>
    <n v="0.80656590087747115"/>
    <n v="0.19343409912252879"/>
    <x v="4"/>
  </r>
  <r>
    <n v="14"/>
    <n v="73"/>
    <n v="1"/>
    <n v="1"/>
    <n v="3"/>
    <n v="8"/>
    <n v="1"/>
    <n v="22000"/>
    <n v="21"/>
    <n v="0"/>
    <n v="0.80663849732988391"/>
    <n v="0.19336150267011609"/>
    <x v="4"/>
  </r>
  <r>
    <n v="8"/>
    <n v="53"/>
    <n v="1"/>
    <n v="0"/>
    <n v="0"/>
    <n v="4"/>
    <n v="3"/>
    <n v="0.01"/>
    <n v="5"/>
    <n v="1"/>
    <n v="0.8066616974473475"/>
    <n v="0.19333830255265261"/>
    <x v="4"/>
  </r>
  <r>
    <n v="10"/>
    <n v="56"/>
    <n v="3"/>
    <n v="1"/>
    <n v="3"/>
    <n v="8"/>
    <n v="0"/>
    <n v="6053.35"/>
    <n v="10"/>
    <n v="0"/>
    <n v="0.80669097919674693"/>
    <n v="0.1933090208032531"/>
    <x v="4"/>
  </r>
  <r>
    <n v="6"/>
    <n v="45"/>
    <n v="0"/>
    <n v="0"/>
    <n v="3"/>
    <n v="3"/>
    <n v="2"/>
    <n v="3500"/>
    <n v="11"/>
    <n v="0"/>
    <n v="0.80699906273080835"/>
    <n v="0.19300093726919171"/>
    <x v="4"/>
  </r>
  <r>
    <n v="10"/>
    <n v="61"/>
    <n v="3"/>
    <n v="0"/>
    <n v="0"/>
    <n v="4"/>
    <n v="2"/>
    <n v="1000"/>
    <n v="4"/>
    <n v="1"/>
    <n v="0.80700830251760636"/>
    <n v="0.1929916974823937"/>
    <x v="4"/>
  </r>
  <r>
    <n v="11"/>
    <n v="67"/>
    <n v="1"/>
    <n v="0"/>
    <n v="1"/>
    <n v="5"/>
    <n v="0"/>
    <n v="6700"/>
    <n v="5"/>
    <n v="0"/>
    <n v="0.80703054301506338"/>
    <n v="0.19296945698493659"/>
    <x v="4"/>
  </r>
  <r>
    <n v="10"/>
    <n v="57"/>
    <n v="2"/>
    <n v="1"/>
    <n v="3"/>
    <n v="3"/>
    <n v="0"/>
    <n v="9053.35"/>
    <n v="9"/>
    <n v="0"/>
    <n v="0.80713894340366854"/>
    <n v="0.19286105659633149"/>
    <x v="4"/>
  </r>
  <r>
    <n v="8"/>
    <n v="41"/>
    <n v="5"/>
    <n v="2"/>
    <n v="3"/>
    <n v="3"/>
    <n v="2"/>
    <n v="1600.01"/>
    <n v="8"/>
    <n v="0"/>
    <n v="0.80719407142964283"/>
    <n v="0.19280592857035711"/>
    <x v="4"/>
  </r>
  <r>
    <n v="10"/>
    <n v="51"/>
    <n v="1"/>
    <n v="2"/>
    <n v="3"/>
    <n v="3"/>
    <n v="2"/>
    <n v="500"/>
    <n v="16"/>
    <n v="0"/>
    <n v="0.80728521460208513"/>
    <n v="0.19271478539791481"/>
    <x v="4"/>
  </r>
  <r>
    <n v="12"/>
    <n v="68"/>
    <n v="4"/>
    <n v="0"/>
    <n v="1"/>
    <n v="7"/>
    <n v="2"/>
    <n v="100.01"/>
    <n v="7"/>
    <n v="0"/>
    <n v="0.80740877938299016"/>
    <n v="0.1925912206170099"/>
    <x v="4"/>
  </r>
  <r>
    <n v="6"/>
    <n v="47"/>
    <n v="1"/>
    <n v="0"/>
    <n v="1"/>
    <n v="5"/>
    <n v="0"/>
    <n v="10000"/>
    <n v="10"/>
    <n v="1"/>
    <n v="0.80755424150661437"/>
    <n v="0.19244575849338569"/>
    <x v="4"/>
  </r>
  <r>
    <n v="7"/>
    <n v="51"/>
    <n v="2"/>
    <n v="0"/>
    <n v="0"/>
    <n v="11"/>
    <n v="0"/>
    <n v="10000"/>
    <n v="31"/>
    <n v="1"/>
    <n v="0.80767954622367022"/>
    <n v="0.19232045377632981"/>
    <x v="4"/>
  </r>
  <r>
    <n v="8"/>
    <n v="53"/>
    <n v="0"/>
    <n v="0"/>
    <n v="3"/>
    <n v="3"/>
    <n v="2"/>
    <n v="2040"/>
    <n v="4"/>
    <n v="0"/>
    <n v="0.80782387984513515"/>
    <n v="0.19217612015486479"/>
    <x v="4"/>
  </r>
  <r>
    <n v="9"/>
    <n v="51"/>
    <n v="0"/>
    <n v="1"/>
    <n v="3"/>
    <n v="8"/>
    <n v="3"/>
    <n v="0.01"/>
    <n v="8"/>
    <n v="0"/>
    <n v="0.80798173508564819"/>
    <n v="0.19201826491435181"/>
    <x v="4"/>
  </r>
  <r>
    <n v="11"/>
    <n v="64"/>
    <n v="3"/>
    <n v="0"/>
    <n v="1"/>
    <n v="12"/>
    <n v="2"/>
    <n v="1000"/>
    <n v="6"/>
    <n v="0"/>
    <n v="0.80803024583819505"/>
    <n v="0.19196975416180501"/>
    <x v="4"/>
  </r>
  <r>
    <n v="6"/>
    <n v="42"/>
    <n v="5"/>
    <n v="0"/>
    <n v="3"/>
    <n v="3"/>
    <n v="3"/>
    <n v="0.01"/>
    <n v="6"/>
    <n v="0"/>
    <n v="0.80809745756978046"/>
    <n v="0.19190254243021959"/>
    <x v="4"/>
  </r>
  <r>
    <n v="11"/>
    <n v="62"/>
    <n v="1"/>
    <n v="1"/>
    <n v="1"/>
    <n v="12"/>
    <n v="0"/>
    <n v="12984.25"/>
    <n v="17"/>
    <n v="1"/>
    <n v="0.80819385650006415"/>
    <n v="0.19180614349993591"/>
    <x v="4"/>
  </r>
  <r>
    <n v="9"/>
    <n v="56"/>
    <n v="4"/>
    <n v="0"/>
    <n v="1"/>
    <n v="7"/>
    <n v="2"/>
    <n v="50.01"/>
    <n v="10"/>
    <n v="0"/>
    <n v="0.80823012873309286"/>
    <n v="0.19176987126690709"/>
    <x v="4"/>
  </r>
  <r>
    <n v="10"/>
    <n v="63"/>
    <n v="0"/>
    <n v="0"/>
    <n v="3"/>
    <n v="3"/>
    <n v="0"/>
    <n v="12000"/>
    <n v="9"/>
    <n v="0"/>
    <n v="0.80841431398247776"/>
    <n v="0.19158568601752221"/>
    <x v="4"/>
  </r>
  <r>
    <n v="10"/>
    <n v="61"/>
    <n v="2"/>
    <n v="0"/>
    <n v="0"/>
    <n v="11"/>
    <n v="2"/>
    <n v="1500"/>
    <n v="5"/>
    <n v="1"/>
    <n v="0.80856609336154117"/>
    <n v="0.1914339066384588"/>
    <x v="4"/>
  </r>
  <r>
    <n v="9"/>
    <n v="58"/>
    <n v="3"/>
    <n v="0"/>
    <n v="2"/>
    <n v="1"/>
    <n v="0"/>
    <n v="6000"/>
    <n v="2"/>
    <n v="0"/>
    <n v="0.80857144018076155"/>
    <n v="0.19142855981923851"/>
    <x v="4"/>
  </r>
  <r>
    <n v="8"/>
    <n v="42"/>
    <n v="3"/>
    <n v="2"/>
    <n v="3"/>
    <n v="3"/>
    <n v="2"/>
    <n v="3000"/>
    <n v="5"/>
    <n v="0"/>
    <n v="0.80861690456526236"/>
    <n v="0.19138309543473769"/>
    <x v="4"/>
  </r>
  <r>
    <n v="7"/>
    <n v="48"/>
    <n v="2"/>
    <n v="0"/>
    <n v="1"/>
    <n v="7"/>
    <n v="3"/>
    <n v="0.01"/>
    <n v="6"/>
    <n v="0"/>
    <n v="0.80864373155078051"/>
    <n v="0.19135626844921949"/>
    <x v="4"/>
  </r>
  <r>
    <n v="13"/>
    <n v="72"/>
    <n v="2"/>
    <n v="0"/>
    <n v="3"/>
    <n v="8"/>
    <n v="2"/>
    <n v="3000"/>
    <n v="2"/>
    <n v="1"/>
    <n v="0.80872164542756109"/>
    <n v="0.19127835457243891"/>
    <x v="4"/>
  </r>
  <r>
    <n v="7"/>
    <n v="48"/>
    <n v="2"/>
    <n v="0"/>
    <n v="1"/>
    <n v="7"/>
    <n v="3"/>
    <n v="0.01"/>
    <n v="5"/>
    <n v="0"/>
    <n v="0.80884250169409388"/>
    <n v="0.19115749830590609"/>
    <x v="4"/>
  </r>
  <r>
    <n v="10"/>
    <n v="59"/>
    <n v="5"/>
    <n v="0"/>
    <n v="0"/>
    <n v="11"/>
    <n v="3"/>
    <n v="0.01"/>
    <n v="7"/>
    <n v="0"/>
    <n v="0.80894013610574789"/>
    <n v="0.19105986389425211"/>
    <x v="4"/>
  </r>
  <r>
    <n v="8"/>
    <n v="50"/>
    <n v="5"/>
    <n v="0"/>
    <n v="4"/>
    <n v="9"/>
    <n v="2"/>
    <n v="300.01"/>
    <n v="9"/>
    <n v="1"/>
    <n v="0.80917571246569331"/>
    <n v="0.19082428753430669"/>
    <x v="4"/>
  </r>
  <r>
    <n v="7"/>
    <n v="50"/>
    <n v="3"/>
    <n v="0"/>
    <n v="0"/>
    <n v="11"/>
    <n v="0"/>
    <n v="6000"/>
    <n v="1"/>
    <n v="0"/>
    <n v="0.80940181681732559"/>
    <n v="0.19059818318267441"/>
    <x v="4"/>
  </r>
  <r>
    <n v="10"/>
    <n v="61"/>
    <n v="2"/>
    <n v="0"/>
    <n v="0"/>
    <n v="4"/>
    <n v="3"/>
    <n v="0.01"/>
    <n v="7"/>
    <n v="1"/>
    <n v="0.80940547418791442"/>
    <n v="0.1905945258120855"/>
    <x v="4"/>
  </r>
  <r>
    <n v="8"/>
    <n v="53"/>
    <n v="4"/>
    <n v="0"/>
    <n v="0"/>
    <n v="2"/>
    <n v="2"/>
    <n v="500"/>
    <n v="9"/>
    <n v="0"/>
    <n v="0.80944903910227084"/>
    <n v="0.19055096089772919"/>
    <x v="4"/>
  </r>
  <r>
    <n v="10"/>
    <n v="62"/>
    <n v="2"/>
    <n v="0"/>
    <n v="0"/>
    <n v="2"/>
    <n v="2"/>
    <n v="3000"/>
    <n v="7"/>
    <n v="0"/>
    <n v="0.8094594031103084"/>
    <n v="0.1905405968896916"/>
    <x v="4"/>
  </r>
  <r>
    <n v="9"/>
    <n v="59"/>
    <n v="3"/>
    <n v="0"/>
    <n v="0"/>
    <n v="4"/>
    <n v="0"/>
    <n v="7438.32"/>
    <n v="11"/>
    <n v="0"/>
    <n v="0.80948447071111118"/>
    <n v="0.19051552928888879"/>
    <x v="4"/>
  </r>
  <r>
    <n v="8"/>
    <n v="49"/>
    <n v="2"/>
    <n v="1"/>
    <n v="0"/>
    <n v="2"/>
    <n v="2"/>
    <n v="420"/>
    <n v="10"/>
    <n v="0"/>
    <n v="0.80960626334281927"/>
    <n v="0.19039373665718079"/>
    <x v="4"/>
  </r>
  <r>
    <n v="6"/>
    <n v="38"/>
    <n v="5"/>
    <n v="1"/>
    <n v="1"/>
    <n v="5"/>
    <n v="3"/>
    <n v="0.01"/>
    <n v="5"/>
    <n v="0"/>
    <n v="0.80967354248870871"/>
    <n v="0.19032645751129129"/>
    <x v="4"/>
  </r>
  <r>
    <n v="6"/>
    <n v="45"/>
    <n v="0"/>
    <n v="0"/>
    <n v="0"/>
    <n v="11"/>
    <n v="3"/>
    <n v="0.01"/>
    <n v="4"/>
    <n v="0"/>
    <n v="0.80967735776290084"/>
    <n v="0.19032264223709919"/>
    <x v="4"/>
  </r>
  <r>
    <n v="11"/>
    <n v="60"/>
    <n v="1"/>
    <n v="1"/>
    <n v="3"/>
    <n v="3"/>
    <n v="2"/>
    <n v="3000"/>
    <n v="1"/>
    <n v="0"/>
    <n v="0.81001145784815265"/>
    <n v="0.18998854215184729"/>
    <x v="4"/>
  </r>
  <r>
    <n v="11"/>
    <n v="66"/>
    <n v="1"/>
    <n v="0"/>
    <n v="3"/>
    <n v="8"/>
    <n v="0"/>
    <n v="6000"/>
    <n v="1"/>
    <n v="1"/>
    <n v="0.81003565594469618"/>
    <n v="0.1899643440553038"/>
    <x v="4"/>
  </r>
  <r>
    <n v="6"/>
    <n v="45"/>
    <n v="2"/>
    <n v="0"/>
    <n v="0"/>
    <n v="11"/>
    <n v="2"/>
    <n v="3052.66"/>
    <n v="5"/>
    <n v="0"/>
    <n v="0.8100453775383607"/>
    <n v="0.1899546224616393"/>
    <x v="4"/>
  </r>
  <r>
    <n v="8"/>
    <n v="49"/>
    <n v="0"/>
    <n v="1"/>
    <n v="1"/>
    <n v="7"/>
    <n v="2"/>
    <n v="3000"/>
    <n v="7"/>
    <n v="0"/>
    <n v="0.81006291249567242"/>
    <n v="0.18993708750432761"/>
    <x v="4"/>
  </r>
  <r>
    <n v="14"/>
    <n v="74"/>
    <n v="0"/>
    <n v="1"/>
    <n v="3"/>
    <n v="8"/>
    <n v="0"/>
    <n v="8000"/>
    <n v="13"/>
    <n v="0"/>
    <n v="0.81015409335035793"/>
    <n v="0.1898459066496421"/>
    <x v="4"/>
  </r>
  <r>
    <n v="6"/>
    <n v="46"/>
    <n v="2"/>
    <n v="0"/>
    <n v="2"/>
    <n v="6"/>
    <n v="0"/>
    <n v="6544.99"/>
    <n v="1"/>
    <n v="0"/>
    <n v="0.81020939118466295"/>
    <n v="0.18979060881533699"/>
    <x v="4"/>
  </r>
  <r>
    <n v="4"/>
    <n v="36"/>
    <n v="2"/>
    <n v="0"/>
    <n v="1"/>
    <n v="7"/>
    <n v="3"/>
    <n v="0.01"/>
    <n v="5"/>
    <n v="0"/>
    <n v="0.81024020922655615"/>
    <n v="0.18975979077344379"/>
    <x v="4"/>
  </r>
  <r>
    <n v="9"/>
    <n v="46"/>
    <n v="3"/>
    <n v="2"/>
    <n v="1"/>
    <n v="7"/>
    <n v="3"/>
    <n v="0.01"/>
    <n v="5"/>
    <n v="0"/>
    <n v="0.81030294788846169"/>
    <n v="0.18969705211153831"/>
    <x v="4"/>
  </r>
  <r>
    <n v="7"/>
    <n v="49"/>
    <n v="1"/>
    <n v="0"/>
    <n v="3"/>
    <n v="3"/>
    <n v="2"/>
    <n v="3000"/>
    <n v="13"/>
    <n v="0"/>
    <n v="0.81032813142341031"/>
    <n v="0.1896718685765896"/>
    <x v="4"/>
  </r>
  <r>
    <n v="9"/>
    <n v="55"/>
    <n v="4"/>
    <n v="0"/>
    <n v="2"/>
    <n v="6"/>
    <n v="3"/>
    <n v="0.01"/>
    <n v="4"/>
    <n v="0"/>
    <n v="0.81047732728233934"/>
    <n v="0.1895226727176606"/>
    <x v="4"/>
  </r>
  <r>
    <n v="11"/>
    <n v="60"/>
    <n v="5"/>
    <n v="1"/>
    <n v="1"/>
    <n v="12"/>
    <n v="0"/>
    <n v="6000"/>
    <n v="2"/>
    <n v="0"/>
    <n v="0.81056854538779677"/>
    <n v="0.1894314546122032"/>
    <x v="4"/>
  </r>
  <r>
    <n v="8"/>
    <n v="52"/>
    <n v="3"/>
    <n v="0"/>
    <n v="3"/>
    <n v="3"/>
    <n v="2"/>
    <n v="2470.56"/>
    <n v="4"/>
    <n v="0"/>
    <n v="0.8106089602124662"/>
    <n v="0.1893910397875338"/>
    <x v="4"/>
  </r>
  <r>
    <n v="6"/>
    <n v="33"/>
    <n v="5"/>
    <n v="2"/>
    <n v="1"/>
    <n v="7"/>
    <n v="3"/>
    <n v="0.01"/>
    <n v="4"/>
    <n v="0"/>
    <n v="0.81073014727594372"/>
    <n v="0.18926985272405619"/>
    <x v="4"/>
  </r>
  <r>
    <n v="10"/>
    <n v="60"/>
    <n v="3"/>
    <n v="0"/>
    <n v="2"/>
    <n v="1"/>
    <n v="3"/>
    <n v="0.01"/>
    <n v="5"/>
    <n v="0"/>
    <n v="0.81080230230874828"/>
    <n v="0.1891976976912518"/>
    <x v="4"/>
  </r>
  <r>
    <n v="11"/>
    <n v="67"/>
    <n v="1"/>
    <n v="0"/>
    <n v="1"/>
    <n v="7"/>
    <n v="1"/>
    <n v="20333.63"/>
    <n v="11"/>
    <n v="0"/>
    <n v="0.81094195871725638"/>
    <n v="0.18905804128274359"/>
    <x v="4"/>
  </r>
  <r>
    <n v="5"/>
    <n v="40"/>
    <n v="4"/>
    <n v="0"/>
    <n v="0"/>
    <n v="4"/>
    <n v="3"/>
    <n v="0.01"/>
    <n v="5"/>
    <n v="0"/>
    <n v="0.81096027351020361"/>
    <n v="0.18903972648979639"/>
    <x v="4"/>
  </r>
  <r>
    <n v="11"/>
    <n v="59"/>
    <n v="5"/>
    <n v="1"/>
    <n v="1"/>
    <n v="7"/>
    <n v="2"/>
    <n v="2000"/>
    <n v="5"/>
    <n v="0"/>
    <n v="0.81102747804357023"/>
    <n v="0.18897252195642969"/>
    <x v="4"/>
  </r>
  <r>
    <n v="12"/>
    <n v="70"/>
    <n v="4"/>
    <n v="0"/>
    <n v="1"/>
    <n v="7"/>
    <n v="0"/>
    <n v="8000"/>
    <n v="4"/>
    <n v="0"/>
    <n v="0.81102911828581614"/>
    <n v="0.18897088171418391"/>
    <x v="4"/>
  </r>
  <r>
    <n v="14"/>
    <n v="77"/>
    <n v="1"/>
    <n v="0"/>
    <n v="3"/>
    <n v="8"/>
    <n v="2"/>
    <n v="4884.25"/>
    <n v="11"/>
    <n v="0"/>
    <n v="0.81122244365820606"/>
    <n v="0.188777556341794"/>
    <x v="4"/>
  </r>
  <r>
    <n v="12"/>
    <n v="71"/>
    <n v="1"/>
    <n v="0"/>
    <n v="3"/>
    <n v="3"/>
    <n v="0"/>
    <n v="18000"/>
    <n v="3"/>
    <n v="0"/>
    <n v="0.81123293494321236"/>
    <n v="0.1887670650567877"/>
    <x v="4"/>
  </r>
  <r>
    <n v="8"/>
    <n v="46"/>
    <n v="3"/>
    <n v="1"/>
    <n v="3"/>
    <n v="8"/>
    <n v="3"/>
    <n v="0.01"/>
    <n v="8"/>
    <n v="0"/>
    <n v="0.81133445265104132"/>
    <n v="0.18866554734895871"/>
    <x v="4"/>
  </r>
  <r>
    <n v="9"/>
    <n v="56"/>
    <n v="3"/>
    <n v="0"/>
    <n v="1"/>
    <n v="7"/>
    <n v="3"/>
    <n v="0.01"/>
    <n v="8"/>
    <n v="0"/>
    <n v="0.81136595773606535"/>
    <n v="0.1886340422639346"/>
    <x v="4"/>
  </r>
  <r>
    <n v="8"/>
    <n v="51"/>
    <n v="4"/>
    <n v="0"/>
    <n v="3"/>
    <n v="3"/>
    <n v="3"/>
    <n v="0.01"/>
    <n v="11"/>
    <n v="0"/>
    <n v="0.81139458033759193"/>
    <n v="0.18860541966240801"/>
    <x v="4"/>
  </r>
  <r>
    <n v="6"/>
    <n v="40"/>
    <n v="1"/>
    <n v="1"/>
    <n v="1"/>
    <n v="5"/>
    <n v="3"/>
    <n v="0.01"/>
    <n v="8"/>
    <n v="0"/>
    <n v="0.81140607395918651"/>
    <n v="0.18859392604081349"/>
    <x v="4"/>
  </r>
  <r>
    <n v="8"/>
    <n v="51"/>
    <n v="5"/>
    <n v="0"/>
    <n v="1"/>
    <n v="7"/>
    <n v="3"/>
    <n v="0.01"/>
    <n v="4"/>
    <n v="0"/>
    <n v="0.81145674963541703"/>
    <n v="0.188543250364583"/>
    <x v="4"/>
  </r>
  <r>
    <n v="5"/>
    <n v="38"/>
    <n v="2"/>
    <n v="1"/>
    <n v="2"/>
    <n v="1"/>
    <n v="0"/>
    <n v="17555.03"/>
    <n v="4"/>
    <n v="0"/>
    <n v="0.81155279051535156"/>
    <n v="0.18844720948464841"/>
    <x v="4"/>
  </r>
  <r>
    <n v="6"/>
    <n v="44"/>
    <n v="3"/>
    <n v="0"/>
    <n v="3"/>
    <n v="3"/>
    <n v="2"/>
    <n v="3000"/>
    <n v="3"/>
    <n v="1"/>
    <n v="0.8116010906102552"/>
    <n v="0.1883989093897448"/>
    <x v="4"/>
  </r>
  <r>
    <n v="9"/>
    <n v="57"/>
    <n v="4"/>
    <n v="0"/>
    <n v="0"/>
    <n v="4"/>
    <n v="2"/>
    <n v="1035"/>
    <n v="2"/>
    <n v="0"/>
    <n v="0.81191852098599804"/>
    <n v="0.18808147901400191"/>
    <x v="4"/>
  </r>
  <r>
    <n v="8"/>
    <n v="46"/>
    <n v="3"/>
    <n v="1"/>
    <n v="3"/>
    <n v="8"/>
    <n v="3"/>
    <n v="0.01"/>
    <n v="5"/>
    <n v="0"/>
    <n v="0.81192386034013853"/>
    <n v="0.1880761396598615"/>
    <x v="4"/>
  </r>
  <r>
    <n v="10"/>
    <n v="51"/>
    <n v="1"/>
    <n v="2"/>
    <n v="3"/>
    <n v="8"/>
    <n v="2"/>
    <n v="4000"/>
    <n v="9"/>
    <n v="0"/>
    <n v="0.81203216193068872"/>
    <n v="0.18796783806931119"/>
    <x v="4"/>
  </r>
  <r>
    <n v="7"/>
    <n v="47"/>
    <n v="4"/>
    <n v="0"/>
    <n v="1"/>
    <n v="12"/>
    <n v="3"/>
    <n v="0.01"/>
    <n v="4"/>
    <n v="0"/>
    <n v="0.81209338048607371"/>
    <n v="0.18790661951392629"/>
    <x v="4"/>
  </r>
  <r>
    <n v="8"/>
    <n v="45"/>
    <n v="2"/>
    <n v="2"/>
    <n v="1"/>
    <n v="12"/>
    <n v="0"/>
    <n v="19731.810000000001"/>
    <n v="12"/>
    <n v="0"/>
    <n v="0.81212004654269943"/>
    <n v="0.18787995345730049"/>
    <x v="4"/>
  </r>
  <r>
    <n v="7"/>
    <n v="45"/>
    <n v="2"/>
    <n v="1"/>
    <n v="0"/>
    <n v="4"/>
    <n v="2"/>
    <n v="4217.08"/>
    <n v="3"/>
    <n v="0"/>
    <n v="0.81219432761659249"/>
    <n v="0.18780567238340751"/>
    <x v="4"/>
  </r>
  <r>
    <n v="8"/>
    <n v="52"/>
    <n v="4"/>
    <n v="0"/>
    <n v="3"/>
    <n v="3"/>
    <n v="2"/>
    <n v="3000"/>
    <n v="15"/>
    <n v="0"/>
    <n v="0.81233976999744106"/>
    <n v="0.18766023000255891"/>
    <x v="4"/>
  </r>
  <r>
    <n v="10"/>
    <n v="51"/>
    <n v="1"/>
    <n v="2"/>
    <n v="3"/>
    <n v="8"/>
    <n v="2"/>
    <n v="5000"/>
    <n v="6"/>
    <n v="0"/>
    <n v="0.81237442777438107"/>
    <n v="0.1876255722256189"/>
    <x v="4"/>
  </r>
  <r>
    <n v="10"/>
    <n v="60"/>
    <n v="1"/>
    <n v="0"/>
    <n v="3"/>
    <n v="8"/>
    <n v="3"/>
    <n v="0.01"/>
    <n v="8"/>
    <n v="0"/>
    <n v="0.81239111926175323"/>
    <n v="0.18760888073824669"/>
    <x v="4"/>
  </r>
  <r>
    <n v="9"/>
    <n v="51"/>
    <n v="2"/>
    <n v="1"/>
    <n v="3"/>
    <n v="3"/>
    <n v="3"/>
    <n v="0.01"/>
    <n v="5"/>
    <n v="0"/>
    <n v="0.81244282503966381"/>
    <n v="0.18755717496033619"/>
    <x v="4"/>
  </r>
  <r>
    <n v="6"/>
    <n v="39"/>
    <n v="5"/>
    <n v="1"/>
    <n v="0"/>
    <n v="2"/>
    <n v="3"/>
    <n v="0.01"/>
    <n v="1"/>
    <n v="0"/>
    <n v="0.81280054772703592"/>
    <n v="0.18719945227296411"/>
    <x v="4"/>
  </r>
  <r>
    <n v="9"/>
    <n v="58"/>
    <n v="3"/>
    <n v="0"/>
    <n v="3"/>
    <n v="3"/>
    <n v="0"/>
    <n v="10000"/>
    <n v="6"/>
    <n v="0"/>
    <n v="0.81284035481632089"/>
    <n v="0.18715964518367911"/>
    <x v="4"/>
  </r>
  <r>
    <n v="7"/>
    <n v="49"/>
    <n v="5"/>
    <n v="0"/>
    <n v="1"/>
    <n v="12"/>
    <n v="0"/>
    <n v="6000"/>
    <n v="4"/>
    <n v="0"/>
    <n v="0.81284728933697969"/>
    <n v="0.18715271066302031"/>
    <x v="4"/>
  </r>
  <r>
    <n v="7"/>
    <n v="51"/>
    <n v="0"/>
    <n v="0"/>
    <n v="3"/>
    <n v="3"/>
    <n v="0"/>
    <n v="6000"/>
    <n v="1"/>
    <n v="0"/>
    <n v="0.81286772709966282"/>
    <n v="0.18713227290033721"/>
    <x v="4"/>
  </r>
  <r>
    <n v="7"/>
    <n v="50"/>
    <n v="2"/>
    <n v="0"/>
    <n v="0"/>
    <n v="4"/>
    <n v="2"/>
    <n v="4000"/>
    <n v="4"/>
    <n v="0"/>
    <n v="0.81287331176006949"/>
    <n v="0.18712668823993051"/>
    <x v="4"/>
  </r>
  <r>
    <n v="8"/>
    <n v="56"/>
    <n v="2"/>
    <n v="0"/>
    <n v="0"/>
    <n v="2"/>
    <n v="0"/>
    <n v="12000"/>
    <n v="8"/>
    <n v="0"/>
    <n v="0.81291797386384579"/>
    <n v="0.18708202613615421"/>
    <x v="4"/>
  </r>
  <r>
    <n v="9"/>
    <n v="59"/>
    <n v="0"/>
    <n v="0"/>
    <n v="3"/>
    <n v="8"/>
    <n v="1"/>
    <n v="36000"/>
    <n v="14"/>
    <n v="0"/>
    <n v="0.8129243216772557"/>
    <n v="0.18707567832274419"/>
    <x v="4"/>
  </r>
  <r>
    <n v="3"/>
    <n v="28"/>
    <n v="1"/>
    <n v="1"/>
    <n v="3"/>
    <n v="3"/>
    <n v="2"/>
    <n v="550"/>
    <n v="7"/>
    <n v="1"/>
    <n v="0.81313272129364933"/>
    <n v="0.1868672787063507"/>
    <x v="4"/>
  </r>
  <r>
    <n v="10"/>
    <n v="51"/>
    <n v="1"/>
    <n v="2"/>
    <n v="3"/>
    <n v="8"/>
    <n v="2"/>
    <n v="300"/>
    <n v="8"/>
    <n v="0"/>
    <n v="0.81313576194778525"/>
    <n v="0.1868642380522148"/>
    <x v="4"/>
  </r>
  <r>
    <n v="11"/>
    <n v="66"/>
    <n v="1"/>
    <n v="0"/>
    <n v="1"/>
    <n v="7"/>
    <n v="2"/>
    <n v="5000"/>
    <n v="5"/>
    <n v="0"/>
    <n v="0.81342140565427978"/>
    <n v="0.18657859434572019"/>
    <x v="4"/>
  </r>
  <r>
    <n v="11"/>
    <n v="54"/>
    <n v="3"/>
    <n v="2"/>
    <n v="3"/>
    <n v="3"/>
    <n v="3"/>
    <n v="0.01"/>
    <n v="11"/>
    <n v="0"/>
    <n v="0.81353078439872162"/>
    <n v="0.18646921560127841"/>
    <x v="4"/>
  </r>
  <r>
    <n v="8"/>
    <n v="47"/>
    <n v="4"/>
    <n v="1"/>
    <n v="3"/>
    <n v="3"/>
    <n v="2"/>
    <n v="50.01"/>
    <n v="8"/>
    <n v="0"/>
    <n v="0.81361022756609336"/>
    <n v="0.18638977243390659"/>
    <x v="4"/>
  </r>
  <r>
    <n v="7"/>
    <n v="48"/>
    <n v="1"/>
    <n v="0"/>
    <n v="3"/>
    <n v="8"/>
    <n v="3"/>
    <n v="0.01"/>
    <n v="8"/>
    <n v="0"/>
    <n v="0.8137688540730319"/>
    <n v="0.1862311459269681"/>
    <x v="4"/>
  </r>
  <r>
    <n v="10"/>
    <n v="58"/>
    <n v="1"/>
    <n v="1"/>
    <n v="3"/>
    <n v="3"/>
    <n v="0"/>
    <n v="6000"/>
    <n v="4"/>
    <n v="1"/>
    <n v="0.81407996378613867"/>
    <n v="0.18592003621386141"/>
    <x v="4"/>
  </r>
  <r>
    <n v="9"/>
    <n v="58"/>
    <n v="1"/>
    <n v="0"/>
    <n v="1"/>
    <n v="7"/>
    <n v="2"/>
    <n v="5000"/>
    <n v="5"/>
    <n v="0"/>
    <n v="0.81433686943706129"/>
    <n v="0.18566313056293871"/>
    <x v="4"/>
  </r>
  <r>
    <n v="8"/>
    <n v="53"/>
    <n v="2"/>
    <n v="0"/>
    <n v="3"/>
    <n v="3"/>
    <n v="2"/>
    <n v="5000"/>
    <n v="8"/>
    <n v="1"/>
    <n v="0.81436514438258123"/>
    <n v="0.1856348556174188"/>
    <x v="4"/>
  </r>
  <r>
    <n v="10"/>
    <n v="58"/>
    <n v="1"/>
    <n v="1"/>
    <n v="3"/>
    <n v="3"/>
    <n v="0"/>
    <n v="6994.34"/>
    <n v="1"/>
    <n v="0"/>
    <n v="0.8144207313534928"/>
    <n v="0.18557926864650709"/>
    <x v="4"/>
  </r>
  <r>
    <n v="4"/>
    <n v="31"/>
    <n v="5"/>
    <n v="1"/>
    <n v="0"/>
    <n v="4"/>
    <n v="3"/>
    <n v="0.01"/>
    <n v="5"/>
    <n v="1"/>
    <n v="0.81460176914988969"/>
    <n v="0.1853982308501104"/>
    <x v="4"/>
  </r>
  <r>
    <n v="10"/>
    <n v="64"/>
    <n v="3"/>
    <n v="0"/>
    <n v="0"/>
    <n v="2"/>
    <n v="0"/>
    <n v="19597.32"/>
    <n v="5"/>
    <n v="0"/>
    <n v="0.81471695022304047"/>
    <n v="0.18528304977695961"/>
    <x v="4"/>
  </r>
  <r>
    <n v="13"/>
    <n v="68"/>
    <n v="4"/>
    <n v="1"/>
    <n v="1"/>
    <n v="7"/>
    <n v="2"/>
    <n v="500"/>
    <n v="9"/>
    <n v="1"/>
    <n v="0.81484499881168515"/>
    <n v="0.1851550011883149"/>
    <x v="4"/>
  </r>
  <r>
    <n v="9"/>
    <n v="55"/>
    <n v="4"/>
    <n v="0"/>
    <n v="3"/>
    <n v="8"/>
    <n v="3"/>
    <n v="0.01"/>
    <n v="11"/>
    <n v="0"/>
    <n v="0.81510410358259766"/>
    <n v="0.18489589641740231"/>
    <x v="4"/>
  </r>
  <r>
    <n v="9"/>
    <n v="51"/>
    <n v="4"/>
    <n v="1"/>
    <n v="1"/>
    <n v="7"/>
    <n v="3"/>
    <n v="0.01"/>
    <n v="5"/>
    <n v="1"/>
    <n v="0.81512704985566065"/>
    <n v="0.1848729501443393"/>
    <x v="4"/>
  </r>
  <r>
    <n v="7"/>
    <n v="46"/>
    <n v="1"/>
    <n v="1"/>
    <n v="3"/>
    <n v="3"/>
    <n v="0"/>
    <n v="6000"/>
    <n v="5"/>
    <n v="0"/>
    <n v="0.81525464342678922"/>
    <n v="0.18474535657321081"/>
    <x v="4"/>
  </r>
  <r>
    <n v="8"/>
    <n v="53"/>
    <n v="5"/>
    <n v="0"/>
    <n v="0"/>
    <n v="4"/>
    <n v="2"/>
    <n v="3187"/>
    <n v="5"/>
    <n v="0"/>
    <n v="0.81525528719126217"/>
    <n v="0.1847447128087378"/>
    <x v="4"/>
  </r>
  <r>
    <n v="9"/>
    <n v="51"/>
    <n v="3"/>
    <n v="1"/>
    <n v="1"/>
    <n v="12"/>
    <n v="3"/>
    <n v="0.01"/>
    <n v="5"/>
    <n v="0"/>
    <n v="0.81529950279979291"/>
    <n v="0.18470049720020709"/>
    <x v="4"/>
  </r>
  <r>
    <n v="5"/>
    <n v="41"/>
    <n v="3"/>
    <n v="0"/>
    <n v="0"/>
    <n v="4"/>
    <n v="3"/>
    <n v="0.01"/>
    <n v="9"/>
    <n v="0"/>
    <n v="0.81532552499964472"/>
    <n v="0.1846744750003553"/>
    <x v="4"/>
  </r>
  <r>
    <n v="11"/>
    <n v="66"/>
    <n v="3"/>
    <n v="0"/>
    <n v="3"/>
    <n v="8"/>
    <n v="0"/>
    <n v="6655.53"/>
    <n v="14"/>
    <n v="1"/>
    <n v="0.81533938377368143"/>
    <n v="0.18466061622631849"/>
    <x v="4"/>
  </r>
  <r>
    <n v="8"/>
    <n v="44"/>
    <n v="2"/>
    <n v="2"/>
    <n v="1"/>
    <n v="5"/>
    <n v="2"/>
    <n v="4500"/>
    <n v="6"/>
    <n v="0"/>
    <n v="0.81540495856286832"/>
    <n v="0.18459504143713171"/>
    <x v="4"/>
  </r>
  <r>
    <n v="8"/>
    <n v="53"/>
    <n v="2"/>
    <n v="0"/>
    <n v="1"/>
    <n v="5"/>
    <n v="3"/>
    <n v="0.01"/>
    <n v="7"/>
    <n v="0"/>
    <n v="0.81549359083973272"/>
    <n v="0.1845064091602672"/>
    <x v="4"/>
  </r>
  <r>
    <n v="8"/>
    <n v="54"/>
    <n v="0"/>
    <n v="0"/>
    <n v="3"/>
    <n v="3"/>
    <n v="2"/>
    <n v="4884.25"/>
    <n v="8"/>
    <n v="0"/>
    <n v="0.81553467004018587"/>
    <n v="0.1844653299598141"/>
    <x v="4"/>
  </r>
  <r>
    <n v="7"/>
    <n v="49"/>
    <n v="5"/>
    <n v="0"/>
    <n v="0"/>
    <n v="4"/>
    <n v="2"/>
    <n v="500"/>
    <n v="9"/>
    <n v="0"/>
    <n v="0.81558804875460567"/>
    <n v="0.18441195124539439"/>
    <x v="4"/>
  </r>
  <r>
    <n v="10"/>
    <n v="61"/>
    <n v="2"/>
    <n v="0"/>
    <n v="3"/>
    <n v="3"/>
    <n v="2"/>
    <n v="60"/>
    <n v="2"/>
    <n v="0"/>
    <n v="0.81581601262491277"/>
    <n v="0.1841839873750872"/>
    <x v="4"/>
  </r>
  <r>
    <n v="9"/>
    <n v="54"/>
    <n v="2"/>
    <n v="1"/>
    <n v="0"/>
    <n v="4"/>
    <n v="2"/>
    <n v="3250"/>
    <n v="27"/>
    <n v="0"/>
    <n v="0.81595497333622957"/>
    <n v="0.18404502666377051"/>
    <x v="4"/>
  </r>
  <r>
    <n v="8"/>
    <n v="55"/>
    <n v="0"/>
    <n v="0"/>
    <n v="3"/>
    <n v="8"/>
    <n v="0"/>
    <n v="6000"/>
    <n v="4"/>
    <n v="0"/>
    <n v="0.81597664272695025"/>
    <n v="0.18402335727304969"/>
    <x v="4"/>
  </r>
  <r>
    <n v="3"/>
    <n v="32"/>
    <n v="2"/>
    <n v="0"/>
    <n v="3"/>
    <n v="3"/>
    <n v="3"/>
    <n v="0.01"/>
    <n v="5"/>
    <n v="1"/>
    <n v="0.81600097319957843"/>
    <n v="0.18399902680042149"/>
    <x v="4"/>
  </r>
  <r>
    <n v="6"/>
    <n v="33"/>
    <n v="5"/>
    <n v="2"/>
    <n v="3"/>
    <n v="3"/>
    <n v="3"/>
    <n v="0.01"/>
    <n v="4"/>
    <n v="0"/>
    <n v="0.81602619373090513"/>
    <n v="0.1839738062690949"/>
    <x v="4"/>
  </r>
  <r>
    <n v="12"/>
    <n v="66"/>
    <n v="5"/>
    <n v="1"/>
    <n v="0"/>
    <n v="4"/>
    <n v="0"/>
    <n v="10000"/>
    <n v="4"/>
    <n v="1"/>
    <n v="0.81603004286992642"/>
    <n v="0.18396995713007361"/>
    <x v="4"/>
  </r>
  <r>
    <n v="8"/>
    <n v="49"/>
    <n v="3"/>
    <n v="1"/>
    <n v="0"/>
    <n v="4"/>
    <n v="2"/>
    <n v="420.01"/>
    <n v="5"/>
    <n v="0"/>
    <n v="0.81625238927884536"/>
    <n v="0.18374761072115459"/>
    <x v="4"/>
  </r>
  <r>
    <n v="8"/>
    <n v="56"/>
    <n v="1"/>
    <n v="0"/>
    <n v="1"/>
    <n v="7"/>
    <n v="0"/>
    <n v="16000"/>
    <n v="8"/>
    <n v="0"/>
    <n v="0.81640938718485512"/>
    <n v="0.18359061281514491"/>
    <x v="4"/>
  </r>
  <r>
    <n v="7"/>
    <n v="51"/>
    <n v="2"/>
    <n v="0"/>
    <n v="0"/>
    <n v="10"/>
    <n v="1"/>
    <n v="20513.95"/>
    <n v="3"/>
    <n v="0"/>
    <n v="0.816463019618903"/>
    <n v="0.183536980381097"/>
    <x v="4"/>
  </r>
  <r>
    <n v="9"/>
    <n v="57"/>
    <n v="4"/>
    <n v="0"/>
    <n v="0"/>
    <n v="11"/>
    <n v="2"/>
    <n v="500"/>
    <n v="9"/>
    <n v="0"/>
    <n v="0.81650078614160648"/>
    <n v="0.18349921385839349"/>
    <x v="4"/>
  </r>
  <r>
    <n v="7"/>
    <n v="52"/>
    <n v="1"/>
    <n v="0"/>
    <n v="1"/>
    <n v="5"/>
    <n v="0"/>
    <n v="8853.34"/>
    <n v="10"/>
    <n v="1"/>
    <n v="0.81655738436349856"/>
    <n v="0.18344261563650141"/>
    <x v="4"/>
  </r>
  <r>
    <n v="9"/>
    <n v="51"/>
    <n v="5"/>
    <n v="1"/>
    <n v="3"/>
    <n v="3"/>
    <n v="2"/>
    <n v="1519.91"/>
    <n v="9"/>
    <n v="0"/>
    <n v="0.81656837829224271"/>
    <n v="0.18343162170775729"/>
    <x v="4"/>
  </r>
  <r>
    <n v="7"/>
    <n v="51"/>
    <n v="1"/>
    <n v="0"/>
    <n v="3"/>
    <n v="3"/>
    <n v="0"/>
    <n v="6000"/>
    <n v="2"/>
    <n v="0"/>
    <n v="0.81664346994997516"/>
    <n v="0.18335653005002481"/>
    <x v="4"/>
  </r>
  <r>
    <n v="8"/>
    <n v="48"/>
    <n v="2"/>
    <n v="1"/>
    <n v="1"/>
    <n v="7"/>
    <n v="3"/>
    <n v="0.01"/>
    <n v="5"/>
    <n v="0"/>
    <n v="0.81671764589642748"/>
    <n v="0.18328235410357249"/>
    <x v="4"/>
  </r>
  <r>
    <n v="8"/>
    <n v="51"/>
    <n v="5"/>
    <n v="0"/>
    <n v="3"/>
    <n v="3"/>
    <n v="3"/>
    <n v="0.01"/>
    <n v="4"/>
    <n v="0"/>
    <n v="0.81673706054293116"/>
    <n v="0.1832629394570689"/>
    <x v="4"/>
  </r>
  <r>
    <n v="7"/>
    <n v="51"/>
    <n v="1"/>
    <n v="0"/>
    <n v="0"/>
    <n v="2"/>
    <n v="2"/>
    <n v="4250"/>
    <n v="1"/>
    <n v="0"/>
    <n v="0.8168476072428057"/>
    <n v="0.18315239275719419"/>
    <x v="4"/>
  </r>
  <r>
    <n v="6"/>
    <n v="45"/>
    <n v="5"/>
    <n v="0"/>
    <n v="0"/>
    <n v="4"/>
    <n v="2"/>
    <n v="1000"/>
    <n v="4"/>
    <n v="0"/>
    <n v="0.8168842114740722"/>
    <n v="0.1831157885259278"/>
    <x v="5"/>
  </r>
  <r>
    <n v="8"/>
    <n v="48"/>
    <n v="2"/>
    <n v="1"/>
    <n v="1"/>
    <n v="7"/>
    <n v="3"/>
    <n v="0.01"/>
    <n v="2"/>
    <n v="0"/>
    <n v="0.81729402319897893"/>
    <n v="0.18270597680102099"/>
    <x v="5"/>
  </r>
  <r>
    <n v="12"/>
    <n v="71"/>
    <n v="2"/>
    <n v="0"/>
    <n v="3"/>
    <n v="3"/>
    <n v="0"/>
    <n v="6053.35"/>
    <n v="7"/>
    <n v="1"/>
    <n v="0.81734357607907082"/>
    <n v="0.18265642392092921"/>
    <x v="5"/>
  </r>
  <r>
    <n v="8"/>
    <n v="51"/>
    <n v="1"/>
    <n v="1"/>
    <n v="1"/>
    <n v="7"/>
    <n v="0"/>
    <n v="9500.01"/>
    <n v="7"/>
    <n v="0"/>
    <n v="0.81736152760531489"/>
    <n v="0.18263847239468509"/>
    <x v="5"/>
  </r>
  <r>
    <n v="11"/>
    <n v="69"/>
    <n v="1"/>
    <n v="0"/>
    <n v="0"/>
    <n v="2"/>
    <n v="0"/>
    <n v="9000"/>
    <n v="8"/>
    <n v="0"/>
    <n v="0.8173838923920389"/>
    <n v="0.18261610760796121"/>
    <x v="5"/>
  </r>
  <r>
    <n v="10"/>
    <n v="63"/>
    <n v="2"/>
    <n v="0"/>
    <n v="3"/>
    <n v="3"/>
    <n v="0"/>
    <n v="8400"/>
    <n v="8"/>
    <n v="0"/>
    <n v="0.81748944912953214"/>
    <n v="0.1825105508704678"/>
    <x v="5"/>
  </r>
  <r>
    <n v="12"/>
    <n v="58"/>
    <n v="4"/>
    <n v="2"/>
    <n v="3"/>
    <n v="3"/>
    <n v="3"/>
    <n v="0.01"/>
    <n v="8"/>
    <n v="0"/>
    <n v="0.81761228466547697"/>
    <n v="0.18238771533452311"/>
    <x v="5"/>
  </r>
  <r>
    <n v="5"/>
    <n v="35"/>
    <n v="3"/>
    <n v="1"/>
    <n v="3"/>
    <n v="3"/>
    <n v="3"/>
    <n v="0.01"/>
    <n v="8"/>
    <n v="0"/>
    <n v="0.81764844949894178"/>
    <n v="0.1823515505010582"/>
    <x v="5"/>
  </r>
  <r>
    <n v="8"/>
    <n v="51"/>
    <n v="3"/>
    <n v="0"/>
    <n v="4"/>
    <n v="9"/>
    <n v="3"/>
    <n v="0.01"/>
    <n v="4"/>
    <n v="1"/>
    <n v="0.81804407714356742"/>
    <n v="0.18195592285643261"/>
    <x v="5"/>
  </r>
  <r>
    <n v="8"/>
    <n v="49"/>
    <n v="2"/>
    <n v="1"/>
    <n v="1"/>
    <n v="7"/>
    <n v="2"/>
    <n v="2000"/>
    <n v="8"/>
    <n v="0"/>
    <n v="0.81807360614308888"/>
    <n v="0.1819263938569112"/>
    <x v="5"/>
  </r>
  <r>
    <n v="14"/>
    <n v="79"/>
    <n v="1"/>
    <n v="0"/>
    <n v="2"/>
    <n v="1"/>
    <n v="2"/>
    <n v="50"/>
    <n v="22"/>
    <n v="0"/>
    <n v="0.8183372710483261"/>
    <n v="0.18166272895167401"/>
    <x v="5"/>
  </r>
  <r>
    <n v="10"/>
    <n v="59"/>
    <n v="0"/>
    <n v="1"/>
    <n v="3"/>
    <n v="3"/>
    <n v="0"/>
    <n v="6000.01"/>
    <n v="8"/>
    <n v="0"/>
    <n v="0.81838930667272813"/>
    <n v="0.18161069332727189"/>
    <x v="5"/>
  </r>
  <r>
    <n v="10"/>
    <n v="55"/>
    <n v="5"/>
    <n v="1"/>
    <n v="1"/>
    <n v="7"/>
    <n v="3"/>
    <n v="0.01"/>
    <n v="6"/>
    <n v="0"/>
    <n v="0.81841873755311723"/>
    <n v="0.1815812624468828"/>
    <x v="5"/>
  </r>
  <r>
    <n v="12"/>
    <n v="72"/>
    <n v="0"/>
    <n v="0"/>
    <n v="3"/>
    <n v="3"/>
    <n v="0"/>
    <n v="6107.64"/>
    <n v="7"/>
    <n v="0"/>
    <n v="0.81845781432264841"/>
    <n v="0.18154218567735159"/>
    <x v="5"/>
  </r>
  <r>
    <n v="6"/>
    <n v="39"/>
    <n v="3"/>
    <n v="1"/>
    <n v="3"/>
    <n v="3"/>
    <n v="3"/>
    <n v="0.01"/>
    <n v="1"/>
    <n v="0"/>
    <n v="0.81853743296420689"/>
    <n v="0.18146256703579311"/>
    <x v="5"/>
  </r>
  <r>
    <n v="8"/>
    <n v="46"/>
    <n v="2"/>
    <n v="2"/>
    <n v="0"/>
    <n v="10"/>
    <n v="0"/>
    <n v="6053.35"/>
    <n v="12"/>
    <n v="0"/>
    <n v="0.81856483890510456"/>
    <n v="0.18143516109489549"/>
    <x v="5"/>
  </r>
  <r>
    <n v="11"/>
    <n v="67"/>
    <n v="5"/>
    <n v="0"/>
    <n v="0"/>
    <n v="4"/>
    <n v="0"/>
    <n v="6000"/>
    <n v="2"/>
    <n v="1"/>
    <n v="0.81863227182978737"/>
    <n v="0.18136772817021271"/>
    <x v="5"/>
  </r>
  <r>
    <n v="9"/>
    <n v="60"/>
    <n v="2"/>
    <n v="0"/>
    <n v="0"/>
    <n v="10"/>
    <n v="0"/>
    <n v="18000"/>
    <n v="2"/>
    <n v="0"/>
    <n v="0.81876756269893525"/>
    <n v="0.18123243730106481"/>
    <x v="5"/>
  </r>
  <r>
    <n v="8"/>
    <n v="53"/>
    <n v="1"/>
    <n v="0"/>
    <n v="3"/>
    <n v="3"/>
    <n v="3"/>
    <n v="0.01"/>
    <n v="5"/>
    <n v="0"/>
    <n v="0.81880134331038779"/>
    <n v="0.18119865668961219"/>
    <x v="5"/>
  </r>
  <r>
    <n v="8"/>
    <n v="48"/>
    <n v="2"/>
    <n v="1"/>
    <n v="3"/>
    <n v="3"/>
    <n v="3"/>
    <n v="0.01"/>
    <n v="20"/>
    <n v="0"/>
    <n v="0.81904360664993048"/>
    <n v="0.18095639335006961"/>
    <x v="5"/>
  </r>
  <r>
    <n v="12"/>
    <n v="58"/>
    <n v="5"/>
    <n v="2"/>
    <n v="3"/>
    <n v="8"/>
    <n v="2"/>
    <n v="4035"/>
    <n v="3"/>
    <n v="0"/>
    <n v="0.81904873525688449"/>
    <n v="0.18095126474311549"/>
    <x v="5"/>
  </r>
  <r>
    <n v="11"/>
    <n v="65"/>
    <n v="4"/>
    <n v="0"/>
    <n v="3"/>
    <n v="3"/>
    <n v="2"/>
    <n v="4391.5600000000004"/>
    <n v="18"/>
    <n v="0"/>
    <n v="0.8191051751344407"/>
    <n v="0.18089482486555919"/>
    <x v="5"/>
  </r>
  <r>
    <n v="8"/>
    <n v="53"/>
    <n v="3"/>
    <n v="0"/>
    <n v="3"/>
    <n v="3"/>
    <n v="2"/>
    <n v="4000"/>
    <n v="5"/>
    <n v="0"/>
    <n v="0.81911990702877668"/>
    <n v="0.18088009297122329"/>
    <x v="5"/>
  </r>
  <r>
    <n v="10"/>
    <n v="51"/>
    <n v="5"/>
    <n v="2"/>
    <n v="0"/>
    <n v="11"/>
    <n v="2"/>
    <n v="420"/>
    <n v="5"/>
    <n v="0"/>
    <n v="0.81914739772687362"/>
    <n v="0.18085260227312641"/>
    <x v="5"/>
  </r>
  <r>
    <n v="11"/>
    <n v="68"/>
    <n v="2"/>
    <n v="0"/>
    <n v="0"/>
    <n v="10"/>
    <n v="0"/>
    <n v="12000"/>
    <n v="2"/>
    <n v="0"/>
    <n v="0.81930469359183933"/>
    <n v="0.1806953064081607"/>
    <x v="5"/>
  </r>
  <r>
    <n v="6"/>
    <n v="47"/>
    <n v="0"/>
    <n v="0"/>
    <n v="0"/>
    <n v="2"/>
    <n v="3"/>
    <n v="0.01"/>
    <n v="8"/>
    <n v="0"/>
    <n v="0.81961140865097981"/>
    <n v="0.18038859134902019"/>
    <x v="5"/>
  </r>
  <r>
    <n v="4"/>
    <n v="36"/>
    <n v="3"/>
    <n v="0"/>
    <n v="3"/>
    <n v="3"/>
    <n v="3"/>
    <n v="0.01"/>
    <n v="4"/>
    <n v="0"/>
    <n v="0.81966077007499216"/>
    <n v="0.18033922992500781"/>
    <x v="5"/>
  </r>
  <r>
    <n v="6"/>
    <n v="34"/>
    <n v="3"/>
    <n v="2"/>
    <n v="4"/>
    <n v="9"/>
    <n v="2"/>
    <n v="1000"/>
    <n v="2"/>
    <n v="0"/>
    <n v="0.81987940727990027"/>
    <n v="0.1801205927200997"/>
    <x v="5"/>
  </r>
  <r>
    <n v="12"/>
    <n v="58"/>
    <n v="5"/>
    <n v="2"/>
    <n v="1"/>
    <n v="12"/>
    <n v="3"/>
    <n v="0.01"/>
    <n v="8"/>
    <n v="0"/>
    <n v="0.82040763128962368"/>
    <n v="0.17959236871037629"/>
    <x v="5"/>
  </r>
  <r>
    <n v="4"/>
    <n v="37"/>
    <n v="2"/>
    <n v="0"/>
    <n v="3"/>
    <n v="8"/>
    <n v="2"/>
    <n v="1000"/>
    <n v="12"/>
    <n v="0"/>
    <n v="0.82045986172917584"/>
    <n v="0.17954013827082421"/>
    <x v="5"/>
  </r>
  <r>
    <n v="16"/>
    <n v="76"/>
    <n v="4"/>
    <n v="2"/>
    <n v="4"/>
    <n v="9"/>
    <n v="0"/>
    <n v="6000"/>
    <n v="14"/>
    <n v="1"/>
    <n v="0.8206066932593582"/>
    <n v="0.1793933067406418"/>
    <x v="5"/>
  </r>
  <r>
    <n v="7"/>
    <n v="44"/>
    <n v="2"/>
    <n v="1"/>
    <n v="1"/>
    <n v="12"/>
    <n v="3"/>
    <n v="0.01"/>
    <n v="7"/>
    <n v="0"/>
    <n v="0.82085698438899124"/>
    <n v="0.1791430156110087"/>
    <x v="5"/>
  </r>
  <r>
    <n v="8"/>
    <n v="57"/>
    <n v="1"/>
    <n v="0"/>
    <n v="0"/>
    <n v="4"/>
    <n v="0"/>
    <n v="10000"/>
    <n v="4"/>
    <n v="0"/>
    <n v="0.82087630164796377"/>
    <n v="0.1791236983520362"/>
    <x v="5"/>
  </r>
  <r>
    <n v="8"/>
    <n v="47"/>
    <n v="3"/>
    <n v="1"/>
    <n v="3"/>
    <n v="8"/>
    <n v="3"/>
    <n v="0.01"/>
    <n v="5"/>
    <n v="0"/>
    <n v="0.82094061868100532"/>
    <n v="0.17905938131899471"/>
    <x v="5"/>
  </r>
  <r>
    <n v="8"/>
    <n v="52"/>
    <n v="4"/>
    <n v="0"/>
    <n v="3"/>
    <n v="3"/>
    <n v="3"/>
    <n v="0.01"/>
    <n v="8"/>
    <n v="0"/>
    <n v="0.82099836032720674"/>
    <n v="0.17900163967279331"/>
    <x v="5"/>
  </r>
  <r>
    <n v="10"/>
    <n v="63"/>
    <n v="4"/>
    <n v="0"/>
    <n v="1"/>
    <n v="7"/>
    <n v="0"/>
    <n v="6000"/>
    <n v="4"/>
    <n v="1"/>
    <n v="0.82144240013596936"/>
    <n v="0.17855759986403061"/>
    <x v="5"/>
  </r>
  <r>
    <n v="5"/>
    <n v="42"/>
    <n v="0"/>
    <n v="0"/>
    <n v="3"/>
    <n v="8"/>
    <n v="2"/>
    <n v="300"/>
    <n v="11"/>
    <n v="0"/>
    <n v="0.82148279999982421"/>
    <n v="0.17851720000017579"/>
    <x v="5"/>
  </r>
  <r>
    <n v="7"/>
    <n v="51"/>
    <n v="5"/>
    <n v="0"/>
    <n v="1"/>
    <n v="7"/>
    <n v="1"/>
    <n v="49910.05"/>
    <n v="10"/>
    <n v="0"/>
    <n v="0.8215771475669682"/>
    <n v="0.1784228524330318"/>
    <x v="5"/>
  </r>
  <r>
    <n v="14"/>
    <n v="72"/>
    <n v="2"/>
    <n v="1"/>
    <n v="4"/>
    <n v="9"/>
    <n v="2"/>
    <n v="1400"/>
    <n v="4"/>
    <n v="1"/>
    <n v="0.82162648098188684"/>
    <n v="0.17837351901811321"/>
    <x v="5"/>
  </r>
  <r>
    <n v="8"/>
    <n v="48"/>
    <n v="4"/>
    <n v="1"/>
    <n v="1"/>
    <n v="12"/>
    <n v="2"/>
    <n v="2500"/>
    <n v="4"/>
    <n v="0"/>
    <n v="0.82164952642500433"/>
    <n v="0.1783504735749957"/>
    <x v="5"/>
  </r>
  <r>
    <n v="12"/>
    <n v="70"/>
    <n v="1"/>
    <n v="0"/>
    <n v="3"/>
    <n v="8"/>
    <n v="2"/>
    <n v="4884.25"/>
    <n v="8"/>
    <n v="0"/>
    <n v="0.82172012168143882"/>
    <n v="0.17827987831856121"/>
    <x v="5"/>
  </r>
  <r>
    <n v="9"/>
    <n v="61"/>
    <n v="2"/>
    <n v="0"/>
    <n v="0"/>
    <n v="2"/>
    <n v="0"/>
    <n v="7500"/>
    <n v="12"/>
    <n v="1"/>
    <n v="0.82176407688597708"/>
    <n v="0.178235923114023"/>
    <x v="5"/>
  </r>
  <r>
    <n v="5"/>
    <n v="44"/>
    <n v="3"/>
    <n v="0"/>
    <n v="0"/>
    <n v="4"/>
    <n v="0"/>
    <n v="6000"/>
    <n v="5"/>
    <n v="1"/>
    <n v="0.8218529683652126"/>
    <n v="0.1781470316347874"/>
    <x v="5"/>
  </r>
  <r>
    <n v="8"/>
    <n v="53"/>
    <n v="2"/>
    <n v="0"/>
    <n v="3"/>
    <n v="3"/>
    <n v="3"/>
    <n v="0.01"/>
    <n v="9"/>
    <n v="0"/>
    <n v="0.82191993630078142"/>
    <n v="0.17808006369921861"/>
    <x v="5"/>
  </r>
  <r>
    <n v="11"/>
    <n v="66"/>
    <n v="5"/>
    <n v="0"/>
    <n v="0"/>
    <n v="2"/>
    <n v="2"/>
    <n v="1000"/>
    <n v="4"/>
    <n v="0"/>
    <n v="0.8219279773853978"/>
    <n v="0.1780720226146022"/>
    <x v="5"/>
  </r>
  <r>
    <n v="6"/>
    <n v="46"/>
    <n v="4"/>
    <n v="0"/>
    <n v="0"/>
    <n v="4"/>
    <n v="2"/>
    <n v="2200"/>
    <n v="1"/>
    <n v="0"/>
    <n v="0.82217765440964663"/>
    <n v="0.1778223455903534"/>
    <x v="5"/>
  </r>
  <r>
    <n v="6"/>
    <n v="48"/>
    <n v="2"/>
    <n v="0"/>
    <n v="0"/>
    <n v="10"/>
    <n v="0"/>
    <n v="6053.35"/>
    <n v="6"/>
    <n v="0"/>
    <n v="0.8221809100051739"/>
    <n v="0.1778190899948261"/>
    <x v="5"/>
  </r>
  <r>
    <n v="8"/>
    <n v="52"/>
    <n v="5"/>
    <n v="0"/>
    <n v="3"/>
    <n v="8"/>
    <n v="2"/>
    <n v="0.02"/>
    <n v="9"/>
    <n v="0"/>
    <n v="0.82223728828998111"/>
    <n v="0.17776271171001889"/>
    <x v="5"/>
  </r>
  <r>
    <n v="11"/>
    <n v="67"/>
    <n v="1"/>
    <n v="0"/>
    <n v="1"/>
    <n v="7"/>
    <n v="2"/>
    <n v="2400"/>
    <n v="9"/>
    <n v="0"/>
    <n v="0.82224311812232964"/>
    <n v="0.17775688187767039"/>
    <x v="5"/>
  </r>
  <r>
    <n v="8"/>
    <n v="49"/>
    <n v="0"/>
    <n v="1"/>
    <n v="3"/>
    <n v="3"/>
    <n v="3"/>
    <n v="0.01"/>
    <n v="8"/>
    <n v="0"/>
    <n v="0.82242593295128819"/>
    <n v="0.17757406704871179"/>
    <x v="5"/>
  </r>
  <r>
    <n v="8"/>
    <n v="56"/>
    <n v="1"/>
    <n v="0"/>
    <n v="3"/>
    <n v="3"/>
    <n v="0"/>
    <n v="15000"/>
    <n v="4"/>
    <n v="0"/>
    <n v="0.8225690132730229"/>
    <n v="0.1774309867269771"/>
    <x v="5"/>
  </r>
  <r>
    <n v="7"/>
    <n v="51"/>
    <n v="2"/>
    <n v="0"/>
    <n v="0"/>
    <n v="4"/>
    <n v="2"/>
    <n v="480"/>
    <n v="4"/>
    <n v="1"/>
    <n v="0.82268339664356549"/>
    <n v="0.17731660335643451"/>
    <x v="5"/>
  </r>
  <r>
    <n v="6"/>
    <n v="47"/>
    <n v="2"/>
    <n v="0"/>
    <n v="0"/>
    <n v="4"/>
    <n v="2"/>
    <n v="3000"/>
    <n v="3"/>
    <n v="0"/>
    <n v="0.82271934742262964"/>
    <n v="0.17728065257737041"/>
    <x v="5"/>
  </r>
  <r>
    <n v="12"/>
    <n v="70"/>
    <n v="5"/>
    <n v="0"/>
    <n v="0"/>
    <n v="4"/>
    <n v="2"/>
    <n v="1000"/>
    <n v="5"/>
    <n v="0"/>
    <n v="0.82290242634156452"/>
    <n v="0.17709757365843551"/>
    <x v="5"/>
  </r>
  <r>
    <n v="8"/>
    <n v="50"/>
    <n v="1"/>
    <n v="1"/>
    <n v="0"/>
    <n v="4"/>
    <n v="3"/>
    <n v="0.01"/>
    <n v="8"/>
    <n v="0"/>
    <n v="0.82340104915703272"/>
    <n v="0.17659895084296731"/>
    <x v="5"/>
  </r>
  <r>
    <n v="6"/>
    <n v="47"/>
    <n v="1"/>
    <n v="0"/>
    <n v="1"/>
    <n v="5"/>
    <n v="2"/>
    <n v="500"/>
    <n v="8"/>
    <n v="0"/>
    <n v="0.82347861328198002"/>
    <n v="0.17652138671802001"/>
    <x v="5"/>
  </r>
  <r>
    <n v="11"/>
    <n v="67"/>
    <n v="3"/>
    <n v="0"/>
    <n v="3"/>
    <n v="8"/>
    <n v="0"/>
    <n v="6668.37"/>
    <n v="18"/>
    <n v="1"/>
    <n v="0.82347889628538096"/>
    <n v="0.1765211037146191"/>
    <x v="5"/>
  </r>
  <r>
    <n v="6"/>
    <n v="48"/>
    <n v="1"/>
    <n v="0"/>
    <n v="3"/>
    <n v="3"/>
    <n v="0"/>
    <n v="6053.35"/>
    <n v="15"/>
    <n v="0"/>
    <n v="0.82348997412589764"/>
    <n v="0.17651002587410239"/>
    <x v="5"/>
  </r>
  <r>
    <n v="8"/>
    <n v="55"/>
    <n v="1"/>
    <n v="0"/>
    <n v="2"/>
    <n v="1"/>
    <n v="2"/>
    <n v="2700"/>
    <n v="5"/>
    <n v="0"/>
    <n v="0.82358526304055335"/>
    <n v="0.17641473695944671"/>
    <x v="5"/>
  </r>
  <r>
    <n v="9"/>
    <n v="60"/>
    <n v="1"/>
    <n v="0"/>
    <n v="3"/>
    <n v="3"/>
    <n v="1"/>
    <n v="36075"/>
    <n v="4"/>
    <n v="0"/>
    <n v="0.82359310172392297"/>
    <n v="0.176406898276077"/>
    <x v="5"/>
  </r>
  <r>
    <n v="9"/>
    <n v="59"/>
    <n v="1"/>
    <n v="0"/>
    <n v="0"/>
    <n v="4"/>
    <n v="3"/>
    <n v="0.01"/>
    <n v="8"/>
    <n v="0"/>
    <n v="0.82374557021340533"/>
    <n v="0.17625442978659461"/>
    <x v="5"/>
  </r>
  <r>
    <n v="7"/>
    <n v="51"/>
    <n v="1"/>
    <n v="0"/>
    <n v="2"/>
    <n v="1"/>
    <n v="2"/>
    <n v="3000"/>
    <n v="6"/>
    <n v="0"/>
    <n v="0.82376728521945741"/>
    <n v="0.17623271478054259"/>
    <x v="5"/>
  </r>
  <r>
    <n v="6"/>
    <n v="44"/>
    <n v="0"/>
    <n v="1"/>
    <n v="2"/>
    <n v="1"/>
    <n v="0"/>
    <n v="6000"/>
    <n v="5"/>
    <n v="0"/>
    <n v="0.82378212674127438"/>
    <n v="0.17621787325872559"/>
    <x v="5"/>
  </r>
  <r>
    <n v="6"/>
    <n v="48"/>
    <n v="1"/>
    <n v="0"/>
    <n v="1"/>
    <n v="12"/>
    <n v="0"/>
    <n v="9000"/>
    <n v="2"/>
    <n v="0"/>
    <n v="0.8241451003498278"/>
    <n v="0.1758548996501722"/>
    <x v="5"/>
  </r>
  <r>
    <n v="5"/>
    <n v="40"/>
    <n v="2"/>
    <n v="0"/>
    <n v="4"/>
    <n v="9"/>
    <n v="3"/>
    <n v="0.01"/>
    <n v="5"/>
    <n v="0"/>
    <n v="0.8241618598276732"/>
    <n v="0.17583814017232691"/>
    <x v="5"/>
  </r>
  <r>
    <n v="10"/>
    <n v="51"/>
    <n v="2"/>
    <n v="2"/>
    <n v="3"/>
    <n v="8"/>
    <n v="3"/>
    <n v="0.01"/>
    <n v="5"/>
    <n v="0"/>
    <n v="0.82421476000004257"/>
    <n v="0.17578523999995749"/>
    <x v="5"/>
  </r>
  <r>
    <n v="13"/>
    <n v="74"/>
    <n v="4"/>
    <n v="0"/>
    <n v="0"/>
    <n v="11"/>
    <n v="2"/>
    <n v="3000"/>
    <n v="2"/>
    <n v="1"/>
    <n v="0.82431664125876458"/>
    <n v="0.17568335874123539"/>
    <x v="5"/>
  </r>
  <r>
    <n v="8"/>
    <n v="56"/>
    <n v="2"/>
    <n v="0"/>
    <n v="3"/>
    <n v="3"/>
    <n v="0"/>
    <n v="10300"/>
    <n v="21"/>
    <n v="0"/>
    <n v="0.82431787108494015"/>
    <n v="0.17568212891505991"/>
    <x v="5"/>
  </r>
  <r>
    <n v="10"/>
    <n v="58"/>
    <n v="3"/>
    <n v="1"/>
    <n v="3"/>
    <n v="8"/>
    <n v="0"/>
    <n v="12632.66"/>
    <n v="4"/>
    <n v="0"/>
    <n v="0.82435079596307603"/>
    <n v="0.17564920403692399"/>
    <x v="5"/>
  </r>
  <r>
    <n v="10"/>
    <n v="64"/>
    <n v="1"/>
    <n v="0"/>
    <n v="0"/>
    <n v="4"/>
    <n v="2"/>
    <n v="5000"/>
    <n v="8"/>
    <n v="0"/>
    <n v="0.82448253905504842"/>
    <n v="0.1755174609449516"/>
    <x v="5"/>
  </r>
  <r>
    <n v="8"/>
    <n v="56"/>
    <n v="1"/>
    <n v="0"/>
    <n v="3"/>
    <n v="3"/>
    <n v="0"/>
    <n v="6000"/>
    <n v="5"/>
    <n v="0"/>
    <n v="0.82448968013332724"/>
    <n v="0.17551031986667279"/>
    <x v="5"/>
  </r>
  <r>
    <n v="8"/>
    <n v="54"/>
    <n v="2"/>
    <n v="0"/>
    <n v="0"/>
    <n v="11"/>
    <n v="3"/>
    <n v="0.01"/>
    <n v="9"/>
    <n v="0"/>
    <n v="0.82465719836830753"/>
    <n v="0.1753428016316925"/>
    <x v="5"/>
  </r>
  <r>
    <n v="9"/>
    <n v="51"/>
    <n v="1"/>
    <n v="2"/>
    <n v="1"/>
    <n v="5"/>
    <n v="0"/>
    <n v="6000"/>
    <n v="4"/>
    <n v="0"/>
    <n v="0.82474721685576757"/>
    <n v="0.1752527831442324"/>
    <x v="5"/>
  </r>
  <r>
    <n v="9"/>
    <n v="60"/>
    <n v="1"/>
    <n v="0"/>
    <n v="3"/>
    <n v="3"/>
    <n v="0"/>
    <n v="6000"/>
    <n v="1"/>
    <n v="0"/>
    <n v="0.82479603038770133"/>
    <n v="0.1752039696122987"/>
    <x v="5"/>
  </r>
  <r>
    <n v="8"/>
    <n v="51"/>
    <n v="1"/>
    <n v="1"/>
    <n v="0"/>
    <n v="2"/>
    <n v="2"/>
    <n v="420"/>
    <n v="1"/>
    <n v="0"/>
    <n v="0.8253558397840095"/>
    <n v="0.17464416021599061"/>
    <x v="5"/>
  </r>
  <r>
    <n v="5"/>
    <n v="35"/>
    <n v="5"/>
    <n v="1"/>
    <n v="3"/>
    <n v="3"/>
    <n v="3"/>
    <n v="0.01"/>
    <n v="8"/>
    <n v="0"/>
    <n v="0.82536116109661051"/>
    <n v="0.17463883890338949"/>
    <x v="5"/>
  </r>
  <r>
    <n v="8"/>
    <n v="51"/>
    <n v="2"/>
    <n v="1"/>
    <n v="3"/>
    <n v="3"/>
    <n v="0"/>
    <n v="10600"/>
    <n v="9"/>
    <n v="0"/>
    <n v="0.82569581208302756"/>
    <n v="0.1743041879169725"/>
    <x v="5"/>
  </r>
  <r>
    <n v="7"/>
    <n v="53"/>
    <n v="1"/>
    <n v="0"/>
    <n v="0"/>
    <n v="11"/>
    <n v="0"/>
    <n v="15000"/>
    <n v="4"/>
    <n v="0"/>
    <n v="0.82573366800024672"/>
    <n v="0.1742663319997533"/>
    <x v="5"/>
  </r>
  <r>
    <n v="10"/>
    <n v="64"/>
    <n v="1"/>
    <n v="0"/>
    <n v="3"/>
    <n v="8"/>
    <n v="0"/>
    <n v="12247.7"/>
    <n v="7"/>
    <n v="0"/>
    <n v="0.82575473060655336"/>
    <n v="0.17424526939344659"/>
    <x v="5"/>
  </r>
  <r>
    <n v="9"/>
    <n v="52"/>
    <n v="1"/>
    <n v="1"/>
    <n v="4"/>
    <n v="9"/>
    <n v="3"/>
    <n v="0.01"/>
    <n v="8"/>
    <n v="0"/>
    <n v="0.82597121184305378"/>
    <n v="0.1740287881569462"/>
    <x v="5"/>
  </r>
  <r>
    <n v="8"/>
    <n v="56"/>
    <n v="2"/>
    <n v="0"/>
    <n v="0"/>
    <n v="4"/>
    <n v="2"/>
    <n v="1000"/>
    <n v="30"/>
    <n v="0"/>
    <n v="0.82599964801281922"/>
    <n v="0.17400035198718081"/>
    <x v="5"/>
  </r>
  <r>
    <n v="11"/>
    <n v="62"/>
    <n v="2"/>
    <n v="1"/>
    <n v="1"/>
    <n v="7"/>
    <n v="2"/>
    <n v="420"/>
    <n v="6"/>
    <n v="0"/>
    <n v="0.82629227468966726"/>
    <n v="0.17370772531033271"/>
    <x v="5"/>
  </r>
  <r>
    <n v="5"/>
    <n v="38"/>
    <n v="0"/>
    <n v="1"/>
    <n v="3"/>
    <n v="3"/>
    <n v="2"/>
    <n v="3000"/>
    <n v="3"/>
    <n v="1"/>
    <n v="0.82630881791435173"/>
    <n v="0.17369118208564821"/>
    <x v="5"/>
  </r>
  <r>
    <n v="9"/>
    <n v="61"/>
    <n v="0"/>
    <n v="0"/>
    <n v="3"/>
    <n v="3"/>
    <n v="0"/>
    <n v="12150"/>
    <n v="11"/>
    <n v="0"/>
    <n v="0.82639591889765529"/>
    <n v="0.17360408110234471"/>
    <x v="5"/>
  </r>
  <r>
    <n v="10"/>
    <n v="65"/>
    <n v="1"/>
    <n v="0"/>
    <n v="1"/>
    <n v="5"/>
    <n v="0"/>
    <n v="6000"/>
    <n v="1"/>
    <n v="1"/>
    <n v="0.82642030296849889"/>
    <n v="0.17357969703150111"/>
    <x v="5"/>
  </r>
  <r>
    <n v="5"/>
    <n v="43"/>
    <n v="0"/>
    <n v="0"/>
    <n v="3"/>
    <n v="3"/>
    <n v="2"/>
    <n v="50"/>
    <n v="10"/>
    <n v="0"/>
    <n v="0.82647388995254401"/>
    <n v="0.17352611004745599"/>
    <x v="5"/>
  </r>
  <r>
    <n v="15"/>
    <n v="74"/>
    <n v="2"/>
    <n v="2"/>
    <n v="0"/>
    <n v="4"/>
    <n v="2"/>
    <n v="2000"/>
    <n v="1"/>
    <n v="1"/>
    <n v="0.82653331890257731"/>
    <n v="0.17346668109742269"/>
    <x v="5"/>
  </r>
  <r>
    <n v="10"/>
    <n v="64"/>
    <n v="1"/>
    <n v="0"/>
    <n v="3"/>
    <n v="8"/>
    <n v="0"/>
    <n v="10000"/>
    <n v="5"/>
    <n v="0"/>
    <n v="0.8266438216402141"/>
    <n v="0.1733561783597859"/>
    <x v="5"/>
  </r>
  <r>
    <n v="8"/>
    <n v="48"/>
    <n v="5"/>
    <n v="1"/>
    <n v="1"/>
    <n v="5"/>
    <n v="3"/>
    <n v="0.01"/>
    <n v="5"/>
    <n v="0"/>
    <n v="0.82666796088650518"/>
    <n v="0.17333203911349479"/>
    <x v="5"/>
  </r>
  <r>
    <n v="9"/>
    <n v="58"/>
    <n v="0"/>
    <n v="0"/>
    <n v="3"/>
    <n v="8"/>
    <n v="3"/>
    <n v="0.01"/>
    <n v="8"/>
    <n v="0"/>
    <n v="0.826738867270853"/>
    <n v="0.173261132729147"/>
    <x v="5"/>
  </r>
  <r>
    <n v="9"/>
    <n v="60"/>
    <n v="5"/>
    <n v="0"/>
    <n v="0"/>
    <n v="4"/>
    <n v="0"/>
    <n v="11000.01"/>
    <n v="4"/>
    <n v="0"/>
    <n v="0.82674031480124155"/>
    <n v="0.17325968519875851"/>
    <x v="5"/>
  </r>
  <r>
    <n v="14"/>
    <n v="74"/>
    <n v="1"/>
    <n v="1"/>
    <n v="3"/>
    <n v="3"/>
    <n v="2"/>
    <n v="2000"/>
    <n v="1"/>
    <n v="0"/>
    <n v="0.82678024037864251"/>
    <n v="0.17321975962135749"/>
    <x v="5"/>
  </r>
  <r>
    <n v="7"/>
    <n v="51"/>
    <n v="2"/>
    <n v="0"/>
    <n v="0"/>
    <n v="2"/>
    <n v="3"/>
    <n v="0.01"/>
    <n v="7"/>
    <n v="0"/>
    <n v="0.82701032008957764"/>
    <n v="0.17298967991042241"/>
    <x v="5"/>
  </r>
  <r>
    <n v="8"/>
    <n v="55"/>
    <n v="0"/>
    <n v="0"/>
    <n v="1"/>
    <n v="7"/>
    <n v="3"/>
    <n v="0.01"/>
    <n v="7"/>
    <n v="0"/>
    <n v="0.82704540987054975"/>
    <n v="0.1729545901294503"/>
    <x v="5"/>
  </r>
  <r>
    <n v="8"/>
    <n v="50"/>
    <n v="2"/>
    <n v="1"/>
    <n v="2"/>
    <n v="1"/>
    <n v="2"/>
    <n v="3150"/>
    <n v="2"/>
    <n v="0"/>
    <n v="0.82705093524013229"/>
    <n v="0.17294906475986779"/>
    <x v="5"/>
  </r>
  <r>
    <n v="8"/>
    <n v="55"/>
    <n v="1"/>
    <n v="0"/>
    <n v="3"/>
    <n v="3"/>
    <n v="2"/>
    <n v="500"/>
    <n v="19"/>
    <n v="0"/>
    <n v="0.8271821678806246"/>
    <n v="0.17281783211937529"/>
    <x v="5"/>
  </r>
  <r>
    <n v="10"/>
    <n v="65"/>
    <n v="0"/>
    <n v="0"/>
    <n v="1"/>
    <n v="12"/>
    <n v="0"/>
    <n v="6000"/>
    <n v="6"/>
    <n v="0"/>
    <n v="0.82723621781635326"/>
    <n v="0.17276378218364671"/>
    <x v="5"/>
  </r>
  <r>
    <n v="8"/>
    <n v="48"/>
    <n v="5"/>
    <n v="1"/>
    <n v="0"/>
    <n v="11"/>
    <n v="3"/>
    <n v="0.01"/>
    <n v="5"/>
    <n v="0"/>
    <n v="0.82731352637496203"/>
    <n v="0.17268647362503789"/>
    <x v="5"/>
  </r>
  <r>
    <n v="13"/>
    <n v="74"/>
    <n v="2"/>
    <n v="0"/>
    <n v="3"/>
    <n v="8"/>
    <n v="2"/>
    <n v="600"/>
    <n v="1"/>
    <n v="0"/>
    <n v="0.82738755118322849"/>
    <n v="0.17261244881677151"/>
    <x v="5"/>
  </r>
  <r>
    <n v="7"/>
    <n v="50"/>
    <n v="3"/>
    <n v="0"/>
    <n v="1"/>
    <n v="12"/>
    <n v="2"/>
    <n v="0.02"/>
    <n v="9"/>
    <n v="0"/>
    <n v="0.82742004533255353"/>
    <n v="0.17257995466744641"/>
    <x v="5"/>
  </r>
  <r>
    <n v="7"/>
    <n v="52"/>
    <n v="2"/>
    <n v="0"/>
    <n v="1"/>
    <n v="12"/>
    <n v="0"/>
    <n v="6000"/>
    <n v="6"/>
    <n v="0"/>
    <n v="0.82744999590699042"/>
    <n v="0.17255000409300961"/>
    <x v="5"/>
  </r>
  <r>
    <n v="9"/>
    <n v="59"/>
    <n v="2"/>
    <n v="0"/>
    <n v="0"/>
    <n v="4"/>
    <n v="3"/>
    <n v="0.01"/>
    <n v="8"/>
    <n v="1"/>
    <n v="0.82753193422703464"/>
    <n v="0.17246806577296539"/>
    <x v="5"/>
  </r>
  <r>
    <n v="13"/>
    <n v="75"/>
    <n v="4"/>
    <n v="0"/>
    <n v="0"/>
    <n v="4"/>
    <n v="2"/>
    <n v="1000"/>
    <n v="4"/>
    <n v="0"/>
    <n v="0.82753702038978116"/>
    <n v="0.17246297961021889"/>
    <x v="5"/>
  </r>
  <r>
    <n v="10"/>
    <n v="65"/>
    <n v="0"/>
    <n v="0"/>
    <n v="3"/>
    <n v="3"/>
    <n v="0"/>
    <n v="10000"/>
    <n v="5"/>
    <n v="1"/>
    <n v="0.82756245462538158"/>
    <n v="0.17243754537461839"/>
    <x v="5"/>
  </r>
  <r>
    <n v="7"/>
    <n v="51"/>
    <n v="2"/>
    <n v="0"/>
    <n v="1"/>
    <n v="7"/>
    <n v="2"/>
    <n v="3000"/>
    <n v="8"/>
    <n v="0"/>
    <n v="0.82783022996381317"/>
    <n v="0.17216977003618689"/>
    <x v="5"/>
  </r>
  <r>
    <n v="8"/>
    <n v="49"/>
    <n v="3"/>
    <n v="1"/>
    <n v="1"/>
    <n v="5"/>
    <n v="3"/>
    <n v="0.01"/>
    <n v="4"/>
    <n v="0"/>
    <n v="0.82793292603134461"/>
    <n v="0.17206707396865531"/>
    <x v="5"/>
  </r>
  <r>
    <n v="8"/>
    <n v="54"/>
    <n v="3"/>
    <n v="0"/>
    <n v="3"/>
    <n v="3"/>
    <n v="2"/>
    <n v="300.01"/>
    <n v="9"/>
    <n v="1"/>
    <n v="0.82798182696754374"/>
    <n v="0.1720181730324562"/>
    <x v="5"/>
  </r>
  <r>
    <n v="10"/>
    <n v="63"/>
    <n v="1"/>
    <n v="0"/>
    <n v="3"/>
    <n v="3"/>
    <n v="2"/>
    <n v="1100"/>
    <n v="9"/>
    <n v="0"/>
    <n v="0.82801546619927879"/>
    <n v="0.17198453380072121"/>
    <x v="5"/>
  </r>
  <r>
    <n v="6"/>
    <n v="44"/>
    <n v="5"/>
    <n v="0"/>
    <n v="4"/>
    <n v="9"/>
    <n v="2"/>
    <n v="0.02"/>
    <n v="8"/>
    <n v="0"/>
    <n v="0.82818555471982125"/>
    <n v="0.17181444528017881"/>
    <x v="5"/>
  </r>
  <r>
    <n v="8"/>
    <n v="50"/>
    <n v="5"/>
    <n v="1"/>
    <n v="1"/>
    <n v="12"/>
    <n v="0"/>
    <n v="6000"/>
    <n v="10"/>
    <n v="0"/>
    <n v="0.82818818147954498"/>
    <n v="0.17181181852045499"/>
    <x v="5"/>
  </r>
  <r>
    <n v="9"/>
    <n v="59"/>
    <n v="1"/>
    <n v="0"/>
    <n v="3"/>
    <n v="3"/>
    <n v="2"/>
    <n v="3000"/>
    <n v="8"/>
    <n v="0"/>
    <n v="0.8281927514736549"/>
    <n v="0.1718072485263451"/>
    <x v="5"/>
  </r>
  <r>
    <n v="10"/>
    <n v="62"/>
    <n v="3"/>
    <n v="0"/>
    <n v="3"/>
    <n v="3"/>
    <n v="2"/>
    <n v="1000"/>
    <n v="2"/>
    <n v="0"/>
    <n v="0.8282414730438401"/>
    <n v="0.17175852695616001"/>
    <x v="5"/>
  </r>
  <r>
    <n v="9"/>
    <n v="60"/>
    <n v="1"/>
    <n v="0"/>
    <n v="3"/>
    <n v="8"/>
    <n v="0"/>
    <n v="6220"/>
    <n v="3"/>
    <n v="1"/>
    <n v="0.82831156477613532"/>
    <n v="0.1716884352238647"/>
    <x v="5"/>
  </r>
  <r>
    <n v="9"/>
    <n v="59"/>
    <n v="1"/>
    <n v="0"/>
    <n v="3"/>
    <n v="3"/>
    <n v="2"/>
    <n v="50"/>
    <n v="11"/>
    <n v="0"/>
    <n v="0.82832048757782828"/>
    <n v="0.17167951242217169"/>
    <x v="5"/>
  </r>
  <r>
    <n v="8"/>
    <n v="43"/>
    <n v="4"/>
    <n v="2"/>
    <n v="3"/>
    <n v="3"/>
    <n v="3"/>
    <n v="0.01"/>
    <n v="7"/>
    <n v="1"/>
    <n v="0.82832453073250811"/>
    <n v="0.17167546926749189"/>
    <x v="5"/>
  </r>
  <r>
    <n v="6"/>
    <n v="45"/>
    <n v="5"/>
    <n v="0"/>
    <n v="0"/>
    <n v="11"/>
    <n v="3"/>
    <n v="0.01"/>
    <n v="8"/>
    <n v="0"/>
    <n v="0.82839392527421862"/>
    <n v="0.1716060747257814"/>
    <x v="5"/>
  </r>
  <r>
    <n v="9"/>
    <n v="59"/>
    <n v="5"/>
    <n v="0"/>
    <n v="3"/>
    <n v="3"/>
    <n v="0"/>
    <n v="5200"/>
    <n v="16"/>
    <n v="0"/>
    <n v="0.82867059243851604"/>
    <n v="0.17132940756148399"/>
    <x v="5"/>
  </r>
  <r>
    <n v="7"/>
    <n v="51"/>
    <n v="2"/>
    <n v="0"/>
    <n v="1"/>
    <n v="7"/>
    <n v="2"/>
    <n v="1000"/>
    <n v="5"/>
    <n v="0"/>
    <n v="0.8288366514818164"/>
    <n v="0.17116334851818349"/>
    <x v="5"/>
  </r>
  <r>
    <n v="7"/>
    <n v="52"/>
    <n v="2"/>
    <n v="0"/>
    <n v="3"/>
    <n v="3"/>
    <n v="0"/>
    <n v="6000"/>
    <n v="2"/>
    <n v="0"/>
    <n v="0.82923937915897294"/>
    <n v="0.17076062084102711"/>
    <x v="5"/>
  </r>
  <r>
    <n v="12"/>
    <n v="66"/>
    <n v="2"/>
    <n v="1"/>
    <n v="3"/>
    <n v="3"/>
    <n v="2"/>
    <n v="1000"/>
    <n v="12"/>
    <n v="0"/>
    <n v="0.82960061331396562"/>
    <n v="0.17039938668603441"/>
    <x v="5"/>
  </r>
  <r>
    <n v="7"/>
    <n v="49"/>
    <n v="5"/>
    <n v="0"/>
    <n v="1"/>
    <n v="7"/>
    <n v="3"/>
    <n v="0.01"/>
    <n v="4"/>
    <n v="0"/>
    <n v="0.82961096385391875"/>
    <n v="0.17038903614608131"/>
    <x v="5"/>
  </r>
  <r>
    <n v="10"/>
    <n v="63"/>
    <n v="1"/>
    <n v="0"/>
    <n v="1"/>
    <n v="7"/>
    <n v="3"/>
    <n v="0.01"/>
    <n v="8"/>
    <n v="0"/>
    <n v="0.82974264773909934"/>
    <n v="0.17025735226090061"/>
    <x v="5"/>
  </r>
  <r>
    <n v="8"/>
    <n v="48"/>
    <n v="5"/>
    <n v="1"/>
    <n v="3"/>
    <n v="8"/>
    <n v="2"/>
    <n v="2000.01"/>
    <n v="8"/>
    <n v="0"/>
    <n v="0.82982998265455499"/>
    <n v="0.17017001734544501"/>
    <x v="5"/>
  </r>
  <r>
    <n v="10"/>
    <n v="65"/>
    <n v="2"/>
    <n v="0"/>
    <n v="0"/>
    <n v="10"/>
    <n v="0"/>
    <n v="6000"/>
    <n v="2"/>
    <n v="0"/>
    <n v="0.82984181823804948"/>
    <n v="0.17015818176195049"/>
    <x v="5"/>
  </r>
  <r>
    <n v="8"/>
    <n v="50"/>
    <n v="3"/>
    <n v="1"/>
    <n v="0"/>
    <n v="2"/>
    <n v="3"/>
    <n v="0.01"/>
    <n v="5"/>
    <n v="0"/>
    <n v="0.82991758004321159"/>
    <n v="0.17008241995678841"/>
    <x v="5"/>
  </r>
  <r>
    <n v="10"/>
    <n v="61"/>
    <n v="2"/>
    <n v="1"/>
    <n v="0"/>
    <n v="4"/>
    <n v="0"/>
    <n v="15969.54"/>
    <n v="6"/>
    <n v="0"/>
    <n v="0.82993223413212214"/>
    <n v="0.17006776586787789"/>
    <x v="5"/>
  </r>
  <r>
    <n v="10"/>
    <n v="65"/>
    <n v="2"/>
    <n v="0"/>
    <n v="0"/>
    <n v="11"/>
    <n v="0"/>
    <n v="6053.35"/>
    <n v="5"/>
    <n v="0"/>
    <n v="0.83006033516230326"/>
    <n v="0.16993966483769679"/>
    <x v="5"/>
  </r>
  <r>
    <n v="13"/>
    <n v="76"/>
    <n v="6"/>
    <n v="0"/>
    <n v="1"/>
    <n v="5"/>
    <n v="0"/>
    <n v="17554.29"/>
    <n v="14"/>
    <n v="1"/>
    <n v="0.83025247209938091"/>
    <n v="0.16974752790061901"/>
    <x v="5"/>
  </r>
  <r>
    <n v="11"/>
    <n v="63"/>
    <n v="3"/>
    <n v="1"/>
    <n v="3"/>
    <n v="3"/>
    <n v="0"/>
    <n v="6000"/>
    <n v="3"/>
    <n v="0"/>
    <n v="0.8303040696292856"/>
    <n v="0.1696959303707144"/>
    <x v="5"/>
  </r>
  <r>
    <n v="10"/>
    <n v="59"/>
    <n v="3"/>
    <n v="1"/>
    <n v="0"/>
    <n v="2"/>
    <n v="2"/>
    <n v="4000"/>
    <n v="5"/>
    <n v="0"/>
    <n v="0.83043552524902131"/>
    <n v="0.16956447475097869"/>
    <x v="5"/>
  </r>
  <r>
    <n v="8"/>
    <n v="57"/>
    <n v="0"/>
    <n v="0"/>
    <n v="3"/>
    <n v="3"/>
    <n v="1"/>
    <n v="28408.17"/>
    <n v="5"/>
    <n v="0"/>
    <n v="0.8304534392630939"/>
    <n v="0.1695465607369061"/>
    <x v="5"/>
  </r>
  <r>
    <n v="7"/>
    <n v="52"/>
    <n v="2"/>
    <n v="0"/>
    <n v="0"/>
    <n v="4"/>
    <n v="2"/>
    <n v="5000"/>
    <n v="2"/>
    <n v="0"/>
    <n v="0.83062953642248805"/>
    <n v="0.16937046357751201"/>
    <x v="5"/>
  </r>
  <r>
    <n v="10"/>
    <n v="65"/>
    <n v="2"/>
    <n v="0"/>
    <n v="1"/>
    <n v="12"/>
    <n v="0"/>
    <n v="6053.35"/>
    <n v="28"/>
    <n v="0"/>
    <n v="0.83067415932263933"/>
    <n v="0.16932584067736059"/>
    <x v="5"/>
  </r>
  <r>
    <n v="5"/>
    <n v="44"/>
    <n v="2"/>
    <n v="0"/>
    <n v="0"/>
    <n v="4"/>
    <n v="2"/>
    <n v="4000"/>
    <n v="7"/>
    <n v="0"/>
    <n v="0.83080242577078955"/>
    <n v="0.16919757422921039"/>
    <x v="5"/>
  </r>
  <r>
    <n v="13"/>
    <n v="77"/>
    <n v="1"/>
    <n v="0"/>
    <n v="3"/>
    <n v="3"/>
    <n v="0"/>
    <n v="6000"/>
    <n v="5"/>
    <n v="0"/>
    <n v="0.83091580524810371"/>
    <n v="0.16908419475189629"/>
    <x v="5"/>
  </r>
  <r>
    <n v="9"/>
    <n v="50"/>
    <n v="1"/>
    <n v="2"/>
    <n v="1"/>
    <n v="7"/>
    <n v="2"/>
    <n v="2037.94"/>
    <n v="5"/>
    <n v="0"/>
    <n v="0.83100607595268927"/>
    <n v="0.1689939240473107"/>
    <x v="5"/>
  </r>
  <r>
    <n v="8"/>
    <n v="54"/>
    <n v="5"/>
    <n v="0"/>
    <n v="0"/>
    <n v="4"/>
    <n v="3"/>
    <n v="0.01"/>
    <n v="5"/>
    <n v="0"/>
    <n v="0.83115656778949942"/>
    <n v="0.1688434322105006"/>
    <x v="5"/>
  </r>
  <r>
    <n v="11"/>
    <n v="64"/>
    <n v="2"/>
    <n v="1"/>
    <n v="3"/>
    <n v="3"/>
    <n v="0"/>
    <n v="5466.49"/>
    <n v="25"/>
    <n v="0"/>
    <n v="0.8312122554975433"/>
    <n v="0.1687877445024567"/>
    <x v="5"/>
  </r>
  <r>
    <n v="8"/>
    <n v="54"/>
    <n v="5"/>
    <n v="0"/>
    <n v="0"/>
    <n v="4"/>
    <n v="3"/>
    <n v="0.01"/>
    <n v="4"/>
    <n v="0"/>
    <n v="0.83133683041275319"/>
    <n v="0.16866316958724681"/>
    <x v="5"/>
  </r>
  <r>
    <n v="9"/>
    <n v="55"/>
    <n v="3"/>
    <n v="1"/>
    <n v="0"/>
    <n v="2"/>
    <n v="2"/>
    <n v="1000"/>
    <n v="5"/>
    <n v="0"/>
    <n v="0.83153880253309831"/>
    <n v="0.16846119746690169"/>
    <x v="5"/>
  </r>
  <r>
    <n v="8"/>
    <n v="48"/>
    <n v="5"/>
    <n v="1"/>
    <n v="1"/>
    <n v="12"/>
    <n v="3"/>
    <n v="0.01"/>
    <n v="7"/>
    <n v="0"/>
    <n v="0.83174568535721183"/>
    <n v="0.1682543146427882"/>
    <x v="5"/>
  </r>
  <r>
    <n v="4"/>
    <n v="38"/>
    <n v="3"/>
    <n v="0"/>
    <n v="1"/>
    <n v="7"/>
    <n v="3"/>
    <n v="0.01"/>
    <n v="5"/>
    <n v="0"/>
    <n v="0.83176965671440906"/>
    <n v="0.168230343285591"/>
    <x v="5"/>
  </r>
  <r>
    <n v="8"/>
    <n v="57"/>
    <n v="0"/>
    <n v="0"/>
    <n v="3"/>
    <n v="3"/>
    <n v="1"/>
    <n v="25000"/>
    <n v="1"/>
    <n v="0"/>
    <n v="0.83194512354708006"/>
    <n v="0.16805487645292"/>
    <x v="5"/>
  </r>
  <r>
    <n v="6"/>
    <n v="49"/>
    <n v="1"/>
    <n v="0"/>
    <n v="1"/>
    <n v="12"/>
    <n v="0"/>
    <n v="7500"/>
    <n v="8"/>
    <n v="0"/>
    <n v="0.83195792690325887"/>
    <n v="0.16804207309674121"/>
    <x v="5"/>
  </r>
  <r>
    <n v="7"/>
    <n v="51"/>
    <n v="3"/>
    <n v="0"/>
    <n v="1"/>
    <n v="7"/>
    <n v="2"/>
    <n v="2250"/>
    <n v="6"/>
    <n v="0"/>
    <n v="0.8320754143792255"/>
    <n v="0.16792458562077439"/>
    <x v="5"/>
  </r>
  <r>
    <n v="8"/>
    <n v="55"/>
    <n v="3"/>
    <n v="0"/>
    <n v="0"/>
    <n v="4"/>
    <n v="3"/>
    <n v="0.01"/>
    <n v="5"/>
    <n v="0"/>
    <n v="0.832216057315882"/>
    <n v="0.167783942684118"/>
    <x v="5"/>
  </r>
  <r>
    <n v="7"/>
    <n v="50"/>
    <n v="5"/>
    <n v="0"/>
    <n v="4"/>
    <n v="9"/>
    <n v="0"/>
    <n v="6000"/>
    <n v="1"/>
    <n v="0"/>
    <n v="0.83222134619594501"/>
    <n v="0.16777865380405499"/>
    <x v="5"/>
  </r>
  <r>
    <n v="7"/>
    <n v="51"/>
    <n v="3"/>
    <n v="0"/>
    <n v="0"/>
    <n v="4"/>
    <n v="3"/>
    <n v="0.01"/>
    <n v="7"/>
    <n v="0"/>
    <n v="0.8322791084253518"/>
    <n v="0.16772089157464831"/>
    <x v="5"/>
  </r>
  <r>
    <n v="6"/>
    <n v="42"/>
    <n v="3"/>
    <n v="1"/>
    <n v="0"/>
    <n v="4"/>
    <n v="3"/>
    <n v="0.01"/>
    <n v="5"/>
    <n v="0"/>
    <n v="0.83230688840400058"/>
    <n v="0.16769311159599939"/>
    <x v="5"/>
  </r>
  <r>
    <n v="6"/>
    <n v="48"/>
    <n v="5"/>
    <n v="0"/>
    <n v="2"/>
    <n v="0"/>
    <n v="0"/>
    <n v="8000"/>
    <n v="11"/>
    <n v="0"/>
    <n v="0.83236669960983711"/>
    <n v="0.1676333003901628"/>
    <x v="5"/>
  </r>
  <r>
    <n v="6"/>
    <n v="41"/>
    <n v="4"/>
    <n v="1"/>
    <n v="3"/>
    <n v="3"/>
    <n v="2"/>
    <n v="3000"/>
    <n v="1"/>
    <n v="0"/>
    <n v="0.83261493480557047"/>
    <n v="0.1673850651944295"/>
    <x v="5"/>
  </r>
  <r>
    <n v="10"/>
    <n v="64"/>
    <n v="3"/>
    <n v="0"/>
    <n v="0"/>
    <n v="4"/>
    <n v="2"/>
    <n v="420"/>
    <n v="10"/>
    <n v="0"/>
    <n v="0.83263687163506783"/>
    <n v="0.1673631283649322"/>
    <x v="5"/>
  </r>
  <r>
    <n v="7"/>
    <n v="53"/>
    <n v="2"/>
    <n v="0"/>
    <n v="1"/>
    <n v="7"/>
    <n v="0"/>
    <n v="6000"/>
    <n v="2"/>
    <n v="0"/>
    <n v="0.8327896066280015"/>
    <n v="0.1672103933719985"/>
    <x v="5"/>
  </r>
  <r>
    <n v="4"/>
    <n v="38"/>
    <n v="5"/>
    <n v="0"/>
    <n v="0"/>
    <n v="4"/>
    <n v="3"/>
    <n v="0.01"/>
    <n v="5"/>
    <n v="1"/>
    <n v="0.8328460117426788"/>
    <n v="0.1671539882573212"/>
    <x v="5"/>
  </r>
  <r>
    <n v="8"/>
    <n v="53"/>
    <n v="2"/>
    <n v="1"/>
    <n v="0"/>
    <n v="4"/>
    <n v="0"/>
    <n v="6053.35"/>
    <n v="5"/>
    <n v="1"/>
    <n v="0.83319649444043575"/>
    <n v="0.1668035055595643"/>
    <x v="5"/>
  </r>
  <r>
    <n v="5"/>
    <n v="43"/>
    <n v="0"/>
    <n v="0"/>
    <n v="3"/>
    <n v="3"/>
    <n v="3"/>
    <n v="0.01"/>
    <n v="7"/>
    <n v="0"/>
    <n v="0.83324295632789402"/>
    <n v="0.166757043672106"/>
    <x v="5"/>
  </r>
  <r>
    <n v="9"/>
    <n v="59"/>
    <n v="4"/>
    <n v="0"/>
    <n v="0"/>
    <n v="11"/>
    <n v="2"/>
    <n v="1251.5999999999999"/>
    <n v="11"/>
    <n v="0"/>
    <n v="0.83332578446830174"/>
    <n v="0.16667421553169831"/>
    <x v="5"/>
  </r>
  <r>
    <n v="9"/>
    <n v="52"/>
    <n v="1"/>
    <n v="2"/>
    <n v="0"/>
    <n v="11"/>
    <n v="0"/>
    <n v="6000"/>
    <n v="7"/>
    <n v="0"/>
    <n v="0.83336667130524589"/>
    <n v="0.16663332869475411"/>
    <x v="5"/>
  </r>
  <r>
    <n v="7"/>
    <n v="51"/>
    <n v="2"/>
    <n v="0"/>
    <n v="3"/>
    <n v="3"/>
    <n v="2"/>
    <n v="100.01"/>
    <n v="8"/>
    <n v="0"/>
    <n v="0.83339628796440168"/>
    <n v="0.16660371203559829"/>
    <x v="5"/>
  </r>
  <r>
    <n v="7"/>
    <n v="51"/>
    <n v="2"/>
    <n v="0"/>
    <n v="3"/>
    <n v="3"/>
    <n v="2"/>
    <n v="0.02"/>
    <n v="8"/>
    <n v="0"/>
    <n v="0.83341865613032262"/>
    <n v="0.16658134386967741"/>
    <x v="5"/>
  </r>
  <r>
    <n v="12"/>
    <n v="72"/>
    <n v="3"/>
    <n v="0"/>
    <n v="3"/>
    <n v="3"/>
    <n v="1"/>
    <n v="20728.21"/>
    <n v="3"/>
    <n v="0"/>
    <n v="0.83347184614898939"/>
    <n v="0.16652815385101069"/>
    <x v="5"/>
  </r>
  <r>
    <n v="8"/>
    <n v="51"/>
    <n v="2"/>
    <n v="1"/>
    <n v="0"/>
    <n v="10"/>
    <n v="2"/>
    <n v="300"/>
    <n v="11"/>
    <n v="0"/>
    <n v="0.83349813126489558"/>
    <n v="0.16650186873510439"/>
    <x v="5"/>
  </r>
  <r>
    <n v="7"/>
    <n v="51"/>
    <n v="5"/>
    <n v="0"/>
    <n v="0"/>
    <n v="4"/>
    <n v="2"/>
    <n v="3000"/>
    <n v="3"/>
    <n v="0"/>
    <n v="0.83351780828485311"/>
    <n v="0.16648219171514689"/>
    <x v="5"/>
  </r>
  <r>
    <n v="7"/>
    <n v="51"/>
    <n v="5"/>
    <n v="0"/>
    <n v="0"/>
    <n v="4"/>
    <n v="2"/>
    <n v="2000"/>
    <n v="4"/>
    <n v="0"/>
    <n v="0.83356306631166199"/>
    <n v="0.16643693368833809"/>
    <x v="5"/>
  </r>
  <r>
    <n v="8"/>
    <n v="50"/>
    <n v="4"/>
    <n v="1"/>
    <n v="0"/>
    <n v="2"/>
    <n v="3"/>
    <n v="0.01"/>
    <n v="5"/>
    <n v="0"/>
    <n v="0.83359813853081688"/>
    <n v="0.16640186146918309"/>
    <x v="5"/>
  </r>
  <r>
    <n v="7"/>
    <n v="51"/>
    <n v="2"/>
    <n v="0"/>
    <n v="1"/>
    <n v="5"/>
    <n v="3"/>
    <n v="0.01"/>
    <n v="5"/>
    <n v="0"/>
    <n v="0.83369558861558879"/>
    <n v="0.16630441138441121"/>
    <x v="5"/>
  </r>
  <r>
    <n v="9"/>
    <n v="57"/>
    <n v="1"/>
    <n v="1"/>
    <n v="1"/>
    <n v="7"/>
    <n v="0"/>
    <n v="15000"/>
    <n v="3"/>
    <n v="0"/>
    <n v="0.83371338027239095"/>
    <n v="0.16628661972760911"/>
    <x v="5"/>
  </r>
  <r>
    <n v="7"/>
    <n v="51"/>
    <n v="4"/>
    <n v="0"/>
    <n v="0"/>
    <n v="2"/>
    <n v="3"/>
    <n v="0.01"/>
    <n v="9"/>
    <n v="0"/>
    <n v="0.83405183281002115"/>
    <n v="0.16594816718997879"/>
    <x v="5"/>
  </r>
  <r>
    <n v="11"/>
    <n v="66"/>
    <n v="5"/>
    <n v="0"/>
    <n v="3"/>
    <n v="3"/>
    <n v="2"/>
    <n v="1000"/>
    <n v="8"/>
    <n v="0"/>
    <n v="0.83411659186428322"/>
    <n v="0.1658834081357167"/>
    <x v="5"/>
  </r>
  <r>
    <n v="10"/>
    <n v="58"/>
    <n v="3"/>
    <n v="1"/>
    <n v="3"/>
    <n v="3"/>
    <n v="2"/>
    <n v="2500"/>
    <n v="9"/>
    <n v="0"/>
    <n v="0.83432343391510266"/>
    <n v="0.16567656608489739"/>
    <x v="5"/>
  </r>
  <r>
    <n v="7"/>
    <n v="51"/>
    <n v="4"/>
    <n v="0"/>
    <n v="1"/>
    <n v="5"/>
    <n v="2"/>
    <n v="2500"/>
    <n v="5"/>
    <n v="0"/>
    <n v="0.83432761691110313"/>
    <n v="0.1656723830888969"/>
    <x v="5"/>
  </r>
  <r>
    <n v="7"/>
    <n v="50"/>
    <n v="4"/>
    <n v="0"/>
    <n v="1"/>
    <n v="7"/>
    <n v="3"/>
    <n v="0.01"/>
    <n v="4"/>
    <n v="0"/>
    <n v="0.83434556083715994"/>
    <n v="0.16565443916284001"/>
    <x v="5"/>
  </r>
  <r>
    <n v="7"/>
    <n v="51"/>
    <n v="2"/>
    <n v="0"/>
    <n v="1"/>
    <n v="7"/>
    <n v="3"/>
    <n v="0.01"/>
    <n v="9"/>
    <n v="0"/>
    <n v="0.83450352720919541"/>
    <n v="0.16549647279080451"/>
    <x v="5"/>
  </r>
  <r>
    <n v="11"/>
    <n v="68"/>
    <n v="4"/>
    <n v="0"/>
    <n v="0"/>
    <n v="4"/>
    <n v="2"/>
    <n v="3000"/>
    <n v="14"/>
    <n v="0"/>
    <n v="0.834576454821637"/>
    <n v="0.165423545178363"/>
    <x v="5"/>
  </r>
  <r>
    <n v="6"/>
    <n v="50"/>
    <n v="2"/>
    <n v="0"/>
    <n v="0"/>
    <n v="4"/>
    <n v="0"/>
    <n v="10000"/>
    <n v="1"/>
    <n v="1"/>
    <n v="0.83461169946886948"/>
    <n v="0.16538830053113049"/>
    <x v="5"/>
  </r>
  <r>
    <n v="5"/>
    <n v="45"/>
    <n v="1"/>
    <n v="0"/>
    <n v="3"/>
    <n v="3"/>
    <n v="0"/>
    <n v="6000"/>
    <n v="2"/>
    <n v="0"/>
    <n v="0.83481730200139737"/>
    <n v="0.16518269799860269"/>
    <x v="5"/>
  </r>
  <r>
    <n v="7"/>
    <n v="51"/>
    <n v="2"/>
    <n v="0"/>
    <n v="3"/>
    <n v="8"/>
    <n v="2"/>
    <n v="5000"/>
    <n v="15"/>
    <n v="0"/>
    <n v="0.83485690915478694"/>
    <n v="0.16514309084521309"/>
    <x v="5"/>
  </r>
  <r>
    <n v="4"/>
    <n v="39"/>
    <n v="2"/>
    <n v="0"/>
    <n v="3"/>
    <n v="3"/>
    <n v="2"/>
    <n v="3000"/>
    <n v="3"/>
    <n v="0"/>
    <n v="0.83489291189418036"/>
    <n v="0.16510708810581959"/>
    <x v="5"/>
  </r>
  <r>
    <n v="7"/>
    <n v="46"/>
    <n v="4"/>
    <n v="1"/>
    <n v="1"/>
    <n v="7"/>
    <n v="2"/>
    <n v="50"/>
    <n v="9"/>
    <n v="0"/>
    <n v="0.8349339996221965"/>
    <n v="0.16506600037780339"/>
    <x v="5"/>
  </r>
  <r>
    <n v="7"/>
    <n v="50"/>
    <n v="2"/>
    <n v="0"/>
    <n v="3"/>
    <n v="8"/>
    <n v="3"/>
    <n v="0.01"/>
    <n v="8"/>
    <n v="0"/>
    <n v="0.83497949263689386"/>
    <n v="0.16502050736310619"/>
    <x v="5"/>
  </r>
  <r>
    <n v="8"/>
    <n v="51"/>
    <n v="1"/>
    <n v="1"/>
    <n v="2"/>
    <n v="6"/>
    <n v="2"/>
    <n v="4800"/>
    <n v="3"/>
    <n v="0"/>
    <n v="0.83510436449855074"/>
    <n v="0.1648956355014492"/>
    <x v="5"/>
  </r>
  <r>
    <n v="6"/>
    <n v="46"/>
    <n v="3"/>
    <n v="0"/>
    <n v="3"/>
    <n v="3"/>
    <n v="3"/>
    <n v="0.01"/>
    <n v="8"/>
    <n v="0"/>
    <n v="0.83523795144921165"/>
    <n v="0.16476204855078841"/>
    <x v="5"/>
  </r>
  <r>
    <n v="8"/>
    <n v="51"/>
    <n v="1"/>
    <n v="1"/>
    <n v="3"/>
    <n v="3"/>
    <n v="2"/>
    <n v="5000"/>
    <n v="11"/>
    <n v="0"/>
    <n v="0.8352906793173771"/>
    <n v="0.1647093206826229"/>
    <x v="5"/>
  </r>
  <r>
    <n v="11"/>
    <n v="65"/>
    <n v="2"/>
    <n v="1"/>
    <n v="0"/>
    <n v="10"/>
    <n v="0"/>
    <n v="9000"/>
    <n v="8"/>
    <n v="1"/>
    <n v="0.83530773816417281"/>
    <n v="0.16469226183582719"/>
    <x v="5"/>
  </r>
  <r>
    <n v="9"/>
    <n v="61"/>
    <n v="2"/>
    <n v="0"/>
    <n v="1"/>
    <n v="12"/>
    <n v="0"/>
    <n v="6107.64"/>
    <n v="3"/>
    <n v="0"/>
    <n v="0.83554860608136683"/>
    <n v="0.16445139391863309"/>
    <x v="5"/>
  </r>
  <r>
    <n v="10"/>
    <n v="60"/>
    <n v="1"/>
    <n v="1"/>
    <n v="3"/>
    <n v="8"/>
    <n v="0"/>
    <n v="6025"/>
    <n v="3"/>
    <n v="0"/>
    <n v="0.83559088225357225"/>
    <n v="0.16440911774642769"/>
    <x v="5"/>
  </r>
  <r>
    <n v="6"/>
    <n v="47"/>
    <n v="2"/>
    <n v="0"/>
    <n v="1"/>
    <n v="7"/>
    <n v="3"/>
    <n v="0.01"/>
    <n v="5"/>
    <n v="0"/>
    <n v="0.83562768155344425"/>
    <n v="0.1643723184465557"/>
    <x v="5"/>
  </r>
  <r>
    <n v="8"/>
    <n v="55"/>
    <n v="3"/>
    <n v="0"/>
    <n v="3"/>
    <n v="3"/>
    <n v="2"/>
    <n v="1500"/>
    <n v="11"/>
    <n v="1"/>
    <n v="0.83576663864644107"/>
    <n v="0.1642333613535589"/>
    <x v="5"/>
  </r>
  <r>
    <n v="10"/>
    <n v="62"/>
    <n v="5"/>
    <n v="0"/>
    <n v="1"/>
    <n v="7"/>
    <n v="3"/>
    <n v="0.01"/>
    <n v="9"/>
    <n v="0"/>
    <n v="0.83583451683202448"/>
    <n v="0.1641654831679755"/>
    <x v="5"/>
  </r>
  <r>
    <n v="9"/>
    <n v="60"/>
    <n v="2"/>
    <n v="0"/>
    <n v="0"/>
    <n v="4"/>
    <n v="3"/>
    <n v="0.01"/>
    <n v="8"/>
    <n v="0"/>
    <n v="0.83595159917450812"/>
    <n v="0.16404840082549191"/>
    <x v="5"/>
  </r>
  <r>
    <n v="3"/>
    <n v="35"/>
    <n v="5"/>
    <n v="0"/>
    <n v="0"/>
    <n v="4"/>
    <n v="2"/>
    <n v="540"/>
    <n v="1"/>
    <n v="0"/>
    <n v="0.83608570868114818"/>
    <n v="0.1639142913188518"/>
    <x v="5"/>
  </r>
  <r>
    <n v="8"/>
    <n v="51"/>
    <n v="2"/>
    <n v="1"/>
    <n v="1"/>
    <n v="7"/>
    <n v="2"/>
    <n v="600.02"/>
    <n v="5"/>
    <n v="0"/>
    <n v="0.83614336624450136"/>
    <n v="0.16385663375549861"/>
    <x v="5"/>
  </r>
  <r>
    <n v="9"/>
    <n v="58"/>
    <n v="3"/>
    <n v="0"/>
    <n v="4"/>
    <n v="9"/>
    <n v="2"/>
    <n v="3000"/>
    <n v="5"/>
    <n v="0"/>
    <n v="0.83624095267983611"/>
    <n v="0.16375904732016389"/>
    <x v="5"/>
  </r>
  <r>
    <n v="6"/>
    <n v="48"/>
    <n v="2"/>
    <n v="0"/>
    <n v="2"/>
    <n v="1"/>
    <n v="2"/>
    <n v="500"/>
    <n v="9"/>
    <n v="0"/>
    <n v="0.83640970085433619"/>
    <n v="0.16359029914566381"/>
    <x v="5"/>
  </r>
  <r>
    <n v="8"/>
    <n v="56"/>
    <n v="2"/>
    <n v="0"/>
    <n v="0"/>
    <n v="11"/>
    <n v="2"/>
    <n v="1000"/>
    <n v="2"/>
    <n v="0"/>
    <n v="0.83643589501438798"/>
    <n v="0.16356410498561211"/>
    <x v="5"/>
  </r>
  <r>
    <n v="10"/>
    <n v="63"/>
    <n v="1"/>
    <n v="0"/>
    <n v="4"/>
    <n v="9"/>
    <n v="2"/>
    <n v="100"/>
    <n v="11"/>
    <n v="0"/>
    <n v="0.83644751530931427"/>
    <n v="0.16355248469068581"/>
    <x v="5"/>
  </r>
  <r>
    <n v="7"/>
    <n v="54"/>
    <n v="1"/>
    <n v="0"/>
    <n v="0"/>
    <n v="11"/>
    <n v="0"/>
    <n v="6000"/>
    <n v="2"/>
    <n v="0"/>
    <n v="0.83657095445859142"/>
    <n v="0.16342904554140861"/>
    <x v="5"/>
  </r>
  <r>
    <n v="8"/>
    <n v="55"/>
    <n v="1"/>
    <n v="0"/>
    <n v="3"/>
    <n v="3"/>
    <n v="3"/>
    <n v="0.01"/>
    <n v="1"/>
    <n v="0"/>
    <n v="0.83668064804187647"/>
    <n v="0.16331935195812361"/>
    <x v="5"/>
  </r>
  <r>
    <n v="10"/>
    <n v="63"/>
    <n v="5"/>
    <n v="0"/>
    <n v="1"/>
    <n v="5"/>
    <n v="2"/>
    <n v="100.01"/>
    <n v="8"/>
    <n v="0"/>
    <n v="0.83669813700546902"/>
    <n v="0.16330186299453101"/>
    <x v="5"/>
  </r>
  <r>
    <n v="8"/>
    <n v="57"/>
    <n v="2"/>
    <n v="0"/>
    <n v="0"/>
    <n v="2"/>
    <n v="2"/>
    <n v="4000"/>
    <n v="5"/>
    <n v="0"/>
    <n v="0.83672020908747824"/>
    <n v="0.16327979091252171"/>
    <x v="5"/>
  </r>
  <r>
    <n v="5"/>
    <n v="42"/>
    <n v="5"/>
    <n v="0"/>
    <n v="1"/>
    <n v="12"/>
    <n v="2"/>
    <n v="1000"/>
    <n v="1"/>
    <n v="0"/>
    <n v="0.83682197051577067"/>
    <n v="0.1631780294842293"/>
    <x v="5"/>
  </r>
  <r>
    <n v="8"/>
    <n v="55"/>
    <n v="3"/>
    <n v="0"/>
    <n v="3"/>
    <n v="3"/>
    <n v="2"/>
    <n v="1000"/>
    <n v="5"/>
    <n v="0"/>
    <n v="0.8369322091404392"/>
    <n v="0.16306779085956091"/>
    <x v="5"/>
  </r>
  <r>
    <n v="9"/>
    <n v="59"/>
    <n v="3"/>
    <n v="0"/>
    <n v="0"/>
    <n v="11"/>
    <n v="3"/>
    <n v="0.01"/>
    <n v="5"/>
    <n v="0"/>
    <n v="0.83710169227247833"/>
    <n v="0.16289830772752159"/>
    <x v="5"/>
  </r>
  <r>
    <n v="9"/>
    <n v="53"/>
    <n v="3"/>
    <n v="1"/>
    <n v="3"/>
    <n v="8"/>
    <n v="3"/>
    <n v="0.01"/>
    <n v="7"/>
    <n v="0"/>
    <n v="0.83719292508227083"/>
    <n v="0.16280707491772919"/>
    <x v="5"/>
  </r>
  <r>
    <n v="12"/>
    <n v="64"/>
    <n v="1"/>
    <n v="2"/>
    <n v="3"/>
    <n v="3"/>
    <n v="0"/>
    <n v="11000"/>
    <n v="4"/>
    <n v="0"/>
    <n v="0.83723130014089631"/>
    <n v="0.16276869985910369"/>
    <x v="5"/>
  </r>
  <r>
    <n v="9"/>
    <n v="53"/>
    <n v="4"/>
    <n v="1"/>
    <n v="3"/>
    <n v="3"/>
    <n v="3"/>
    <n v="0.01"/>
    <n v="5"/>
    <n v="0"/>
    <n v="0.83738710460950594"/>
    <n v="0.16261289539049409"/>
    <x v="5"/>
  </r>
  <r>
    <n v="7"/>
    <n v="51"/>
    <n v="3"/>
    <n v="0"/>
    <n v="2"/>
    <n v="0"/>
    <n v="3"/>
    <n v="0.01"/>
    <n v="5"/>
    <n v="0"/>
    <n v="0.83744352233694597"/>
    <n v="0.16255647766305401"/>
    <x v="5"/>
  </r>
  <r>
    <n v="10"/>
    <n v="65"/>
    <n v="2"/>
    <n v="0"/>
    <n v="0"/>
    <n v="4"/>
    <n v="2"/>
    <n v="1000"/>
    <n v="8"/>
    <n v="0"/>
    <n v="0.83752656547635573"/>
    <n v="0.16247343452364429"/>
    <x v="5"/>
  </r>
  <r>
    <n v="6"/>
    <n v="48"/>
    <n v="2"/>
    <n v="0"/>
    <n v="0"/>
    <n v="4"/>
    <n v="3"/>
    <n v="0.01"/>
    <n v="5"/>
    <n v="0"/>
    <n v="0.83771577536482633"/>
    <n v="0.1622842246351737"/>
    <x v="5"/>
  </r>
  <r>
    <n v="10"/>
    <n v="54"/>
    <n v="4"/>
    <n v="2"/>
    <n v="3"/>
    <n v="8"/>
    <n v="0"/>
    <n v="6000"/>
    <n v="1"/>
    <n v="0"/>
    <n v="0.83777054862654288"/>
    <n v="0.1622294513734571"/>
    <x v="5"/>
  </r>
  <r>
    <n v="8"/>
    <n v="54"/>
    <n v="4"/>
    <n v="0"/>
    <n v="3"/>
    <n v="3"/>
    <n v="3"/>
    <n v="0.01"/>
    <n v="9"/>
    <n v="0"/>
    <n v="0.83783247798982274"/>
    <n v="0.1621675220101772"/>
    <x v="5"/>
  </r>
  <r>
    <n v="6"/>
    <n v="36"/>
    <n v="4"/>
    <n v="2"/>
    <n v="3"/>
    <n v="3"/>
    <n v="3"/>
    <n v="0.01"/>
    <n v="5"/>
    <n v="0"/>
    <n v="0.83788655306574245"/>
    <n v="0.16211344693425761"/>
    <x v="5"/>
  </r>
  <r>
    <n v="8"/>
    <n v="53"/>
    <n v="2"/>
    <n v="1"/>
    <n v="2"/>
    <n v="1"/>
    <n v="0"/>
    <n v="12000"/>
    <n v="2"/>
    <n v="0"/>
    <n v="0.83795736339625182"/>
    <n v="0.16204263660374821"/>
    <x v="5"/>
  </r>
  <r>
    <n v="8"/>
    <n v="55"/>
    <n v="2"/>
    <n v="0"/>
    <n v="3"/>
    <n v="3"/>
    <n v="3"/>
    <n v="0.01"/>
    <n v="14"/>
    <n v="0"/>
    <n v="0.83798776493520366"/>
    <n v="0.16201223506479631"/>
    <x v="5"/>
  </r>
  <r>
    <n v="8"/>
    <n v="50"/>
    <n v="5"/>
    <n v="1"/>
    <n v="0"/>
    <n v="4"/>
    <n v="3"/>
    <n v="0.01"/>
    <n v="8"/>
    <n v="0"/>
    <n v="0.83818320802500679"/>
    <n v="0.16181679197499321"/>
    <x v="5"/>
  </r>
  <r>
    <n v="12"/>
    <n v="72"/>
    <n v="0"/>
    <n v="0"/>
    <n v="3"/>
    <n v="3"/>
    <n v="3"/>
    <n v="0.01"/>
    <n v="8"/>
    <n v="0"/>
    <n v="0.8384206658547525"/>
    <n v="0.1615793341452475"/>
    <x v="5"/>
  </r>
  <r>
    <n v="8"/>
    <n v="53"/>
    <n v="2"/>
    <n v="1"/>
    <n v="0"/>
    <n v="10"/>
    <n v="0"/>
    <n v="6000"/>
    <n v="1"/>
    <n v="0"/>
    <n v="0.83843315751192871"/>
    <n v="0.16156684248807129"/>
    <x v="5"/>
  </r>
  <r>
    <n v="8"/>
    <n v="53"/>
    <n v="0"/>
    <n v="1"/>
    <n v="0"/>
    <n v="4"/>
    <n v="2"/>
    <n v="4035.57"/>
    <n v="5"/>
    <n v="0"/>
    <n v="0.83850168965262994"/>
    <n v="0.16149831034737011"/>
    <x v="5"/>
  </r>
  <r>
    <n v="8"/>
    <n v="58"/>
    <n v="2"/>
    <n v="0"/>
    <n v="0"/>
    <n v="11"/>
    <n v="0"/>
    <n v="7000"/>
    <n v="6"/>
    <n v="1"/>
    <n v="0.83881827956345623"/>
    <n v="0.1611817204365438"/>
    <x v="5"/>
  </r>
  <r>
    <n v="10"/>
    <n v="66"/>
    <n v="2"/>
    <n v="0"/>
    <n v="0"/>
    <n v="11"/>
    <n v="0"/>
    <n v="6000"/>
    <n v="2"/>
    <n v="0"/>
    <n v="0.83891398056866828"/>
    <n v="0.1610860194313318"/>
    <x v="5"/>
  </r>
  <r>
    <n v="9"/>
    <n v="56"/>
    <n v="3"/>
    <n v="1"/>
    <n v="0"/>
    <n v="2"/>
    <n v="2"/>
    <n v="5000"/>
    <n v="5"/>
    <n v="0"/>
    <n v="0.83893174786155178"/>
    <n v="0.16106825213844819"/>
    <x v="5"/>
  </r>
  <r>
    <n v="8"/>
    <n v="55"/>
    <n v="5"/>
    <n v="0"/>
    <n v="1"/>
    <n v="7"/>
    <n v="2"/>
    <n v="0.02"/>
    <n v="8"/>
    <n v="0"/>
    <n v="0.83903242982645299"/>
    <n v="0.16096757017354699"/>
    <x v="5"/>
  </r>
  <r>
    <n v="8"/>
    <n v="54"/>
    <n v="2"/>
    <n v="0"/>
    <n v="4"/>
    <n v="9"/>
    <n v="3"/>
    <n v="0.01"/>
    <n v="8"/>
    <n v="0"/>
    <n v="0.83919219083134711"/>
    <n v="0.16080780916865289"/>
    <x v="5"/>
  </r>
  <r>
    <n v="5"/>
    <n v="44"/>
    <n v="1"/>
    <n v="0"/>
    <n v="2"/>
    <n v="1"/>
    <n v="3"/>
    <n v="0.01"/>
    <n v="9"/>
    <n v="1"/>
    <n v="0.83933516417525722"/>
    <n v="0.16066483582474281"/>
    <x v="5"/>
  </r>
  <r>
    <n v="8"/>
    <n v="51"/>
    <n v="3"/>
    <n v="1"/>
    <n v="1"/>
    <n v="7"/>
    <n v="2"/>
    <n v="2500"/>
    <n v="4"/>
    <n v="0"/>
    <n v="0.83947600099060904"/>
    <n v="0.16052399900939099"/>
    <x v="5"/>
  </r>
  <r>
    <n v="9"/>
    <n v="61"/>
    <n v="3"/>
    <n v="0"/>
    <n v="0"/>
    <n v="2"/>
    <n v="2"/>
    <n v="2000"/>
    <n v="9"/>
    <n v="0"/>
    <n v="0.83961785422970014"/>
    <n v="0.16038214577029991"/>
    <x v="5"/>
  </r>
  <r>
    <n v="10"/>
    <n v="62"/>
    <n v="0"/>
    <n v="1"/>
    <n v="1"/>
    <n v="7"/>
    <n v="0"/>
    <n v="6000"/>
    <n v="4"/>
    <n v="0"/>
    <n v="0.83973292633038843"/>
    <n v="0.1602670736696116"/>
    <x v="5"/>
  </r>
  <r>
    <n v="10"/>
    <n v="64"/>
    <n v="0"/>
    <n v="0"/>
    <n v="3"/>
    <n v="3"/>
    <n v="3"/>
    <n v="0.01"/>
    <n v="5"/>
    <n v="0"/>
    <n v="0.83975716344740903"/>
    <n v="0.16024283655259089"/>
    <x v="5"/>
  </r>
  <r>
    <n v="8"/>
    <n v="55"/>
    <n v="5"/>
    <n v="0"/>
    <n v="1"/>
    <n v="7"/>
    <n v="2"/>
    <n v="2000"/>
    <n v="1"/>
    <n v="0"/>
    <n v="0.83981058464784786"/>
    <n v="0.16018941535215209"/>
    <x v="5"/>
  </r>
  <r>
    <n v="11"/>
    <n v="64"/>
    <n v="5"/>
    <n v="1"/>
    <n v="0"/>
    <n v="11"/>
    <n v="1"/>
    <n v="30035.47"/>
    <n v="8"/>
    <n v="0"/>
    <n v="0.83997780464677985"/>
    <n v="0.16002219535322021"/>
    <x v="5"/>
  </r>
  <r>
    <n v="9"/>
    <n v="61"/>
    <n v="3"/>
    <n v="0"/>
    <n v="0"/>
    <n v="2"/>
    <n v="2"/>
    <n v="3185.2"/>
    <n v="5"/>
    <n v="0"/>
    <n v="0.84005240829479455"/>
    <n v="0.15994759170520539"/>
    <x v="5"/>
  </r>
  <r>
    <n v="5"/>
    <n v="42"/>
    <n v="5"/>
    <n v="0"/>
    <n v="3"/>
    <n v="8"/>
    <n v="2"/>
    <n v="600"/>
    <n v="10"/>
    <n v="0"/>
    <n v="0.84006880229841874"/>
    <n v="0.15993119770158129"/>
    <x v="5"/>
  </r>
  <r>
    <n v="7"/>
    <n v="51"/>
    <n v="3"/>
    <n v="0"/>
    <n v="3"/>
    <n v="8"/>
    <n v="2"/>
    <n v="3000"/>
    <n v="8"/>
    <n v="0"/>
    <n v="0.84009947532281393"/>
    <n v="0.1599005246771861"/>
    <x v="5"/>
  </r>
  <r>
    <n v="8"/>
    <n v="51"/>
    <n v="5"/>
    <n v="1"/>
    <n v="0"/>
    <n v="4"/>
    <n v="2"/>
    <n v="300"/>
    <n v="9"/>
    <n v="0"/>
    <n v="0.84012598162537655"/>
    <n v="0.15987401837462339"/>
    <x v="5"/>
  </r>
  <r>
    <n v="9"/>
    <n v="59"/>
    <n v="3"/>
    <n v="0"/>
    <n v="3"/>
    <n v="8"/>
    <n v="2"/>
    <n v="1420"/>
    <n v="5"/>
    <n v="0"/>
    <n v="0.84014748879083601"/>
    <n v="0.15985251120916399"/>
    <x v="5"/>
  </r>
  <r>
    <n v="12"/>
    <n v="73"/>
    <n v="4"/>
    <n v="0"/>
    <n v="2"/>
    <n v="6"/>
    <n v="0"/>
    <n v="6053.35"/>
    <n v="7"/>
    <n v="1"/>
    <n v="0.8401639454667158"/>
    <n v="0.1598360545332842"/>
    <x v="5"/>
  </r>
  <r>
    <n v="6"/>
    <n v="48"/>
    <n v="1"/>
    <n v="0"/>
    <n v="1"/>
    <n v="7"/>
    <n v="3"/>
    <n v="0.01"/>
    <n v="5"/>
    <n v="0"/>
    <n v="0.84022729013062336"/>
    <n v="0.15977270986937669"/>
    <x v="5"/>
  </r>
  <r>
    <n v="10"/>
    <n v="54"/>
    <n v="4"/>
    <n v="2"/>
    <n v="0"/>
    <n v="2"/>
    <n v="3"/>
    <n v="0.01"/>
    <n v="5"/>
    <n v="0"/>
    <n v="0.84024914578295062"/>
    <n v="0.15975085421704929"/>
    <x v="5"/>
  </r>
  <r>
    <n v="6"/>
    <n v="48"/>
    <n v="1"/>
    <n v="0"/>
    <n v="3"/>
    <n v="8"/>
    <n v="2"/>
    <n v="4000"/>
    <n v="14"/>
    <n v="0"/>
    <n v="0.8402698416527723"/>
    <n v="0.1597301583472277"/>
    <x v="5"/>
  </r>
  <r>
    <n v="8"/>
    <n v="51"/>
    <n v="3"/>
    <n v="1"/>
    <n v="1"/>
    <n v="7"/>
    <n v="2"/>
    <n v="50"/>
    <n v="2"/>
    <n v="0"/>
    <n v="0.84035235358985938"/>
    <n v="0.1596476464101407"/>
    <x v="5"/>
  </r>
  <r>
    <n v="5"/>
    <n v="39"/>
    <n v="3"/>
    <n v="1"/>
    <n v="0"/>
    <n v="4"/>
    <n v="3"/>
    <n v="0.01"/>
    <n v="7"/>
    <n v="1"/>
    <n v="0.84059888771481162"/>
    <n v="0.1594011122851883"/>
    <x v="5"/>
  </r>
  <r>
    <n v="10"/>
    <n v="59"/>
    <n v="4"/>
    <n v="1"/>
    <n v="0"/>
    <n v="11"/>
    <n v="2"/>
    <n v="3000"/>
    <n v="7"/>
    <n v="0"/>
    <n v="0.84070268792053338"/>
    <n v="0.15929731207946671"/>
    <x v="5"/>
  </r>
  <r>
    <n v="8"/>
    <n v="51"/>
    <n v="2"/>
    <n v="1"/>
    <n v="1"/>
    <n v="5"/>
    <n v="3"/>
    <n v="0.01"/>
    <n v="5"/>
    <n v="0"/>
    <n v="0.84074844564499063"/>
    <n v="0.1592515543550094"/>
    <x v="5"/>
  </r>
  <r>
    <n v="5"/>
    <n v="44"/>
    <n v="3"/>
    <n v="0"/>
    <n v="1"/>
    <n v="5"/>
    <n v="2"/>
    <n v="1000"/>
    <n v="1"/>
    <n v="0"/>
    <n v="0.8407856868980097"/>
    <n v="0.1592143131019903"/>
    <x v="5"/>
  </r>
  <r>
    <n v="11"/>
    <n v="70"/>
    <n v="2"/>
    <n v="0"/>
    <n v="0"/>
    <n v="11"/>
    <n v="1"/>
    <n v="20531.939999999999"/>
    <n v="4"/>
    <n v="0"/>
    <n v="0.84093142216384398"/>
    <n v="0.15906857783615599"/>
    <x v="5"/>
  </r>
  <r>
    <n v="8"/>
    <n v="56"/>
    <n v="2"/>
    <n v="0"/>
    <n v="1"/>
    <n v="5"/>
    <n v="3"/>
    <n v="0.01"/>
    <n v="8"/>
    <n v="0"/>
    <n v="0.84095421517350588"/>
    <n v="0.15904578482649409"/>
    <x v="5"/>
  </r>
  <r>
    <n v="6"/>
    <n v="50"/>
    <n v="0"/>
    <n v="0"/>
    <n v="3"/>
    <n v="3"/>
    <n v="1"/>
    <n v="25000"/>
    <n v="1"/>
    <n v="0"/>
    <n v="0.84100073942060516"/>
    <n v="0.1589992605793949"/>
    <x v="5"/>
  </r>
  <r>
    <n v="7"/>
    <n v="51"/>
    <n v="3"/>
    <n v="0"/>
    <n v="3"/>
    <n v="8"/>
    <n v="2"/>
    <n v="2004.62"/>
    <n v="4"/>
    <n v="0"/>
    <n v="0.84100334143993116"/>
    <n v="0.15899665856006889"/>
    <x v="5"/>
  </r>
  <r>
    <n v="4"/>
    <n v="40"/>
    <n v="5"/>
    <n v="0"/>
    <n v="0"/>
    <n v="2"/>
    <n v="2"/>
    <n v="500.01"/>
    <n v="8"/>
    <n v="0"/>
    <n v="0.84112591755162935"/>
    <n v="0.15887408244837059"/>
    <x v="5"/>
  </r>
  <r>
    <n v="9"/>
    <n v="60"/>
    <n v="4"/>
    <n v="0"/>
    <n v="0"/>
    <n v="2"/>
    <n v="3"/>
    <n v="0.01"/>
    <n v="10"/>
    <n v="1"/>
    <n v="0.84123756294842023"/>
    <n v="0.1587624370515798"/>
    <x v="5"/>
  </r>
  <r>
    <n v="11"/>
    <n v="62"/>
    <n v="5"/>
    <n v="1"/>
    <n v="3"/>
    <n v="3"/>
    <n v="2"/>
    <n v="50"/>
    <n v="11"/>
    <n v="0"/>
    <n v="0.84124813438054147"/>
    <n v="0.15875186561945859"/>
    <x v="5"/>
  </r>
  <r>
    <n v="6"/>
    <n v="47"/>
    <n v="4"/>
    <n v="0"/>
    <n v="0"/>
    <n v="11"/>
    <n v="3"/>
    <n v="0.01"/>
    <n v="8"/>
    <n v="0"/>
    <n v="0.84135329853568319"/>
    <n v="0.15864670146431681"/>
    <x v="5"/>
  </r>
  <r>
    <n v="7"/>
    <n v="54"/>
    <n v="2"/>
    <n v="0"/>
    <n v="0"/>
    <n v="11"/>
    <n v="1"/>
    <n v="26313.06"/>
    <n v="3"/>
    <n v="0"/>
    <n v="0.8414733901539172"/>
    <n v="0.1585266098460828"/>
    <x v="5"/>
  </r>
  <r>
    <n v="5"/>
    <n v="46"/>
    <n v="2"/>
    <n v="0"/>
    <n v="0"/>
    <n v="11"/>
    <n v="1"/>
    <n v="24878.35"/>
    <n v="9"/>
    <n v="0"/>
    <n v="0.84155938242747319"/>
    <n v="0.15844061757252681"/>
    <x v="5"/>
  </r>
  <r>
    <n v="7"/>
    <n v="52"/>
    <n v="2"/>
    <n v="0"/>
    <n v="3"/>
    <n v="3"/>
    <n v="2"/>
    <n v="180"/>
    <n v="8"/>
    <n v="0"/>
    <n v="0.84156728425064753"/>
    <n v="0.1584327157493525"/>
    <x v="5"/>
  </r>
  <r>
    <n v="8"/>
    <n v="45"/>
    <n v="3"/>
    <n v="2"/>
    <n v="3"/>
    <n v="3"/>
    <n v="3"/>
    <n v="0.01"/>
    <n v="5"/>
    <n v="0"/>
    <n v="0.84163100825730475"/>
    <n v="0.1583689917426952"/>
    <x v="5"/>
  </r>
  <r>
    <n v="9"/>
    <n v="48"/>
    <n v="5"/>
    <n v="2"/>
    <n v="4"/>
    <n v="9"/>
    <n v="2"/>
    <n v="4000"/>
    <n v="5"/>
    <n v="0"/>
    <n v="0.84167295113945684"/>
    <n v="0.15832704886054319"/>
    <x v="5"/>
  </r>
  <r>
    <n v="6"/>
    <n v="46"/>
    <n v="5"/>
    <n v="0"/>
    <n v="1"/>
    <n v="12"/>
    <n v="3"/>
    <n v="0.01"/>
    <n v="5"/>
    <n v="0"/>
    <n v="0.8418729314818405"/>
    <n v="0.15812706851815961"/>
    <x v="5"/>
  </r>
  <r>
    <n v="10"/>
    <n v="65"/>
    <n v="3"/>
    <n v="0"/>
    <n v="3"/>
    <n v="8"/>
    <n v="0"/>
    <n v="9053.35"/>
    <n v="8"/>
    <n v="0"/>
    <n v="0.84190542370419497"/>
    <n v="0.15809457629580501"/>
    <x v="5"/>
  </r>
  <r>
    <n v="8"/>
    <n v="46"/>
    <n v="1"/>
    <n v="2"/>
    <n v="3"/>
    <n v="3"/>
    <n v="3"/>
    <n v="0.01"/>
    <n v="9"/>
    <n v="0"/>
    <n v="0.84195441921860281"/>
    <n v="0.15804558078139719"/>
    <x v="5"/>
  </r>
  <r>
    <n v="9"/>
    <n v="62"/>
    <n v="1"/>
    <n v="0"/>
    <n v="3"/>
    <n v="8"/>
    <n v="0"/>
    <n v="12160.99"/>
    <n v="12"/>
    <n v="1"/>
    <n v="0.84196437757888909"/>
    <n v="0.15803562242111091"/>
    <x v="5"/>
  </r>
  <r>
    <n v="8"/>
    <n v="59"/>
    <n v="2"/>
    <n v="0"/>
    <n v="0"/>
    <n v="4"/>
    <n v="0"/>
    <n v="6053.35"/>
    <n v="5"/>
    <n v="0"/>
    <n v="0.84211098028089137"/>
    <n v="0.1578890197191086"/>
    <x v="5"/>
  </r>
  <r>
    <n v="7"/>
    <n v="54"/>
    <n v="1"/>
    <n v="0"/>
    <n v="3"/>
    <n v="3"/>
    <n v="0"/>
    <n v="6000"/>
    <n v="2"/>
    <n v="0"/>
    <n v="0.84214707156477031"/>
    <n v="0.15785292843522961"/>
    <x v="5"/>
  </r>
  <r>
    <n v="11"/>
    <n v="58"/>
    <n v="2"/>
    <n v="2"/>
    <n v="3"/>
    <n v="8"/>
    <n v="2"/>
    <n v="60.79"/>
    <n v="8"/>
    <n v="0"/>
    <n v="0.84220180495864705"/>
    <n v="0.15779819504135301"/>
    <x v="5"/>
  </r>
  <r>
    <n v="9"/>
    <n v="59"/>
    <n v="5"/>
    <n v="0"/>
    <n v="1"/>
    <n v="12"/>
    <n v="2"/>
    <n v="1260"/>
    <n v="7"/>
    <n v="0"/>
    <n v="0.84220502230277838"/>
    <n v="0.15779497769722159"/>
    <x v="5"/>
  </r>
  <r>
    <n v="5"/>
    <n v="45"/>
    <n v="4"/>
    <n v="0"/>
    <n v="3"/>
    <n v="3"/>
    <n v="0"/>
    <n v="19465.7"/>
    <n v="3"/>
    <n v="0"/>
    <n v="0.84238564000012184"/>
    <n v="0.15761435999987811"/>
    <x v="5"/>
  </r>
  <r>
    <n v="12"/>
    <n v="70"/>
    <n v="2"/>
    <n v="1"/>
    <n v="0"/>
    <n v="11"/>
    <n v="1"/>
    <n v="29374.720000000001"/>
    <n v="24"/>
    <n v="1"/>
    <n v="0.84250483657675135"/>
    <n v="0.15749516342324871"/>
    <x v="5"/>
  </r>
  <r>
    <n v="7"/>
    <n v="53"/>
    <n v="5"/>
    <n v="0"/>
    <n v="0"/>
    <n v="11"/>
    <n v="0"/>
    <n v="6000"/>
    <n v="2"/>
    <n v="1"/>
    <n v="0.84263536612272882"/>
    <n v="0.1573646338772712"/>
    <x v="5"/>
  </r>
  <r>
    <n v="10"/>
    <n v="66"/>
    <n v="3"/>
    <n v="0"/>
    <n v="2"/>
    <n v="1"/>
    <n v="0"/>
    <n v="6000"/>
    <n v="2"/>
    <n v="0"/>
    <n v="0.84269612957863482"/>
    <n v="0.15730387042136521"/>
    <x v="5"/>
  </r>
  <r>
    <n v="9"/>
    <n v="55"/>
    <n v="5"/>
    <n v="1"/>
    <n v="1"/>
    <n v="5"/>
    <n v="2"/>
    <n v="4800"/>
    <n v="11"/>
    <n v="0"/>
    <n v="0.84293597044687141"/>
    <n v="0.15706402955312859"/>
    <x v="5"/>
  </r>
  <r>
    <n v="11"/>
    <n v="71"/>
    <n v="1"/>
    <n v="0"/>
    <n v="0"/>
    <n v="11"/>
    <n v="0"/>
    <n v="6000"/>
    <n v="2"/>
    <n v="0"/>
    <n v="0.84303942441575053"/>
    <n v="0.1569605755842495"/>
    <x v="5"/>
  </r>
  <r>
    <n v="7"/>
    <n v="51"/>
    <n v="2"/>
    <n v="0"/>
    <n v="3"/>
    <n v="8"/>
    <n v="3"/>
    <n v="0.01"/>
    <n v="8"/>
    <n v="0"/>
    <n v="0.84310451031317279"/>
    <n v="0.15689548968682721"/>
    <x v="5"/>
  </r>
  <r>
    <n v="6"/>
    <n v="51"/>
    <n v="2"/>
    <n v="0"/>
    <n v="0"/>
    <n v="2"/>
    <n v="1"/>
    <n v="25307.72"/>
    <n v="4"/>
    <n v="0"/>
    <n v="0.84334853754240036"/>
    <n v="0.1566514624575997"/>
    <x v="5"/>
  </r>
  <r>
    <n v="8"/>
    <n v="56"/>
    <n v="1"/>
    <n v="0"/>
    <n v="3"/>
    <n v="3"/>
    <n v="3"/>
    <n v="0.01"/>
    <n v="9"/>
    <n v="1"/>
    <n v="0.84338435034352355"/>
    <n v="0.15661564965647651"/>
    <x v="5"/>
  </r>
  <r>
    <n v="12"/>
    <n v="70"/>
    <n v="1"/>
    <n v="1"/>
    <n v="3"/>
    <n v="3"/>
    <n v="1"/>
    <n v="30075"/>
    <n v="29"/>
    <n v="0"/>
    <n v="0.84349777613608823"/>
    <n v="0.1565022238639118"/>
    <x v="5"/>
  </r>
  <r>
    <n v="7"/>
    <n v="51"/>
    <n v="5"/>
    <n v="0"/>
    <n v="1"/>
    <n v="12"/>
    <n v="2"/>
    <n v="1000"/>
    <n v="4"/>
    <n v="1"/>
    <n v="0.84357134851498106"/>
    <n v="0.15642865148501889"/>
    <x v="5"/>
  </r>
  <r>
    <n v="4"/>
    <n v="40"/>
    <n v="2"/>
    <n v="0"/>
    <n v="3"/>
    <n v="3"/>
    <n v="2"/>
    <n v="1167.8800000000001"/>
    <n v="2"/>
    <n v="0"/>
    <n v="0.84358129206418897"/>
    <n v="0.156418707935811"/>
    <x v="5"/>
  </r>
  <r>
    <n v="11"/>
    <n v="68"/>
    <n v="3"/>
    <n v="0"/>
    <n v="0"/>
    <n v="11"/>
    <n v="3"/>
    <n v="0.01"/>
    <n v="9"/>
    <n v="1"/>
    <n v="0.84367224847158706"/>
    <n v="0.15632775152841291"/>
    <x v="5"/>
  </r>
  <r>
    <n v="8"/>
    <n v="51"/>
    <n v="3"/>
    <n v="1"/>
    <n v="3"/>
    <n v="3"/>
    <n v="2"/>
    <n v="200"/>
    <n v="9"/>
    <n v="0"/>
    <n v="0.84376418880795878"/>
    <n v="0.15623581119204119"/>
    <x v="5"/>
  </r>
  <r>
    <n v="10"/>
    <n v="53"/>
    <n v="3"/>
    <n v="2"/>
    <n v="3"/>
    <n v="8"/>
    <n v="3"/>
    <n v="0.01"/>
    <n v="8"/>
    <n v="0"/>
    <n v="0.84395603329556879"/>
    <n v="0.15604396670443119"/>
    <x v="5"/>
  </r>
  <r>
    <n v="3"/>
    <n v="34"/>
    <n v="5"/>
    <n v="0"/>
    <n v="3"/>
    <n v="3"/>
    <n v="3"/>
    <n v="0.01"/>
    <n v="5"/>
    <n v="0"/>
    <n v="0.84405834525624468"/>
    <n v="0.15594165474375529"/>
    <x v="5"/>
  </r>
  <r>
    <n v="8"/>
    <n v="53"/>
    <n v="5"/>
    <n v="1"/>
    <n v="0"/>
    <n v="4"/>
    <n v="0"/>
    <n v="6058.76"/>
    <n v="3"/>
    <n v="0"/>
    <n v="0.84421387720976704"/>
    <n v="0.15578612279023299"/>
    <x v="5"/>
  </r>
  <r>
    <n v="10"/>
    <n v="65"/>
    <n v="1"/>
    <n v="0"/>
    <n v="3"/>
    <n v="3"/>
    <n v="2"/>
    <n v="3000"/>
    <n v="8"/>
    <n v="0"/>
    <n v="0.84425022069289346"/>
    <n v="0.1557497793071066"/>
    <x v="5"/>
  </r>
  <r>
    <n v="7"/>
    <n v="51"/>
    <n v="5"/>
    <n v="0"/>
    <n v="0"/>
    <n v="11"/>
    <n v="3"/>
    <n v="0.01"/>
    <n v="9"/>
    <n v="0"/>
    <n v="0.84426723898991629"/>
    <n v="0.15573276101008371"/>
    <x v="5"/>
  </r>
  <r>
    <n v="5"/>
    <n v="45"/>
    <n v="2"/>
    <n v="0"/>
    <n v="0"/>
    <n v="10"/>
    <n v="2"/>
    <n v="2000"/>
    <n v="4"/>
    <n v="0"/>
    <n v="0.84442301596508573"/>
    <n v="0.1555769840349143"/>
    <x v="5"/>
  </r>
  <r>
    <n v="8"/>
    <n v="55"/>
    <n v="5"/>
    <n v="0"/>
    <n v="0"/>
    <n v="11"/>
    <n v="3"/>
    <n v="0.01"/>
    <n v="4"/>
    <n v="0"/>
    <n v="0.84471421548472891"/>
    <n v="0.15528578451527111"/>
    <x v="5"/>
  </r>
  <r>
    <n v="8"/>
    <n v="55"/>
    <n v="5"/>
    <n v="0"/>
    <n v="0"/>
    <n v="11"/>
    <n v="3"/>
    <n v="0.01"/>
    <n v="4"/>
    <n v="0"/>
    <n v="0.84471421548472891"/>
    <n v="0.15528578451527111"/>
    <x v="5"/>
  </r>
  <r>
    <n v="8"/>
    <n v="51"/>
    <n v="5"/>
    <n v="1"/>
    <n v="0"/>
    <n v="2"/>
    <n v="3"/>
    <n v="0.01"/>
    <n v="8"/>
    <n v="1"/>
    <n v="0.84474509611249138"/>
    <n v="0.15525490388750859"/>
    <x v="5"/>
  </r>
  <r>
    <n v="10"/>
    <n v="64"/>
    <n v="5"/>
    <n v="0"/>
    <n v="0"/>
    <n v="11"/>
    <n v="2"/>
    <n v="3000"/>
    <n v="7"/>
    <n v="0"/>
    <n v="0.84490168153063117"/>
    <n v="0.15509831846936881"/>
    <x v="5"/>
  </r>
  <r>
    <n v="3"/>
    <n v="30"/>
    <n v="5"/>
    <n v="1"/>
    <n v="3"/>
    <n v="3"/>
    <n v="2"/>
    <n v="210"/>
    <n v="7"/>
    <n v="0"/>
    <n v="0.84509023551556206"/>
    <n v="0.15490976448443791"/>
    <x v="5"/>
  </r>
  <r>
    <n v="8"/>
    <n v="52"/>
    <n v="1"/>
    <n v="1"/>
    <n v="3"/>
    <n v="3"/>
    <n v="2"/>
    <n v="5000"/>
    <n v="1"/>
    <n v="0"/>
    <n v="0.84509300200675797"/>
    <n v="0.15490699799324209"/>
    <x v="5"/>
  </r>
  <r>
    <n v="7"/>
    <n v="48"/>
    <n v="1"/>
    <n v="1"/>
    <n v="3"/>
    <n v="3"/>
    <n v="2"/>
    <n v="3000"/>
    <n v="5"/>
    <n v="0"/>
    <n v="0.84523747020440076"/>
    <n v="0.15476252979559929"/>
    <x v="5"/>
  </r>
  <r>
    <n v="8"/>
    <n v="56"/>
    <n v="1"/>
    <n v="0"/>
    <n v="4"/>
    <n v="9"/>
    <n v="2"/>
    <n v="1000"/>
    <n v="8"/>
    <n v="0"/>
    <n v="0.84561986670335287"/>
    <n v="0.15438013329664721"/>
    <x v="5"/>
  </r>
  <r>
    <n v="7"/>
    <n v="47"/>
    <n v="5"/>
    <n v="1"/>
    <n v="2"/>
    <n v="1"/>
    <n v="2"/>
    <n v="1000"/>
    <n v="9"/>
    <n v="0"/>
    <n v="0.84572279932555594"/>
    <n v="0.154277200674444"/>
    <x v="5"/>
  </r>
  <r>
    <n v="4"/>
    <n v="40"/>
    <n v="1"/>
    <n v="0"/>
    <n v="3"/>
    <n v="3"/>
    <n v="3"/>
    <n v="0.01"/>
    <n v="4"/>
    <n v="0"/>
    <n v="0.84581406761706079"/>
    <n v="0.15418593238293921"/>
    <x v="5"/>
  </r>
  <r>
    <n v="10"/>
    <n v="65"/>
    <n v="3"/>
    <n v="0"/>
    <n v="0"/>
    <n v="11"/>
    <n v="2"/>
    <n v="1600"/>
    <n v="9"/>
    <n v="0"/>
    <n v="0.84584992581896223"/>
    <n v="0.15415007418103779"/>
    <x v="5"/>
  </r>
  <r>
    <n v="7"/>
    <n v="50"/>
    <n v="6"/>
    <n v="0"/>
    <n v="3"/>
    <n v="3"/>
    <n v="3"/>
    <n v="0.01"/>
    <n v="5"/>
    <n v="0"/>
    <n v="0.84592030810055574"/>
    <n v="0.1540796918994442"/>
    <x v="5"/>
  </r>
  <r>
    <n v="7"/>
    <n v="51"/>
    <n v="5"/>
    <n v="0"/>
    <n v="1"/>
    <n v="7"/>
    <n v="3"/>
    <n v="0.01"/>
    <n v="4"/>
    <n v="0"/>
    <n v="0.84595479190974987"/>
    <n v="0.1540452080902501"/>
    <x v="5"/>
  </r>
  <r>
    <n v="11"/>
    <n v="68"/>
    <n v="1"/>
    <n v="0"/>
    <n v="3"/>
    <n v="8"/>
    <n v="3"/>
    <n v="0.01"/>
    <n v="8"/>
    <n v="1"/>
    <n v="0.84596461523413213"/>
    <n v="0.15403538476586781"/>
    <x v="5"/>
  </r>
  <r>
    <n v="8"/>
    <n v="56"/>
    <n v="5"/>
    <n v="0"/>
    <n v="0"/>
    <n v="11"/>
    <n v="2"/>
    <n v="2500"/>
    <n v="6"/>
    <n v="0"/>
    <n v="0.84596461685431723"/>
    <n v="0.1540353831456828"/>
    <x v="5"/>
  </r>
  <r>
    <n v="5"/>
    <n v="45"/>
    <n v="2"/>
    <n v="0"/>
    <n v="0"/>
    <n v="4"/>
    <n v="3"/>
    <n v="0.01"/>
    <n v="5"/>
    <n v="0"/>
    <n v="0.84612479458654066"/>
    <n v="0.15387520541345931"/>
    <x v="5"/>
  </r>
  <r>
    <n v="8"/>
    <n v="59"/>
    <n v="2"/>
    <n v="0"/>
    <n v="0"/>
    <n v="11"/>
    <n v="0"/>
    <n v="12000.01"/>
    <n v="2"/>
    <n v="0"/>
    <n v="0.84641027507994626"/>
    <n v="0.15358972492005371"/>
    <x v="5"/>
  </r>
  <r>
    <n v="8"/>
    <n v="57"/>
    <n v="5"/>
    <n v="0"/>
    <n v="1"/>
    <n v="12"/>
    <n v="0"/>
    <n v="6000"/>
    <n v="3"/>
    <n v="0"/>
    <n v="0.8465216236489187"/>
    <n v="0.1534783763510813"/>
    <x v="5"/>
  </r>
  <r>
    <n v="8"/>
    <n v="55"/>
    <n v="3"/>
    <n v="0"/>
    <n v="3"/>
    <n v="8"/>
    <n v="3"/>
    <n v="0.01"/>
    <n v="5"/>
    <n v="0"/>
    <n v="0.846660701803436"/>
    <n v="0.153339298196564"/>
    <x v="5"/>
  </r>
  <r>
    <n v="8"/>
    <n v="51"/>
    <n v="5"/>
    <n v="1"/>
    <n v="0"/>
    <n v="4"/>
    <n v="3"/>
    <n v="0.01"/>
    <n v="5"/>
    <n v="0"/>
    <n v="0.84668066498648731"/>
    <n v="0.15331933501351269"/>
    <x v="5"/>
  </r>
  <r>
    <n v="8"/>
    <n v="60"/>
    <n v="1"/>
    <n v="0"/>
    <n v="0"/>
    <n v="4"/>
    <n v="1"/>
    <n v="24800"/>
    <n v="15"/>
    <n v="0"/>
    <n v="0.84668653533080174"/>
    <n v="0.15331346466919821"/>
    <x v="5"/>
  </r>
  <r>
    <n v="7"/>
    <n v="50"/>
    <n v="4"/>
    <n v="1"/>
    <n v="0"/>
    <n v="4"/>
    <n v="0"/>
    <n v="6000"/>
    <n v="17"/>
    <n v="0"/>
    <n v="0.84669595775327378"/>
    <n v="0.15330404224672631"/>
    <x v="5"/>
  </r>
  <r>
    <n v="8"/>
    <n v="53"/>
    <n v="0"/>
    <n v="1"/>
    <n v="3"/>
    <n v="3"/>
    <n v="2"/>
    <n v="3000"/>
    <n v="20"/>
    <n v="0"/>
    <n v="0.84674536866402428"/>
    <n v="0.15325463133597569"/>
    <x v="5"/>
  </r>
  <r>
    <n v="8"/>
    <n v="56"/>
    <n v="2"/>
    <n v="0"/>
    <n v="3"/>
    <n v="3"/>
    <n v="3"/>
    <n v="0.01"/>
    <n v="9"/>
    <n v="0"/>
    <n v="0.84682727528538426"/>
    <n v="0.15317272471461579"/>
    <x v="5"/>
  </r>
  <r>
    <n v="8"/>
    <n v="58"/>
    <n v="1"/>
    <n v="0"/>
    <n v="1"/>
    <n v="5"/>
    <n v="2"/>
    <n v="500"/>
    <n v="10"/>
    <n v="0"/>
    <n v="0.84709586848034746"/>
    <n v="0.15290413151965249"/>
    <x v="5"/>
  </r>
  <r>
    <n v="8"/>
    <n v="60"/>
    <n v="0"/>
    <n v="0"/>
    <n v="2"/>
    <n v="1"/>
    <n v="0"/>
    <n v="12160.99"/>
    <n v="5"/>
    <n v="0"/>
    <n v="0.84711212428449523"/>
    <n v="0.1528878757155048"/>
    <x v="5"/>
  </r>
  <r>
    <n v="5"/>
    <n v="39"/>
    <n v="3"/>
    <n v="1"/>
    <n v="3"/>
    <n v="8"/>
    <n v="2"/>
    <n v="4200"/>
    <n v="11"/>
    <n v="0"/>
    <n v="0.84735489748469517"/>
    <n v="0.1526451025153048"/>
    <x v="5"/>
  </r>
  <r>
    <n v="9"/>
    <n v="58"/>
    <n v="2"/>
    <n v="1"/>
    <n v="1"/>
    <n v="7"/>
    <n v="0"/>
    <n v="6000"/>
    <n v="2"/>
    <n v="0"/>
    <n v="0.84741116515333137"/>
    <n v="0.15258883484666869"/>
    <x v="5"/>
  </r>
  <r>
    <n v="9"/>
    <n v="51"/>
    <n v="2"/>
    <n v="2"/>
    <n v="0"/>
    <n v="11"/>
    <n v="3"/>
    <n v="0.01"/>
    <n v="8"/>
    <n v="0"/>
    <n v="0.84764173479191562"/>
    <n v="0.15235826520808429"/>
    <x v="5"/>
  </r>
  <r>
    <n v="5"/>
    <n v="44"/>
    <n v="3"/>
    <n v="0"/>
    <n v="1"/>
    <n v="7"/>
    <n v="3"/>
    <n v="0.01"/>
    <n v="4"/>
    <n v="0"/>
    <n v="0.8477203197418085"/>
    <n v="0.1522796802581915"/>
    <x v="5"/>
  </r>
  <r>
    <n v="9"/>
    <n v="61"/>
    <n v="3"/>
    <n v="0"/>
    <n v="1"/>
    <n v="7"/>
    <n v="2"/>
    <n v="50"/>
    <n v="7"/>
    <n v="0"/>
    <n v="0.84773833387311859"/>
    <n v="0.15226166612688141"/>
    <x v="5"/>
  </r>
  <r>
    <n v="7"/>
    <n v="48"/>
    <n v="3"/>
    <n v="1"/>
    <n v="1"/>
    <n v="7"/>
    <n v="2"/>
    <n v="2000"/>
    <n v="5"/>
    <n v="0"/>
    <n v="0.84774851004847307"/>
    <n v="0.15225148995152701"/>
    <x v="5"/>
  </r>
  <r>
    <n v="8"/>
    <n v="50"/>
    <n v="5"/>
    <n v="1"/>
    <n v="1"/>
    <n v="12"/>
    <n v="3"/>
    <n v="0.01"/>
    <n v="8"/>
    <n v="1"/>
    <n v="0.84775650248827894"/>
    <n v="0.152243497511721"/>
    <x v="5"/>
  </r>
  <r>
    <n v="8"/>
    <n v="54"/>
    <n v="0"/>
    <n v="1"/>
    <n v="3"/>
    <n v="8"/>
    <n v="0"/>
    <n v="12222.49"/>
    <n v="2"/>
    <n v="0"/>
    <n v="0.84776379831795612"/>
    <n v="0.15223620168204391"/>
    <x v="5"/>
  </r>
  <r>
    <n v="9"/>
    <n v="59"/>
    <n v="2"/>
    <n v="1"/>
    <n v="0"/>
    <n v="4"/>
    <n v="0"/>
    <n v="9000"/>
    <n v="8"/>
    <n v="0"/>
    <n v="0.84776466617752078"/>
    <n v="0.1522353338224792"/>
    <x v="5"/>
  </r>
  <r>
    <n v="11"/>
    <n v="70"/>
    <n v="1"/>
    <n v="0"/>
    <n v="1"/>
    <n v="7"/>
    <n v="2"/>
    <n v="2000"/>
    <n v="5"/>
    <n v="0"/>
    <n v="0.84786135328302425"/>
    <n v="0.1521386467169758"/>
    <x v="5"/>
  </r>
  <r>
    <n v="10"/>
    <n v="61"/>
    <n v="1"/>
    <n v="1"/>
    <n v="4"/>
    <n v="9"/>
    <n v="0"/>
    <n v="6000"/>
    <n v="4"/>
    <n v="0"/>
    <n v="0.84795153401614376"/>
    <n v="0.1520484659838563"/>
    <x v="5"/>
  </r>
  <r>
    <n v="7"/>
    <n v="48"/>
    <n v="3"/>
    <n v="1"/>
    <n v="0"/>
    <n v="4"/>
    <n v="3"/>
    <n v="0.01"/>
    <n v="4"/>
    <n v="0"/>
    <n v="0.84821590932854352"/>
    <n v="0.15178409067145651"/>
    <x v="5"/>
  </r>
  <r>
    <n v="7"/>
    <n v="53"/>
    <n v="0"/>
    <n v="0"/>
    <n v="3"/>
    <n v="3"/>
    <n v="3"/>
    <n v="0.01"/>
    <n v="8"/>
    <n v="0"/>
    <n v="0.84836131449035357"/>
    <n v="0.15163868550964649"/>
    <x v="5"/>
  </r>
  <r>
    <n v="8"/>
    <n v="52"/>
    <n v="1"/>
    <n v="1"/>
    <n v="3"/>
    <n v="8"/>
    <n v="2"/>
    <n v="1260"/>
    <n v="7"/>
    <n v="0"/>
    <n v="0.84843574740749095"/>
    <n v="0.151564252592509"/>
    <x v="5"/>
  </r>
  <r>
    <n v="9"/>
    <n v="62"/>
    <n v="1"/>
    <n v="0"/>
    <n v="0"/>
    <n v="4"/>
    <n v="3"/>
    <n v="0.01"/>
    <n v="8"/>
    <n v="0"/>
    <n v="0.84844464852308621"/>
    <n v="0.15155535147691379"/>
    <x v="5"/>
  </r>
  <r>
    <n v="9"/>
    <n v="61"/>
    <n v="5"/>
    <n v="0"/>
    <n v="0"/>
    <n v="4"/>
    <n v="2"/>
    <n v="3000"/>
    <n v="4"/>
    <n v="0"/>
    <n v="0.84861577528266818"/>
    <n v="0.1513842247173319"/>
    <x v="5"/>
  </r>
  <r>
    <n v="8"/>
    <n v="57"/>
    <n v="2"/>
    <n v="0"/>
    <n v="1"/>
    <n v="12"/>
    <n v="2"/>
    <n v="3000"/>
    <n v="1"/>
    <n v="0"/>
    <n v="0.84865557535315506"/>
    <n v="0.15134442464684489"/>
    <x v="5"/>
  </r>
  <r>
    <n v="10"/>
    <n v="63"/>
    <n v="1"/>
    <n v="1"/>
    <n v="1"/>
    <n v="7"/>
    <n v="0"/>
    <n v="11000"/>
    <n v="12"/>
    <n v="0"/>
    <n v="0.84869235857936487"/>
    <n v="0.1513076414206351"/>
    <x v="5"/>
  </r>
  <r>
    <n v="5"/>
    <n v="44"/>
    <n v="4"/>
    <n v="0"/>
    <n v="1"/>
    <n v="12"/>
    <n v="2"/>
    <n v="480"/>
    <n v="5"/>
    <n v="1"/>
    <n v="0.84870908157232794"/>
    <n v="0.15129091842767201"/>
    <x v="5"/>
  </r>
  <r>
    <n v="12"/>
    <n v="75"/>
    <n v="1"/>
    <n v="0"/>
    <n v="3"/>
    <n v="8"/>
    <n v="0"/>
    <n v="18781.009999999998"/>
    <n v="3"/>
    <n v="1"/>
    <n v="0.84876208309366297"/>
    <n v="0.15123791690633709"/>
    <x v="5"/>
  </r>
  <r>
    <n v="6"/>
    <n v="49"/>
    <n v="5"/>
    <n v="0"/>
    <n v="0"/>
    <n v="2"/>
    <n v="2"/>
    <n v="920"/>
    <n v="4"/>
    <n v="1"/>
    <n v="0.84880037893732596"/>
    <n v="0.15119962106267401"/>
    <x v="5"/>
  </r>
  <r>
    <n v="9"/>
    <n v="62"/>
    <n v="3"/>
    <n v="0"/>
    <n v="0"/>
    <n v="4"/>
    <n v="2"/>
    <n v="3000"/>
    <n v="8"/>
    <n v="1"/>
    <n v="0.84892748275768903"/>
    <n v="0.15107251724231099"/>
    <x v="5"/>
  </r>
  <r>
    <n v="10"/>
    <n v="64"/>
    <n v="5"/>
    <n v="0"/>
    <n v="1"/>
    <n v="12"/>
    <n v="2"/>
    <n v="1000"/>
    <n v="10"/>
    <n v="0"/>
    <n v="0.84921309069063999"/>
    <n v="0.15078690930936001"/>
    <x v="5"/>
  </r>
  <r>
    <n v="8"/>
    <n v="51"/>
    <n v="4"/>
    <n v="1"/>
    <n v="1"/>
    <n v="7"/>
    <n v="3"/>
    <n v="0.01"/>
    <n v="4"/>
    <n v="0"/>
    <n v="0.84924303345617336"/>
    <n v="0.1507569665438267"/>
    <x v="5"/>
  </r>
  <r>
    <n v="7"/>
    <n v="51"/>
    <n v="1"/>
    <n v="1"/>
    <n v="1"/>
    <n v="7"/>
    <n v="0"/>
    <n v="20000"/>
    <n v="4"/>
    <n v="0"/>
    <n v="0.84931341027480667"/>
    <n v="0.1506865897251933"/>
    <x v="5"/>
  </r>
  <r>
    <n v="8"/>
    <n v="49"/>
    <n v="5"/>
    <n v="1"/>
    <n v="4"/>
    <n v="9"/>
    <n v="3"/>
    <n v="0.01"/>
    <n v="5"/>
    <n v="0"/>
    <n v="0.84936119622022577"/>
    <n v="0.15063880377977421"/>
    <x v="5"/>
  </r>
  <r>
    <n v="12"/>
    <n v="76"/>
    <n v="2"/>
    <n v="0"/>
    <n v="1"/>
    <n v="5"/>
    <n v="0"/>
    <n v="17638.18"/>
    <n v="11"/>
    <n v="0"/>
    <n v="0.84936686592781929"/>
    <n v="0.15063313407218079"/>
    <x v="5"/>
  </r>
  <r>
    <n v="9"/>
    <n v="62"/>
    <n v="3"/>
    <n v="0"/>
    <n v="0"/>
    <n v="4"/>
    <n v="2"/>
    <n v="50"/>
    <n v="9"/>
    <n v="0"/>
    <n v="0.84937172783853176"/>
    <n v="0.15062827216146829"/>
    <x v="5"/>
  </r>
  <r>
    <n v="9"/>
    <n v="58"/>
    <n v="5"/>
    <n v="1"/>
    <n v="0"/>
    <n v="4"/>
    <n v="0"/>
    <n v="16000"/>
    <n v="3"/>
    <n v="0"/>
    <n v="0.8495474349293205"/>
    <n v="0.1504525650706795"/>
    <x v="5"/>
  </r>
  <r>
    <n v="7"/>
    <n v="51"/>
    <n v="0"/>
    <n v="1"/>
    <n v="1"/>
    <n v="12"/>
    <n v="0"/>
    <n v="19958.099999999999"/>
    <n v="3"/>
    <n v="0"/>
    <n v="0.84963274513946663"/>
    <n v="0.15036725486053329"/>
    <x v="5"/>
  </r>
  <r>
    <n v="9"/>
    <n v="61"/>
    <n v="6"/>
    <n v="0"/>
    <n v="3"/>
    <n v="3"/>
    <n v="0"/>
    <n v="6053.35"/>
    <n v="7"/>
    <n v="0"/>
    <n v="0.84980531348329647"/>
    <n v="0.15019468651670359"/>
    <x v="5"/>
  </r>
  <r>
    <n v="12"/>
    <n v="65"/>
    <n v="2"/>
    <n v="2"/>
    <n v="0"/>
    <n v="2"/>
    <n v="2"/>
    <n v="600.01"/>
    <n v="8"/>
    <n v="0"/>
    <n v="0.84981133542883791"/>
    <n v="0.15018866457116209"/>
    <x v="5"/>
  </r>
  <r>
    <n v="10"/>
    <n v="67"/>
    <n v="1"/>
    <n v="0"/>
    <n v="3"/>
    <n v="3"/>
    <n v="1"/>
    <n v="30075"/>
    <n v="0"/>
    <n v="0"/>
    <n v="0.84982001537593232"/>
    <n v="0.1501799846240677"/>
    <x v="5"/>
  </r>
  <r>
    <n v="8"/>
    <n v="55"/>
    <n v="5"/>
    <n v="0"/>
    <n v="3"/>
    <n v="3"/>
    <n v="3"/>
    <n v="0.01"/>
    <n v="5"/>
    <n v="1"/>
    <n v="0.84989842343876232"/>
    <n v="0.15010157656123771"/>
    <x v="5"/>
  </r>
  <r>
    <n v="6"/>
    <n v="44"/>
    <n v="4"/>
    <n v="1"/>
    <n v="0"/>
    <n v="2"/>
    <n v="3"/>
    <n v="0.01"/>
    <n v="8"/>
    <n v="0"/>
    <n v="0.84990819782785731"/>
    <n v="0.1500918021721426"/>
    <x v="5"/>
  </r>
  <r>
    <n v="5"/>
    <n v="35"/>
    <n v="2"/>
    <n v="2"/>
    <n v="2"/>
    <n v="1"/>
    <n v="3"/>
    <n v="0.01"/>
    <n v="5"/>
    <n v="0"/>
    <n v="0.8499386956478957"/>
    <n v="0.1500613043521043"/>
    <x v="5"/>
  </r>
  <r>
    <n v="7"/>
    <n v="54"/>
    <n v="3"/>
    <n v="0"/>
    <n v="0"/>
    <n v="4"/>
    <n v="2"/>
    <n v="600"/>
    <n v="9"/>
    <n v="0"/>
    <n v="0.85003036075402283"/>
    <n v="0.14996963924597709"/>
    <x v="5"/>
  </r>
  <r>
    <n v="9"/>
    <n v="57"/>
    <n v="3"/>
    <n v="1"/>
    <n v="3"/>
    <n v="8"/>
    <n v="1"/>
    <n v="30088.81"/>
    <n v="12"/>
    <n v="0"/>
    <n v="0.85008331380589386"/>
    <n v="0.1499166861941062"/>
    <x v="5"/>
  </r>
  <r>
    <n v="9"/>
    <n v="53"/>
    <n v="2"/>
    <n v="2"/>
    <n v="3"/>
    <n v="3"/>
    <n v="0"/>
    <n v="8025"/>
    <n v="6"/>
    <n v="0"/>
    <n v="0.85011901557416603"/>
    <n v="0.14988098442583389"/>
    <x v="5"/>
  </r>
  <r>
    <n v="8"/>
    <n v="51"/>
    <n v="3"/>
    <n v="1"/>
    <n v="3"/>
    <n v="3"/>
    <n v="3"/>
    <n v="0.01"/>
    <n v="5"/>
    <n v="1"/>
    <n v="0.85017578417806916"/>
    <n v="0.14982421582193081"/>
    <x v="5"/>
  </r>
  <r>
    <n v="2"/>
    <n v="32"/>
    <n v="4"/>
    <n v="0"/>
    <n v="3"/>
    <n v="3"/>
    <n v="2"/>
    <n v="2000"/>
    <n v="7"/>
    <n v="1"/>
    <n v="0.85017855912850715"/>
    <n v="0.14982144087149291"/>
    <x v="5"/>
  </r>
  <r>
    <n v="8"/>
    <n v="55"/>
    <n v="4"/>
    <n v="0"/>
    <n v="3"/>
    <n v="8"/>
    <n v="3"/>
    <n v="0.01"/>
    <n v="4"/>
    <n v="0"/>
    <n v="0.85020813956801877"/>
    <n v="0.1497918604319812"/>
    <x v="5"/>
  </r>
  <r>
    <n v="7"/>
    <n v="53"/>
    <n v="2"/>
    <n v="0"/>
    <n v="0"/>
    <n v="11"/>
    <n v="3"/>
    <n v="0.01"/>
    <n v="5"/>
    <n v="1"/>
    <n v="0.85029385202978958"/>
    <n v="0.1497061479702104"/>
    <x v="5"/>
  </r>
  <r>
    <n v="8"/>
    <n v="46"/>
    <n v="5"/>
    <n v="2"/>
    <n v="1"/>
    <n v="5"/>
    <n v="3"/>
    <n v="0.01"/>
    <n v="5"/>
    <n v="0"/>
    <n v="0.85034659323791906"/>
    <n v="0.14965340676208089"/>
    <x v="5"/>
  </r>
  <r>
    <n v="6"/>
    <n v="51"/>
    <n v="4"/>
    <n v="0"/>
    <n v="0"/>
    <n v="4"/>
    <n v="0"/>
    <n v="6000"/>
    <n v="1"/>
    <n v="0"/>
    <n v="0.85041937339668916"/>
    <n v="0.14958062660331081"/>
    <x v="5"/>
  </r>
  <r>
    <n v="6"/>
    <n v="43"/>
    <n v="5"/>
    <n v="1"/>
    <n v="2"/>
    <n v="6"/>
    <n v="2"/>
    <n v="600"/>
    <n v="4"/>
    <n v="0"/>
    <n v="0.85055739185640655"/>
    <n v="0.1494426081435935"/>
    <x v="5"/>
  </r>
  <r>
    <n v="8"/>
    <n v="51"/>
    <n v="5"/>
    <n v="1"/>
    <n v="3"/>
    <n v="3"/>
    <n v="2"/>
    <n v="0.02"/>
    <n v="9"/>
    <n v="0"/>
    <n v="0.85061512572361431"/>
    <n v="0.14938487427638569"/>
    <x v="5"/>
  </r>
  <r>
    <n v="9"/>
    <n v="57"/>
    <n v="1"/>
    <n v="1"/>
    <n v="3"/>
    <n v="3"/>
    <n v="2"/>
    <n v="1000"/>
    <n v="16"/>
    <n v="0"/>
    <n v="0.85080676445382053"/>
    <n v="0.14919323554617939"/>
    <x v="5"/>
  </r>
  <r>
    <n v="8"/>
    <n v="59"/>
    <n v="1"/>
    <n v="0"/>
    <n v="0"/>
    <n v="4"/>
    <n v="2"/>
    <n v="4000"/>
    <n v="3"/>
    <n v="0"/>
    <n v="0.85089249735989336"/>
    <n v="0.14910750264010661"/>
    <x v="5"/>
  </r>
  <r>
    <n v="3"/>
    <n v="33"/>
    <n v="0"/>
    <n v="1"/>
    <n v="1"/>
    <n v="12"/>
    <n v="2"/>
    <n v="420"/>
    <n v="4"/>
    <n v="1"/>
    <n v="0.85090052950110884"/>
    <n v="0.14909947049889119"/>
    <x v="5"/>
  </r>
  <r>
    <n v="9"/>
    <n v="51"/>
    <n v="3"/>
    <n v="2"/>
    <n v="2"/>
    <n v="1"/>
    <n v="3"/>
    <n v="0.01"/>
    <n v="10"/>
    <n v="0"/>
    <n v="0.8509295759951907"/>
    <n v="0.1490704240048093"/>
    <x v="5"/>
  </r>
  <r>
    <n v="6"/>
    <n v="49"/>
    <n v="1"/>
    <n v="0"/>
    <n v="3"/>
    <n v="8"/>
    <n v="2"/>
    <n v="50"/>
    <n v="2"/>
    <n v="0"/>
    <n v="0.8509657747356798"/>
    <n v="0.1490342252643202"/>
    <x v="5"/>
  </r>
  <r>
    <n v="8"/>
    <n v="57"/>
    <n v="3"/>
    <n v="0"/>
    <n v="2"/>
    <n v="6"/>
    <n v="2"/>
    <n v="2000"/>
    <n v="5"/>
    <n v="0"/>
    <n v="0.85098616017965278"/>
    <n v="0.14901383982034719"/>
    <x v="5"/>
  </r>
  <r>
    <n v="5"/>
    <n v="43"/>
    <n v="5"/>
    <n v="0"/>
    <n v="3"/>
    <n v="3"/>
    <n v="3"/>
    <n v="0.01"/>
    <n v="5"/>
    <n v="1"/>
    <n v="0.85105121855323573"/>
    <n v="0.14894878144676429"/>
    <x v="5"/>
  </r>
  <r>
    <n v="5"/>
    <n v="43"/>
    <n v="5"/>
    <n v="0"/>
    <n v="3"/>
    <n v="3"/>
    <n v="3"/>
    <n v="0.01"/>
    <n v="5"/>
    <n v="0"/>
    <n v="0.85105121855323573"/>
    <n v="0.14894878144676429"/>
    <x v="5"/>
  </r>
  <r>
    <n v="8"/>
    <n v="51"/>
    <n v="3"/>
    <n v="1"/>
    <n v="4"/>
    <n v="9"/>
    <n v="2"/>
    <n v="2000"/>
    <n v="10"/>
    <n v="0"/>
    <n v="0.85115423454163197"/>
    <n v="0.148845765458368"/>
    <x v="5"/>
  </r>
  <r>
    <n v="7"/>
    <n v="50"/>
    <n v="1"/>
    <n v="1"/>
    <n v="3"/>
    <n v="8"/>
    <n v="0"/>
    <n v="9000"/>
    <n v="8"/>
    <n v="0"/>
    <n v="0.85119124117573419"/>
    <n v="0.14880875882426581"/>
    <x v="5"/>
  </r>
  <r>
    <n v="8"/>
    <n v="58"/>
    <n v="2"/>
    <n v="0"/>
    <n v="0"/>
    <n v="2"/>
    <n v="3"/>
    <n v="0.01"/>
    <n v="5"/>
    <n v="0"/>
    <n v="0.85127729843944522"/>
    <n v="0.14872270156055481"/>
    <x v="5"/>
  </r>
  <r>
    <n v="9"/>
    <n v="61"/>
    <n v="1"/>
    <n v="0"/>
    <n v="3"/>
    <n v="3"/>
    <n v="3"/>
    <n v="0.01"/>
    <n v="5"/>
    <n v="0"/>
    <n v="0.85143747765087019"/>
    <n v="0.14856252234912981"/>
    <x v="5"/>
  </r>
  <r>
    <n v="6"/>
    <n v="49"/>
    <n v="4"/>
    <n v="0"/>
    <n v="1"/>
    <n v="7"/>
    <n v="2"/>
    <n v="1608"/>
    <n v="10"/>
    <n v="0"/>
    <n v="0.85144424561079701"/>
    <n v="0.14855575438920299"/>
    <x v="5"/>
  </r>
  <r>
    <n v="6"/>
    <n v="50"/>
    <n v="2"/>
    <n v="0"/>
    <n v="0"/>
    <n v="11"/>
    <n v="2"/>
    <n v="5000"/>
    <n v="5"/>
    <n v="0"/>
    <n v="0.85170483923416596"/>
    <n v="0.1482951607658341"/>
    <x v="5"/>
  </r>
  <r>
    <n v="5"/>
    <n v="45"/>
    <n v="3"/>
    <n v="0"/>
    <n v="2"/>
    <n v="6"/>
    <n v="2"/>
    <n v="4000"/>
    <n v="5"/>
    <n v="0"/>
    <n v="0.85172555106460712"/>
    <n v="0.14827444893539279"/>
    <x v="5"/>
  </r>
  <r>
    <n v="6"/>
    <n v="39"/>
    <n v="2"/>
    <n v="2"/>
    <n v="3"/>
    <n v="8"/>
    <n v="2"/>
    <n v="250.01"/>
    <n v="9"/>
    <n v="0"/>
    <n v="0.85175025564744766"/>
    <n v="0.14824974435255239"/>
    <x v="5"/>
  </r>
  <r>
    <n v="6"/>
    <n v="50"/>
    <n v="5"/>
    <n v="0"/>
    <n v="1"/>
    <n v="7"/>
    <n v="0"/>
    <n v="6000"/>
    <n v="1"/>
    <n v="0"/>
    <n v="0.85181602438877368"/>
    <n v="0.14818397561122629"/>
    <x v="5"/>
  </r>
  <r>
    <n v="7"/>
    <n v="52"/>
    <n v="1"/>
    <n v="0"/>
    <n v="4"/>
    <n v="9"/>
    <n v="3"/>
    <n v="0.01"/>
    <n v="8"/>
    <n v="0"/>
    <n v="0.85186402277452544"/>
    <n v="0.1481359772254745"/>
    <x v="5"/>
  </r>
  <r>
    <n v="8"/>
    <n v="53"/>
    <n v="1"/>
    <n v="1"/>
    <n v="1"/>
    <n v="12"/>
    <n v="2"/>
    <n v="3000"/>
    <n v="3"/>
    <n v="0"/>
    <n v="0.8519532303656866"/>
    <n v="0.1480467696343134"/>
    <x v="5"/>
  </r>
  <r>
    <n v="7"/>
    <n v="51"/>
    <n v="0"/>
    <n v="1"/>
    <n v="3"/>
    <n v="3"/>
    <n v="0"/>
    <n v="9000"/>
    <n v="8"/>
    <n v="0"/>
    <n v="0.85200308332035446"/>
    <n v="0.14799691667964551"/>
    <x v="5"/>
  </r>
  <r>
    <n v="7"/>
    <n v="53"/>
    <n v="4"/>
    <n v="0"/>
    <n v="1"/>
    <n v="7"/>
    <n v="2"/>
    <n v="3000"/>
    <n v="2"/>
    <n v="0"/>
    <n v="0.85207757296771702"/>
    <n v="0.147922427032283"/>
    <x v="5"/>
  </r>
  <r>
    <n v="7"/>
    <n v="53"/>
    <n v="4"/>
    <n v="0"/>
    <n v="0"/>
    <n v="4"/>
    <n v="3"/>
    <n v="0.01"/>
    <n v="5"/>
    <n v="0"/>
    <n v="0.85208977701462019"/>
    <n v="0.14791022298537981"/>
    <x v="5"/>
  </r>
  <r>
    <n v="7"/>
    <n v="53"/>
    <n v="3"/>
    <n v="0"/>
    <n v="3"/>
    <n v="3"/>
    <n v="2"/>
    <n v="4000"/>
    <n v="6"/>
    <n v="0"/>
    <n v="0.85230904189504897"/>
    <n v="0.14769095810495109"/>
    <x v="5"/>
  </r>
  <r>
    <n v="8"/>
    <n v="56"/>
    <n v="3"/>
    <n v="0"/>
    <n v="4"/>
    <n v="9"/>
    <n v="2"/>
    <n v="2000"/>
    <n v="5"/>
    <n v="1"/>
    <n v="0.85264527752130792"/>
    <n v="0.14735472247869211"/>
    <x v="5"/>
  </r>
  <r>
    <n v="8"/>
    <n v="58"/>
    <n v="1"/>
    <n v="0"/>
    <n v="3"/>
    <n v="3"/>
    <n v="2"/>
    <n v="3000"/>
    <n v="8"/>
    <n v="0"/>
    <n v="0.85276012784064903"/>
    <n v="0.14723987215935089"/>
    <x v="5"/>
  </r>
  <r>
    <n v="9"/>
    <n v="55"/>
    <n v="3"/>
    <n v="1"/>
    <n v="3"/>
    <n v="8"/>
    <n v="3"/>
    <n v="0.01"/>
    <n v="8"/>
    <n v="0"/>
    <n v="0.85277714191537402"/>
    <n v="0.14722285808462601"/>
    <x v="5"/>
  </r>
  <r>
    <n v="10"/>
    <n v="64"/>
    <n v="0"/>
    <n v="1"/>
    <n v="1"/>
    <n v="7"/>
    <n v="0"/>
    <n v="16000"/>
    <n v="7"/>
    <n v="0"/>
    <n v="0.85278606661546896"/>
    <n v="0.14721393338453101"/>
    <x v="5"/>
  </r>
  <r>
    <n v="12"/>
    <n v="73"/>
    <n v="5"/>
    <n v="0"/>
    <n v="1"/>
    <n v="7"/>
    <n v="2"/>
    <n v="3141.37"/>
    <n v="6"/>
    <n v="0"/>
    <n v="0.85281035402220429"/>
    <n v="0.1471896459777958"/>
    <x v="5"/>
  </r>
  <r>
    <n v="5"/>
    <n v="44"/>
    <n v="5"/>
    <n v="0"/>
    <n v="0"/>
    <n v="11"/>
    <n v="3"/>
    <n v="0.01"/>
    <n v="8"/>
    <n v="0"/>
    <n v="0.85293764312233145"/>
    <n v="0.1470623568776685"/>
    <x v="5"/>
  </r>
  <r>
    <n v="10"/>
    <n v="68"/>
    <n v="1"/>
    <n v="0"/>
    <n v="3"/>
    <n v="3"/>
    <n v="0"/>
    <n v="12000"/>
    <n v="16"/>
    <n v="0"/>
    <n v="0.85294828440335912"/>
    <n v="0.1470517155966409"/>
    <x v="5"/>
  </r>
  <r>
    <n v="9"/>
    <n v="51"/>
    <n v="4"/>
    <n v="2"/>
    <n v="3"/>
    <n v="3"/>
    <n v="2"/>
    <n v="4884.25"/>
    <n v="8"/>
    <n v="0"/>
    <n v="0.85299733113573151"/>
    <n v="0.14700266886426849"/>
    <x v="5"/>
  </r>
  <r>
    <n v="8"/>
    <n v="58"/>
    <n v="1"/>
    <n v="0"/>
    <n v="3"/>
    <n v="3"/>
    <n v="2"/>
    <n v="2500"/>
    <n v="7"/>
    <n v="0"/>
    <n v="0.85302244087254619"/>
    <n v="0.14697755912745389"/>
    <x v="5"/>
  </r>
  <r>
    <n v="9"/>
    <n v="63"/>
    <n v="2"/>
    <n v="0"/>
    <n v="0"/>
    <n v="4"/>
    <n v="2"/>
    <n v="3000"/>
    <n v="9"/>
    <n v="0"/>
    <n v="0.85305928846034074"/>
    <n v="0.14694071153965921"/>
    <x v="5"/>
  </r>
  <r>
    <n v="11"/>
    <n v="65"/>
    <n v="5"/>
    <n v="1"/>
    <n v="3"/>
    <n v="3"/>
    <n v="0"/>
    <n v="5999.98"/>
    <n v="4"/>
    <n v="0"/>
    <n v="0.85314087673604755"/>
    <n v="0.14685912326395251"/>
    <x v="5"/>
  </r>
  <r>
    <n v="9"/>
    <n v="62"/>
    <n v="1"/>
    <n v="0"/>
    <n v="0"/>
    <n v="11"/>
    <n v="3"/>
    <n v="0.01"/>
    <n v="9"/>
    <n v="1"/>
    <n v="0.85315893569461076"/>
    <n v="0.14684106430538921"/>
    <x v="5"/>
  </r>
  <r>
    <n v="8"/>
    <n v="60"/>
    <n v="0"/>
    <n v="0"/>
    <n v="3"/>
    <n v="3"/>
    <n v="0"/>
    <n v="8000"/>
    <n v="3"/>
    <n v="0"/>
    <n v="0.85331062064689689"/>
    <n v="0.14668937935310311"/>
    <x v="5"/>
  </r>
  <r>
    <n v="6"/>
    <n v="51"/>
    <n v="2"/>
    <n v="0"/>
    <n v="3"/>
    <n v="3"/>
    <n v="0"/>
    <n v="6000"/>
    <n v="2"/>
    <n v="0"/>
    <n v="0.85368353482444359"/>
    <n v="0.14631646517555641"/>
    <x v="5"/>
  </r>
  <r>
    <n v="9"/>
    <n v="65"/>
    <n v="1"/>
    <n v="0"/>
    <n v="0"/>
    <n v="4"/>
    <n v="0"/>
    <n v="10000"/>
    <n v="1"/>
    <n v="0"/>
    <n v="0.85368789928612898"/>
    <n v="0.14631210071387099"/>
    <x v="5"/>
  </r>
  <r>
    <n v="10"/>
    <n v="67"/>
    <n v="4"/>
    <n v="0"/>
    <n v="3"/>
    <n v="8"/>
    <n v="1"/>
    <n v="68158.67"/>
    <n v="11"/>
    <n v="0"/>
    <n v="0.85371580666202673"/>
    <n v="0.14628419333797321"/>
    <x v="5"/>
  </r>
  <r>
    <n v="13"/>
    <n v="69"/>
    <n v="0"/>
    <n v="2"/>
    <n v="3"/>
    <n v="3"/>
    <n v="2"/>
    <n v="3000"/>
    <n v="8"/>
    <n v="0"/>
    <n v="0.85375887691416974"/>
    <n v="0.1462411230858302"/>
    <x v="5"/>
  </r>
  <r>
    <n v="7"/>
    <n v="51"/>
    <n v="2"/>
    <n v="1"/>
    <n v="1"/>
    <n v="5"/>
    <n v="0"/>
    <n v="6000"/>
    <n v="6"/>
    <n v="0"/>
    <n v="0.85377697640721772"/>
    <n v="0.1462230235927823"/>
    <x v="5"/>
  </r>
  <r>
    <n v="5"/>
    <n v="44"/>
    <n v="4"/>
    <n v="0"/>
    <n v="1"/>
    <n v="12"/>
    <n v="3"/>
    <n v="0.01"/>
    <n v="8"/>
    <n v="0"/>
    <n v="0.8538898526537767"/>
    <n v="0.1461101473462233"/>
    <x v="5"/>
  </r>
  <r>
    <n v="6"/>
    <n v="39"/>
    <n v="2"/>
    <n v="2"/>
    <n v="3"/>
    <n v="3"/>
    <n v="3"/>
    <n v="0.01"/>
    <n v="8"/>
    <n v="0"/>
    <n v="0.85404019832004052"/>
    <n v="0.14595980167995951"/>
    <x v="5"/>
  </r>
  <r>
    <n v="8"/>
    <n v="47"/>
    <n v="1"/>
    <n v="2"/>
    <n v="3"/>
    <n v="8"/>
    <n v="3"/>
    <n v="0.01"/>
    <n v="4"/>
    <n v="0"/>
    <n v="0.85407030766686654"/>
    <n v="0.14592969233313341"/>
    <x v="5"/>
  </r>
  <r>
    <n v="5"/>
    <n v="48"/>
    <n v="0"/>
    <n v="0"/>
    <n v="3"/>
    <n v="3"/>
    <n v="0"/>
    <n v="9000"/>
    <n v="4"/>
    <n v="0"/>
    <n v="0.85408111170522183"/>
    <n v="0.1459188882947782"/>
    <x v="5"/>
  </r>
  <r>
    <n v="9"/>
    <n v="58"/>
    <n v="1"/>
    <n v="1"/>
    <n v="4"/>
    <n v="9"/>
    <n v="0"/>
    <n v="15000"/>
    <n v="4"/>
    <n v="0"/>
    <n v="0.85412385993402429"/>
    <n v="0.14587614006597571"/>
    <x v="5"/>
  </r>
  <r>
    <n v="10"/>
    <n v="67"/>
    <n v="1"/>
    <n v="0"/>
    <n v="0"/>
    <n v="2"/>
    <n v="3"/>
    <n v="0.01"/>
    <n v="9"/>
    <n v="0"/>
    <n v="0.85412678976030443"/>
    <n v="0.14587321023969549"/>
    <x v="5"/>
  </r>
  <r>
    <n v="7"/>
    <n v="52"/>
    <n v="3"/>
    <n v="0"/>
    <n v="3"/>
    <n v="8"/>
    <n v="3"/>
    <n v="0.01"/>
    <n v="8"/>
    <n v="0"/>
    <n v="0.85420716651585649"/>
    <n v="0.14579283348414351"/>
    <x v="5"/>
  </r>
  <r>
    <n v="9"/>
    <n v="58"/>
    <n v="3"/>
    <n v="1"/>
    <n v="3"/>
    <n v="3"/>
    <n v="0"/>
    <n v="9000"/>
    <n v="4"/>
    <n v="0"/>
    <n v="0.8542373267753115"/>
    <n v="0.1457626732246885"/>
    <x v="5"/>
  </r>
  <r>
    <n v="6"/>
    <n v="49"/>
    <n v="5"/>
    <n v="0"/>
    <n v="0"/>
    <n v="11"/>
    <n v="2"/>
    <n v="4000"/>
    <n v="5"/>
    <n v="0"/>
    <n v="0.85425615134370303"/>
    <n v="0.145743848656297"/>
    <x v="5"/>
  </r>
  <r>
    <n v="8"/>
    <n v="52"/>
    <n v="5"/>
    <n v="1"/>
    <n v="0"/>
    <n v="4"/>
    <n v="3"/>
    <n v="0.01"/>
    <n v="5"/>
    <n v="0"/>
    <n v="0.85433006906095099"/>
    <n v="0.14566993093904901"/>
    <x v="5"/>
  </r>
  <r>
    <n v="9"/>
    <n v="65"/>
    <n v="1"/>
    <n v="0"/>
    <n v="0"/>
    <n v="4"/>
    <n v="0"/>
    <n v="6000"/>
    <n v="2"/>
    <n v="1"/>
    <n v="0.85433122162787778"/>
    <n v="0.14566877837212219"/>
    <x v="5"/>
  </r>
  <r>
    <n v="9"/>
    <n v="61"/>
    <n v="2"/>
    <n v="0"/>
    <n v="3"/>
    <n v="3"/>
    <n v="3"/>
    <n v="0.01"/>
    <n v="7"/>
    <n v="1"/>
    <n v="0.85441445397449578"/>
    <n v="0.14558554602550419"/>
    <x v="5"/>
  </r>
  <r>
    <n v="7"/>
    <n v="51"/>
    <n v="2"/>
    <n v="1"/>
    <n v="1"/>
    <n v="7"/>
    <n v="0"/>
    <n v="12000"/>
    <n v="2"/>
    <n v="0"/>
    <n v="0.85458058082374988"/>
    <n v="0.14541941917625009"/>
    <x v="5"/>
  </r>
  <r>
    <n v="10"/>
    <n v="56"/>
    <n v="2"/>
    <n v="2"/>
    <n v="3"/>
    <n v="3"/>
    <n v="2"/>
    <n v="1500"/>
    <n v="5"/>
    <n v="0"/>
    <n v="0.85472616001600121"/>
    <n v="0.1452738399839987"/>
    <x v="5"/>
  </r>
  <r>
    <n v="10"/>
    <n v="61"/>
    <n v="2"/>
    <n v="1"/>
    <n v="3"/>
    <n v="3"/>
    <n v="2"/>
    <n v="1440.01"/>
    <n v="9"/>
    <n v="0"/>
    <n v="0.85476952116890548"/>
    <n v="0.14523047883109449"/>
    <x v="5"/>
  </r>
  <r>
    <n v="7"/>
    <n v="55"/>
    <n v="2"/>
    <n v="0"/>
    <n v="1"/>
    <n v="12"/>
    <n v="1"/>
    <n v="20538.689999999999"/>
    <n v="3"/>
    <n v="0"/>
    <n v="0.85478363744050978"/>
    <n v="0.1452163625594903"/>
    <x v="5"/>
  </r>
  <r>
    <n v="8"/>
    <n v="54"/>
    <n v="3"/>
    <n v="1"/>
    <n v="0"/>
    <n v="2"/>
    <n v="2"/>
    <n v="3000"/>
    <n v="8"/>
    <n v="0"/>
    <n v="0.8548349942771053"/>
    <n v="0.1451650057228947"/>
    <x v="5"/>
  </r>
  <r>
    <n v="7"/>
    <n v="53"/>
    <n v="5"/>
    <n v="0"/>
    <n v="0"/>
    <n v="4"/>
    <n v="3"/>
    <n v="0.01"/>
    <n v="8"/>
    <n v="0"/>
    <n v="0.85489657035078581"/>
    <n v="0.14510342964921419"/>
    <x v="5"/>
  </r>
  <r>
    <n v="5"/>
    <n v="42"/>
    <n v="4"/>
    <n v="1"/>
    <n v="0"/>
    <n v="11"/>
    <n v="0"/>
    <n v="6000"/>
    <n v="1"/>
    <n v="0"/>
    <n v="0.8549480969292157"/>
    <n v="0.1450519030707843"/>
    <x v="5"/>
  </r>
  <r>
    <n v="6"/>
    <n v="51"/>
    <n v="4"/>
    <n v="0"/>
    <n v="2"/>
    <n v="1"/>
    <n v="0"/>
    <n v="5897.24"/>
    <n v="4"/>
    <n v="0"/>
    <n v="0.85502699535539772"/>
    <n v="0.14497300464460219"/>
    <x v="5"/>
  </r>
  <r>
    <n v="8"/>
    <n v="58"/>
    <n v="3"/>
    <n v="0"/>
    <n v="0"/>
    <n v="11"/>
    <n v="2"/>
    <n v="1000"/>
    <n v="5"/>
    <n v="0"/>
    <n v="0.8550460696696478"/>
    <n v="0.1449539303303522"/>
    <x v="5"/>
  </r>
  <r>
    <n v="3"/>
    <n v="34"/>
    <n v="2"/>
    <n v="1"/>
    <n v="0"/>
    <n v="4"/>
    <n v="2"/>
    <n v="900"/>
    <n v="9"/>
    <n v="0"/>
    <n v="0.85506858783063622"/>
    <n v="0.14493141216936381"/>
    <x v="5"/>
  </r>
  <r>
    <n v="7"/>
    <n v="53"/>
    <n v="4"/>
    <n v="0"/>
    <n v="1"/>
    <n v="12"/>
    <n v="2"/>
    <n v="4200"/>
    <n v="3"/>
    <n v="0"/>
    <n v="0.85510541717307742"/>
    <n v="0.1448945828269225"/>
    <x v="5"/>
  </r>
  <r>
    <n v="10"/>
    <n v="66"/>
    <n v="2"/>
    <n v="0"/>
    <n v="1"/>
    <n v="12"/>
    <n v="2"/>
    <n v="4000"/>
    <n v="2"/>
    <n v="0"/>
    <n v="0.85511913862589861"/>
    <n v="0.14488086137410139"/>
    <x v="5"/>
  </r>
  <r>
    <n v="4"/>
    <n v="41"/>
    <n v="5"/>
    <n v="0"/>
    <n v="0"/>
    <n v="2"/>
    <n v="3"/>
    <n v="0.01"/>
    <n v="5"/>
    <n v="0"/>
    <n v="0.85513724321463158"/>
    <n v="0.1448627567853685"/>
    <x v="5"/>
  </r>
  <r>
    <n v="11"/>
    <n v="72"/>
    <n v="1"/>
    <n v="0"/>
    <n v="3"/>
    <n v="3"/>
    <n v="0"/>
    <n v="6053.35"/>
    <n v="7"/>
    <n v="0"/>
    <n v="0.85520718282346064"/>
    <n v="0.14479281717653941"/>
    <x v="5"/>
  </r>
  <r>
    <n v="7"/>
    <n v="53"/>
    <n v="4"/>
    <n v="0"/>
    <n v="3"/>
    <n v="3"/>
    <n v="2"/>
    <n v="1000"/>
    <n v="12"/>
    <n v="0"/>
    <n v="0.85523357697083624"/>
    <n v="0.1447664230291637"/>
    <x v="5"/>
  </r>
  <r>
    <n v="5"/>
    <n v="44"/>
    <n v="4"/>
    <n v="0"/>
    <n v="3"/>
    <n v="3"/>
    <n v="3"/>
    <n v="0.01"/>
    <n v="5"/>
    <n v="0"/>
    <n v="0.85529397182382061"/>
    <n v="0.14470602817617939"/>
    <x v="5"/>
  </r>
  <r>
    <n v="10"/>
    <n v="63"/>
    <n v="1"/>
    <n v="1"/>
    <n v="0"/>
    <n v="4"/>
    <n v="2"/>
    <n v="5000"/>
    <n v="12"/>
    <n v="0"/>
    <n v="0.85534814983043428"/>
    <n v="0.14465185016956569"/>
    <x v="5"/>
  </r>
  <r>
    <n v="10"/>
    <n v="63"/>
    <n v="1"/>
    <n v="1"/>
    <n v="3"/>
    <n v="3"/>
    <n v="0"/>
    <n v="6000"/>
    <n v="4"/>
    <n v="0"/>
    <n v="0.85540148956145634"/>
    <n v="0.14459851043854369"/>
    <x v="5"/>
  </r>
  <r>
    <n v="8"/>
    <n v="58"/>
    <n v="0"/>
    <n v="0"/>
    <n v="3"/>
    <n v="3"/>
    <n v="3"/>
    <n v="0.01"/>
    <n v="8"/>
    <n v="0"/>
    <n v="0.85556813535040199"/>
    <n v="0.14443186464959801"/>
    <x v="5"/>
  </r>
  <r>
    <n v="6"/>
    <n v="51"/>
    <n v="3"/>
    <n v="0"/>
    <n v="3"/>
    <n v="3"/>
    <n v="0"/>
    <n v="12000"/>
    <n v="3"/>
    <n v="1"/>
    <n v="0.85559047618508921"/>
    <n v="0.14440952381491071"/>
    <x v="5"/>
  </r>
  <r>
    <n v="5"/>
    <n v="46"/>
    <n v="3"/>
    <n v="0"/>
    <n v="0"/>
    <n v="2"/>
    <n v="3"/>
    <n v="0.01"/>
    <n v="5"/>
    <n v="0"/>
    <n v="0.85569959532932605"/>
    <n v="0.14430040467067401"/>
    <x v="5"/>
  </r>
  <r>
    <n v="9"/>
    <n v="62"/>
    <n v="2"/>
    <n v="0"/>
    <n v="3"/>
    <n v="3"/>
    <n v="2"/>
    <n v="4000"/>
    <n v="6"/>
    <n v="0"/>
    <n v="0.85577771001137171"/>
    <n v="0.14422228998862821"/>
    <x v="5"/>
  </r>
  <r>
    <n v="9"/>
    <n v="51"/>
    <n v="3"/>
    <n v="2"/>
    <n v="3"/>
    <n v="3"/>
    <n v="3"/>
    <n v="0.01"/>
    <n v="9"/>
    <n v="0"/>
    <n v="0.85601751840979012"/>
    <n v="0.14398248159020979"/>
    <x v="5"/>
  </r>
  <r>
    <n v="5"/>
    <n v="41"/>
    <n v="0"/>
    <n v="1"/>
    <n v="3"/>
    <n v="3"/>
    <n v="3"/>
    <n v="0.01"/>
    <n v="8"/>
    <n v="0"/>
    <n v="0.85602134388880591"/>
    <n v="0.14397865611119409"/>
    <x v="5"/>
  </r>
  <r>
    <n v="6"/>
    <n v="51"/>
    <n v="3"/>
    <n v="0"/>
    <n v="1"/>
    <n v="12"/>
    <n v="0"/>
    <n v="6000"/>
    <n v="2"/>
    <n v="0"/>
    <n v="0.85602339133947147"/>
    <n v="0.1439766086605285"/>
    <x v="5"/>
  </r>
  <r>
    <n v="13"/>
    <n v="69"/>
    <n v="1"/>
    <n v="2"/>
    <n v="1"/>
    <n v="12"/>
    <n v="2"/>
    <n v="500.01"/>
    <n v="11"/>
    <n v="0"/>
    <n v="0.85611903179854365"/>
    <n v="0.14388096820145641"/>
    <x v="5"/>
  </r>
  <r>
    <n v="7"/>
    <n v="55"/>
    <n v="3"/>
    <n v="0"/>
    <n v="0"/>
    <n v="2"/>
    <n v="2"/>
    <n v="50"/>
    <n v="10"/>
    <n v="0"/>
    <n v="0.85614513646845791"/>
    <n v="0.14385486353154209"/>
    <x v="5"/>
  </r>
  <r>
    <n v="10"/>
    <n v="69"/>
    <n v="0"/>
    <n v="0"/>
    <n v="2"/>
    <n v="6"/>
    <n v="0"/>
    <n v="18000"/>
    <n v="5"/>
    <n v="0"/>
    <n v="0.85622671917638449"/>
    <n v="0.14377328082361551"/>
    <x v="5"/>
  </r>
  <r>
    <n v="8"/>
    <n v="52"/>
    <n v="4"/>
    <n v="1"/>
    <n v="2"/>
    <n v="1"/>
    <n v="3"/>
    <n v="0.01"/>
    <n v="4"/>
    <n v="0"/>
    <n v="0.85623168751049616"/>
    <n v="0.14376831248950389"/>
    <x v="5"/>
  </r>
  <r>
    <n v="8"/>
    <n v="58"/>
    <n v="2"/>
    <n v="0"/>
    <n v="3"/>
    <n v="3"/>
    <n v="2"/>
    <n v="3540"/>
    <n v="6"/>
    <n v="0"/>
    <n v="0.85624151529092929"/>
    <n v="0.14375848470907071"/>
    <x v="5"/>
  </r>
  <r>
    <n v="5"/>
    <n v="46"/>
    <n v="5"/>
    <n v="0"/>
    <n v="0"/>
    <n v="2"/>
    <n v="2"/>
    <n v="100"/>
    <n v="8"/>
    <n v="0"/>
    <n v="0.8562638691044141"/>
    <n v="0.1437361308955859"/>
    <x v="5"/>
  </r>
  <r>
    <n v="8"/>
    <n v="59"/>
    <n v="2"/>
    <n v="0"/>
    <n v="1"/>
    <n v="5"/>
    <n v="2"/>
    <n v="5000"/>
    <n v="15"/>
    <n v="0"/>
    <n v="0.85628891651068428"/>
    <n v="0.14371108348931569"/>
    <x v="5"/>
  </r>
  <r>
    <n v="6"/>
    <n v="45"/>
    <n v="5"/>
    <n v="1"/>
    <n v="0"/>
    <n v="4"/>
    <n v="2"/>
    <n v="600.01"/>
    <n v="9"/>
    <n v="0"/>
    <n v="0.85632215240218346"/>
    <n v="0.14367784759781649"/>
    <x v="5"/>
  </r>
  <r>
    <n v="7"/>
    <n v="55"/>
    <n v="1"/>
    <n v="0"/>
    <n v="2"/>
    <n v="1"/>
    <n v="2"/>
    <n v="2000"/>
    <n v="5"/>
    <n v="0"/>
    <n v="0.85639600405080862"/>
    <n v="0.1436039959491914"/>
    <x v="6"/>
  </r>
  <r>
    <n v="11"/>
    <n v="68"/>
    <n v="3"/>
    <n v="0"/>
    <n v="4"/>
    <n v="9"/>
    <n v="3"/>
    <n v="0.01"/>
    <n v="11"/>
    <n v="0"/>
    <n v="0.8564311361310345"/>
    <n v="0.1435688638689655"/>
    <x v="6"/>
  </r>
  <r>
    <n v="5"/>
    <n v="48"/>
    <n v="1"/>
    <n v="0"/>
    <n v="3"/>
    <n v="3"/>
    <n v="0"/>
    <n v="6035.46"/>
    <n v="12"/>
    <n v="0"/>
    <n v="0.8566541260543914"/>
    <n v="0.1433458739456086"/>
    <x v="6"/>
  </r>
  <r>
    <n v="9"/>
    <n v="64"/>
    <n v="1"/>
    <n v="0"/>
    <n v="0"/>
    <n v="2"/>
    <n v="2"/>
    <n v="300"/>
    <n v="7"/>
    <n v="1"/>
    <n v="0.85675708872075707"/>
    <n v="0.14324291127924299"/>
    <x v="6"/>
  </r>
  <r>
    <n v="7"/>
    <n v="55"/>
    <n v="3"/>
    <n v="0"/>
    <n v="0"/>
    <n v="4"/>
    <n v="2"/>
    <n v="2740"/>
    <n v="11"/>
    <n v="0"/>
    <n v="0.85680396968253492"/>
    <n v="0.14319603031746511"/>
    <x v="6"/>
  </r>
  <r>
    <n v="5"/>
    <n v="48"/>
    <n v="1"/>
    <n v="0"/>
    <n v="3"/>
    <n v="3"/>
    <n v="0"/>
    <n v="10928.65"/>
    <n v="4"/>
    <n v="0"/>
    <n v="0.85694814330032609"/>
    <n v="0.14305185669967391"/>
    <x v="6"/>
  </r>
  <r>
    <n v="7"/>
    <n v="51"/>
    <n v="1"/>
    <n v="1"/>
    <n v="3"/>
    <n v="3"/>
    <n v="0"/>
    <n v="6000"/>
    <n v="1"/>
    <n v="0"/>
    <n v="0.85699228373680869"/>
    <n v="0.14300771626319131"/>
    <x v="6"/>
  </r>
  <r>
    <n v="10"/>
    <n v="64"/>
    <n v="1"/>
    <n v="1"/>
    <n v="2"/>
    <n v="1"/>
    <n v="0"/>
    <n v="5100"/>
    <n v="11"/>
    <n v="0"/>
    <n v="0.85702957196624574"/>
    <n v="0.14297042803375429"/>
    <x v="6"/>
  </r>
  <r>
    <n v="5"/>
    <n v="46"/>
    <n v="3"/>
    <n v="0"/>
    <n v="0"/>
    <n v="4"/>
    <n v="3"/>
    <n v="0.01"/>
    <n v="5"/>
    <n v="0"/>
    <n v="0.85704995963754449"/>
    <n v="0.14295004036245551"/>
    <x v="6"/>
  </r>
  <r>
    <n v="10"/>
    <n v="69"/>
    <n v="2"/>
    <n v="0"/>
    <n v="2"/>
    <n v="0"/>
    <n v="0"/>
    <n v="10000"/>
    <n v="25"/>
    <n v="0"/>
    <n v="0.85706876734413662"/>
    <n v="0.1429312326558633"/>
    <x v="6"/>
  </r>
  <r>
    <n v="8"/>
    <n v="56"/>
    <n v="4"/>
    <n v="0"/>
    <n v="3"/>
    <n v="8"/>
    <n v="3"/>
    <n v="0.01"/>
    <n v="8"/>
    <n v="0"/>
    <n v="0.85708264401836265"/>
    <n v="0.1429173559816373"/>
    <x v="6"/>
  </r>
  <r>
    <n v="8"/>
    <n v="59"/>
    <n v="3"/>
    <n v="0"/>
    <n v="0"/>
    <n v="4"/>
    <n v="2"/>
    <n v="3000"/>
    <n v="6"/>
    <n v="0"/>
    <n v="0.85716976807603718"/>
    <n v="0.14283023192396291"/>
    <x v="6"/>
  </r>
  <r>
    <n v="8"/>
    <n v="57"/>
    <n v="4"/>
    <n v="0"/>
    <n v="1"/>
    <n v="7"/>
    <n v="3"/>
    <n v="0.01"/>
    <n v="5"/>
    <n v="0"/>
    <n v="0.85728952045940576"/>
    <n v="0.14271047954059421"/>
    <x v="6"/>
  </r>
  <r>
    <n v="8"/>
    <n v="62"/>
    <n v="1"/>
    <n v="0"/>
    <n v="0"/>
    <n v="2"/>
    <n v="0"/>
    <n v="18000"/>
    <n v="8"/>
    <n v="0"/>
    <n v="0.85743590267668957"/>
    <n v="0.14256409732331041"/>
    <x v="6"/>
  </r>
  <r>
    <n v="10"/>
    <n v="69"/>
    <n v="0"/>
    <n v="0"/>
    <n v="3"/>
    <n v="3"/>
    <n v="0"/>
    <n v="10000"/>
    <n v="16"/>
    <n v="0"/>
    <n v="0.85754019954503291"/>
    <n v="0.14245980045496701"/>
    <x v="6"/>
  </r>
  <r>
    <n v="8"/>
    <n v="54"/>
    <n v="3"/>
    <n v="1"/>
    <n v="0"/>
    <n v="4"/>
    <n v="2"/>
    <n v="1420"/>
    <n v="1"/>
    <n v="0"/>
    <n v="0.85760729012081272"/>
    <n v="0.1423927098791872"/>
    <x v="6"/>
  </r>
  <r>
    <n v="10"/>
    <n v="69"/>
    <n v="0"/>
    <n v="0"/>
    <n v="3"/>
    <n v="3"/>
    <n v="0"/>
    <n v="15088.81"/>
    <n v="8"/>
    <n v="1"/>
    <n v="0.85779425725287739"/>
    <n v="0.14220574274712269"/>
    <x v="6"/>
  </r>
  <r>
    <n v="4"/>
    <n v="37"/>
    <n v="2"/>
    <n v="1"/>
    <n v="3"/>
    <n v="3"/>
    <n v="2"/>
    <n v="600"/>
    <n v="5"/>
    <n v="0"/>
    <n v="0.85779970189997345"/>
    <n v="0.1422002981000266"/>
    <x v="6"/>
  </r>
  <r>
    <n v="9"/>
    <n v="61"/>
    <n v="3"/>
    <n v="0"/>
    <n v="3"/>
    <n v="3"/>
    <n v="3"/>
    <n v="0.01"/>
    <n v="6"/>
    <n v="0"/>
    <n v="0.85781263691087251"/>
    <n v="0.14218736308912749"/>
    <x v="6"/>
  </r>
  <r>
    <n v="5"/>
    <n v="47"/>
    <n v="3"/>
    <n v="0"/>
    <n v="0"/>
    <n v="2"/>
    <n v="2"/>
    <n v="250"/>
    <n v="3"/>
    <n v="0"/>
    <n v="0.85794816599067603"/>
    <n v="0.142051834009324"/>
    <x v="6"/>
  </r>
  <r>
    <n v="9"/>
    <n v="65"/>
    <n v="2"/>
    <n v="0"/>
    <n v="0"/>
    <n v="10"/>
    <n v="0"/>
    <n v="6000"/>
    <n v="25"/>
    <n v="0"/>
    <n v="0.85798651549305083"/>
    <n v="0.14201348450694909"/>
    <x v="6"/>
  </r>
  <r>
    <n v="8"/>
    <n v="48"/>
    <n v="4"/>
    <n v="2"/>
    <n v="0"/>
    <n v="4"/>
    <n v="3"/>
    <n v="0.01"/>
    <n v="4"/>
    <n v="0"/>
    <n v="0.85799520118688644"/>
    <n v="0.14200479881311359"/>
    <x v="6"/>
  </r>
  <r>
    <n v="2"/>
    <n v="35"/>
    <n v="3"/>
    <n v="0"/>
    <n v="0"/>
    <n v="2"/>
    <n v="2"/>
    <n v="1400"/>
    <n v="8"/>
    <n v="0"/>
    <n v="0.85804405140555917"/>
    <n v="0.1419559485944408"/>
    <x v="6"/>
  </r>
  <r>
    <n v="5"/>
    <n v="40"/>
    <n v="3"/>
    <n v="1"/>
    <n v="3"/>
    <n v="3"/>
    <n v="3"/>
    <n v="0.01"/>
    <n v="9"/>
    <n v="0"/>
    <n v="0.8581585509421894"/>
    <n v="0.1418414490578106"/>
    <x v="6"/>
  </r>
  <r>
    <n v="8"/>
    <n v="57"/>
    <n v="5"/>
    <n v="0"/>
    <n v="3"/>
    <n v="3"/>
    <n v="2"/>
    <n v="3000"/>
    <n v="9"/>
    <n v="1"/>
    <n v="0.85816919956366844"/>
    <n v="0.14183080043633159"/>
    <x v="6"/>
  </r>
  <r>
    <n v="7"/>
    <n v="56"/>
    <n v="3"/>
    <n v="0"/>
    <n v="0"/>
    <n v="11"/>
    <n v="0"/>
    <n v="6025"/>
    <n v="6"/>
    <n v="0"/>
    <n v="0.85823461531223355"/>
    <n v="0.14176538468776639"/>
    <x v="6"/>
  </r>
  <r>
    <n v="6"/>
    <n v="49"/>
    <n v="3"/>
    <n v="0"/>
    <n v="3"/>
    <n v="3"/>
    <n v="3"/>
    <n v="0.01"/>
    <n v="10"/>
    <n v="0"/>
    <n v="0.85829069458669216"/>
    <n v="0.14170930541330781"/>
    <x v="6"/>
  </r>
  <r>
    <n v="9"/>
    <n v="62"/>
    <n v="4"/>
    <n v="0"/>
    <n v="0"/>
    <n v="4"/>
    <n v="3"/>
    <n v="0.01"/>
    <n v="8"/>
    <n v="0"/>
    <n v="0.85831457014613699"/>
    <n v="0.14168542985386301"/>
    <x v="6"/>
  </r>
  <r>
    <n v="8"/>
    <n v="51"/>
    <n v="6"/>
    <n v="1"/>
    <n v="3"/>
    <n v="8"/>
    <n v="2"/>
    <n v="420"/>
    <n v="1"/>
    <n v="0"/>
    <n v="0.85848788941813359"/>
    <n v="0.14151211058186641"/>
    <x v="6"/>
  </r>
  <r>
    <n v="7"/>
    <n v="51"/>
    <n v="1"/>
    <n v="1"/>
    <n v="0"/>
    <n v="4"/>
    <n v="2"/>
    <n v="1073.25"/>
    <n v="4"/>
    <n v="0"/>
    <n v="0.85849568005271371"/>
    <n v="0.14150431994728621"/>
    <x v="6"/>
  </r>
  <r>
    <n v="6"/>
    <n v="50"/>
    <n v="1"/>
    <n v="0"/>
    <n v="2"/>
    <n v="6"/>
    <n v="3"/>
    <n v="0.01"/>
    <n v="5"/>
    <n v="0"/>
    <n v="0.85853834436206966"/>
    <n v="0.14146165563793031"/>
    <x v="6"/>
  </r>
  <r>
    <n v="11"/>
    <n v="66"/>
    <n v="2"/>
    <n v="1"/>
    <n v="3"/>
    <n v="3"/>
    <n v="2"/>
    <n v="1000"/>
    <n v="30"/>
    <n v="0"/>
    <n v="0.85856042091870011"/>
    <n v="0.14143957908129981"/>
    <x v="6"/>
  </r>
  <r>
    <n v="8"/>
    <n v="59"/>
    <n v="0"/>
    <n v="0"/>
    <n v="3"/>
    <n v="3"/>
    <n v="2"/>
    <n v="100"/>
    <n v="1"/>
    <n v="0"/>
    <n v="0.85862962165854029"/>
    <n v="0.14137037834145971"/>
    <x v="6"/>
  </r>
  <r>
    <n v="5"/>
    <n v="46"/>
    <n v="5"/>
    <n v="0"/>
    <n v="3"/>
    <n v="8"/>
    <n v="1"/>
    <n v="26000"/>
    <n v="18"/>
    <n v="0"/>
    <n v="0.85866150280469489"/>
    <n v="0.14133849719530511"/>
    <x v="6"/>
  </r>
  <r>
    <n v="8"/>
    <n v="59"/>
    <n v="3"/>
    <n v="0"/>
    <n v="3"/>
    <n v="8"/>
    <n v="0"/>
    <n v="7500"/>
    <n v="5"/>
    <n v="0"/>
    <n v="0.85878353024662113"/>
    <n v="0.1412164697533789"/>
    <x v="6"/>
  </r>
  <r>
    <n v="7"/>
    <n v="55"/>
    <n v="3"/>
    <n v="0"/>
    <n v="0"/>
    <n v="4"/>
    <n v="2"/>
    <n v="500"/>
    <n v="1"/>
    <n v="0"/>
    <n v="0.85881160014541447"/>
    <n v="0.14118839985458559"/>
    <x v="6"/>
  </r>
  <r>
    <n v="2"/>
    <n v="35"/>
    <n v="1"/>
    <n v="0"/>
    <n v="0"/>
    <n v="4"/>
    <n v="3"/>
    <n v="0.01"/>
    <n v="5"/>
    <n v="0"/>
    <n v="0.85907578584342259"/>
    <n v="0.14092421415657741"/>
    <x v="6"/>
  </r>
  <r>
    <n v="8"/>
    <n v="62"/>
    <n v="1"/>
    <n v="0"/>
    <n v="0"/>
    <n v="4"/>
    <n v="0"/>
    <n v="6967.9"/>
    <n v="19"/>
    <n v="0"/>
    <n v="0.85921355773516317"/>
    <n v="0.14078644226483689"/>
    <x v="6"/>
  </r>
  <r>
    <n v="10"/>
    <n v="66"/>
    <n v="3"/>
    <n v="0"/>
    <n v="3"/>
    <n v="3"/>
    <n v="2"/>
    <n v="4000"/>
    <n v="2"/>
    <n v="0"/>
    <n v="0.85925014426027713"/>
    <n v="0.14074985573972279"/>
    <x v="6"/>
  </r>
  <r>
    <n v="8"/>
    <n v="60"/>
    <n v="1"/>
    <n v="0"/>
    <n v="3"/>
    <n v="8"/>
    <n v="0"/>
    <n v="12000"/>
    <n v="2"/>
    <n v="0"/>
    <n v="0.85928888089375044"/>
    <n v="0.1407111191062495"/>
    <x v="6"/>
  </r>
  <r>
    <n v="8"/>
    <n v="59"/>
    <n v="1"/>
    <n v="0"/>
    <n v="3"/>
    <n v="3"/>
    <n v="2"/>
    <n v="5000"/>
    <n v="9"/>
    <n v="0"/>
    <n v="0.85961323160938008"/>
    <n v="0.14038676839061989"/>
    <x v="6"/>
  </r>
  <r>
    <n v="8"/>
    <n v="59"/>
    <n v="1"/>
    <n v="0"/>
    <n v="1"/>
    <n v="12"/>
    <n v="2"/>
    <n v="300"/>
    <n v="9"/>
    <n v="0"/>
    <n v="0.85962873959548991"/>
    <n v="0.14037126040451009"/>
    <x v="6"/>
  </r>
  <r>
    <n v="7"/>
    <n v="51"/>
    <n v="2"/>
    <n v="1"/>
    <n v="3"/>
    <n v="3"/>
    <n v="0"/>
    <n v="6053.34"/>
    <n v="4"/>
    <n v="0"/>
    <n v="0.85971099600135337"/>
    <n v="0.14028900399864661"/>
    <x v="6"/>
  </r>
  <r>
    <n v="6"/>
    <n v="51"/>
    <n v="2"/>
    <n v="0"/>
    <n v="1"/>
    <n v="7"/>
    <n v="2"/>
    <n v="2200"/>
    <n v="9"/>
    <n v="0"/>
    <n v="0.85985029728460494"/>
    <n v="0.14014970271539501"/>
    <x v="6"/>
  </r>
  <r>
    <n v="6"/>
    <n v="46"/>
    <n v="4"/>
    <n v="1"/>
    <n v="0"/>
    <n v="4"/>
    <n v="2"/>
    <n v="3300"/>
    <n v="9"/>
    <n v="0"/>
    <n v="0.85991616271917748"/>
    <n v="0.14008383728082249"/>
    <x v="6"/>
  </r>
  <r>
    <n v="7"/>
    <n v="54"/>
    <n v="3"/>
    <n v="0"/>
    <n v="1"/>
    <n v="5"/>
    <n v="3"/>
    <n v="0.01"/>
    <n v="8"/>
    <n v="0"/>
    <n v="0.85996707280784324"/>
    <n v="0.14003292719215671"/>
    <x v="6"/>
  </r>
  <r>
    <n v="10"/>
    <n v="69"/>
    <n v="0"/>
    <n v="0"/>
    <n v="3"/>
    <n v="3"/>
    <n v="0"/>
    <n v="7500"/>
    <n v="3"/>
    <n v="1"/>
    <n v="0.86005442682442845"/>
    <n v="0.13994557317557149"/>
    <x v="6"/>
  </r>
  <r>
    <n v="8"/>
    <n v="58"/>
    <n v="3"/>
    <n v="0"/>
    <n v="3"/>
    <n v="3"/>
    <n v="2"/>
    <n v="1000"/>
    <n v="5"/>
    <n v="0"/>
    <n v="0.86009724274635801"/>
    <n v="0.1399027572536419"/>
    <x v="6"/>
  </r>
  <r>
    <n v="4"/>
    <n v="45"/>
    <n v="3"/>
    <n v="0"/>
    <n v="0"/>
    <n v="2"/>
    <n v="0"/>
    <n v="11000"/>
    <n v="2"/>
    <n v="0"/>
    <n v="0.86028535852671351"/>
    <n v="0.13971464147328649"/>
    <x v="6"/>
  </r>
  <r>
    <n v="5"/>
    <n v="43"/>
    <n v="2"/>
    <n v="1"/>
    <n v="3"/>
    <n v="3"/>
    <n v="0"/>
    <n v="6000"/>
    <n v="5"/>
    <n v="0"/>
    <n v="0.86029424718749503"/>
    <n v="0.139705752812505"/>
    <x v="6"/>
  </r>
  <r>
    <n v="10"/>
    <n v="62"/>
    <n v="1"/>
    <n v="1"/>
    <n v="0"/>
    <n v="11"/>
    <n v="3"/>
    <n v="0.01"/>
    <n v="4"/>
    <n v="1"/>
    <n v="0.86029945636315219"/>
    <n v="0.13970054363684781"/>
    <x v="6"/>
  </r>
  <r>
    <n v="7"/>
    <n v="56"/>
    <n v="2"/>
    <n v="0"/>
    <n v="0"/>
    <n v="2"/>
    <n v="2"/>
    <n v="1000"/>
    <n v="8"/>
    <n v="0"/>
    <n v="0.86039151710240636"/>
    <n v="0.1396084828975937"/>
    <x v="6"/>
  </r>
  <r>
    <n v="9"/>
    <n v="62"/>
    <n v="3"/>
    <n v="0"/>
    <n v="1"/>
    <n v="7"/>
    <n v="3"/>
    <n v="0.01"/>
    <n v="9"/>
    <n v="0"/>
    <n v="0.86040608647193428"/>
    <n v="0.13959391352806569"/>
    <x v="6"/>
  </r>
  <r>
    <n v="7"/>
    <n v="55"/>
    <n v="1"/>
    <n v="0"/>
    <n v="3"/>
    <n v="3"/>
    <n v="2"/>
    <n v="3000.01"/>
    <n v="8"/>
    <n v="0"/>
    <n v="0.86051939321498183"/>
    <n v="0.13948060678501811"/>
    <x v="6"/>
  </r>
  <r>
    <n v="11"/>
    <n v="65"/>
    <n v="3"/>
    <n v="1"/>
    <n v="1"/>
    <n v="12"/>
    <n v="3"/>
    <n v="0.01"/>
    <n v="20"/>
    <n v="0"/>
    <n v="0.86063117076802742"/>
    <n v="0.13936882923197261"/>
    <x v="6"/>
  </r>
  <r>
    <n v="7"/>
    <n v="50"/>
    <n v="3"/>
    <n v="1"/>
    <n v="0"/>
    <n v="11"/>
    <n v="2"/>
    <n v="3000"/>
    <n v="11"/>
    <n v="0"/>
    <n v="0.86075908663750222"/>
    <n v="0.1392409133624978"/>
    <x v="6"/>
  </r>
  <r>
    <n v="11"/>
    <n v="70"/>
    <n v="2"/>
    <n v="0"/>
    <n v="3"/>
    <n v="3"/>
    <n v="3"/>
    <n v="0.01"/>
    <n v="8"/>
    <n v="0"/>
    <n v="0.8608655480268127"/>
    <n v="0.1391344519731873"/>
    <x v="6"/>
  </r>
  <r>
    <n v="11"/>
    <n v="71"/>
    <n v="2"/>
    <n v="0"/>
    <n v="2"/>
    <n v="6"/>
    <n v="2"/>
    <n v="960"/>
    <n v="10"/>
    <n v="0"/>
    <n v="0.8608762070494872"/>
    <n v="0.1391237929505128"/>
    <x v="6"/>
  </r>
  <r>
    <n v="8"/>
    <n v="52"/>
    <n v="4"/>
    <n v="1"/>
    <n v="3"/>
    <n v="3"/>
    <n v="3"/>
    <n v="0.01"/>
    <n v="4"/>
    <n v="0"/>
    <n v="0.8610144782266298"/>
    <n v="0.1389855217733702"/>
    <x v="6"/>
  </r>
  <r>
    <n v="10"/>
    <n v="64"/>
    <n v="4"/>
    <n v="1"/>
    <n v="0"/>
    <n v="2"/>
    <n v="0"/>
    <n v="6000"/>
    <n v="5"/>
    <n v="0"/>
    <n v="0.86112223591885684"/>
    <n v="0.13887776408114319"/>
    <x v="6"/>
  </r>
  <r>
    <n v="6"/>
    <n v="45"/>
    <n v="5"/>
    <n v="1"/>
    <n v="0"/>
    <n v="2"/>
    <n v="3"/>
    <n v="0.01"/>
    <n v="4"/>
    <n v="0"/>
    <n v="0.86122448062075618"/>
    <n v="0.13877551937924379"/>
    <x v="6"/>
  </r>
  <r>
    <n v="9"/>
    <n v="63"/>
    <n v="5"/>
    <n v="0"/>
    <n v="0"/>
    <n v="2"/>
    <n v="2"/>
    <n v="1250"/>
    <n v="12"/>
    <n v="0"/>
    <n v="0.86124782484540263"/>
    <n v="0.1387521751545974"/>
    <x v="6"/>
  </r>
  <r>
    <n v="9"/>
    <n v="64"/>
    <n v="2"/>
    <n v="0"/>
    <n v="3"/>
    <n v="3"/>
    <n v="1"/>
    <n v="24078.34"/>
    <n v="4"/>
    <n v="0"/>
    <n v="0.86142899302166276"/>
    <n v="0.13857100697833721"/>
    <x v="6"/>
  </r>
  <r>
    <n v="10"/>
    <n v="62"/>
    <n v="5"/>
    <n v="1"/>
    <n v="0"/>
    <n v="2"/>
    <n v="2"/>
    <n v="2038.76"/>
    <n v="3"/>
    <n v="0"/>
    <n v="0.86147234241163995"/>
    <n v="0.13852765758836011"/>
    <x v="6"/>
  </r>
  <r>
    <n v="9"/>
    <n v="55"/>
    <n v="1"/>
    <n v="2"/>
    <n v="3"/>
    <n v="3"/>
    <n v="0"/>
    <n v="9800"/>
    <n v="5"/>
    <n v="0"/>
    <n v="0.86152385224761963"/>
    <n v="0.13847614775238029"/>
    <x v="6"/>
  </r>
  <r>
    <n v="11"/>
    <n v="69"/>
    <n v="1"/>
    <n v="1"/>
    <n v="0"/>
    <n v="11"/>
    <n v="0"/>
    <n v="12000"/>
    <n v="16"/>
    <n v="1"/>
    <n v="0.86158159264859235"/>
    <n v="0.1384184073514077"/>
    <x v="6"/>
  </r>
  <r>
    <n v="6"/>
    <n v="51"/>
    <n v="1"/>
    <n v="0"/>
    <n v="3"/>
    <n v="3"/>
    <n v="2"/>
    <n v="4000"/>
    <n v="2"/>
    <n v="0"/>
    <n v="0.86161053762945827"/>
    <n v="0.1383894623705417"/>
    <x v="6"/>
  </r>
  <r>
    <n v="7"/>
    <n v="56"/>
    <n v="3"/>
    <n v="0"/>
    <n v="3"/>
    <n v="3"/>
    <n v="0"/>
    <n v="12053.37"/>
    <n v="8"/>
    <n v="0"/>
    <n v="0.8617354253368501"/>
    <n v="0.1382645746631499"/>
    <x v="6"/>
  </r>
  <r>
    <n v="5"/>
    <n v="44"/>
    <n v="5"/>
    <n v="0"/>
    <n v="3"/>
    <n v="8"/>
    <n v="3"/>
    <n v="0.01"/>
    <n v="5"/>
    <n v="0"/>
    <n v="0.86182017080766671"/>
    <n v="0.13817982919233329"/>
    <x v="6"/>
  </r>
  <r>
    <n v="10"/>
    <n v="63"/>
    <n v="0"/>
    <n v="1"/>
    <n v="1"/>
    <n v="12"/>
    <n v="2"/>
    <n v="3000"/>
    <n v="7"/>
    <n v="0"/>
    <n v="0.86210260571265196"/>
    <n v="0.13789739428734801"/>
    <x v="6"/>
  </r>
  <r>
    <n v="6"/>
    <n v="51"/>
    <n v="3"/>
    <n v="0"/>
    <n v="0"/>
    <n v="2"/>
    <n v="3"/>
    <n v="0.01"/>
    <n v="8"/>
    <n v="0"/>
    <n v="0.86215661404829658"/>
    <n v="0.13784338595170351"/>
    <x v="6"/>
  </r>
  <r>
    <n v="4"/>
    <n v="38"/>
    <n v="5"/>
    <n v="1"/>
    <n v="3"/>
    <n v="3"/>
    <n v="0"/>
    <n v="9107.64"/>
    <n v="5"/>
    <n v="0"/>
    <n v="0.86229508313702097"/>
    <n v="0.137704916862979"/>
    <x v="6"/>
  </r>
  <r>
    <n v="7"/>
    <n v="54"/>
    <n v="2"/>
    <n v="0"/>
    <n v="3"/>
    <n v="3"/>
    <n v="3"/>
    <n v="0.01"/>
    <n v="8"/>
    <n v="0"/>
    <n v="0.86230697115235588"/>
    <n v="0.13769302884764409"/>
    <x v="6"/>
  </r>
  <r>
    <n v="7"/>
    <n v="51"/>
    <n v="2"/>
    <n v="1"/>
    <n v="3"/>
    <n v="8"/>
    <n v="0"/>
    <n v="12000"/>
    <n v="1"/>
    <n v="0"/>
    <n v="0.8623103036449713"/>
    <n v="0.1376896963550287"/>
    <x v="6"/>
  </r>
  <r>
    <n v="7"/>
    <n v="53"/>
    <n v="5"/>
    <n v="0"/>
    <n v="3"/>
    <n v="8"/>
    <n v="2"/>
    <n v="5000"/>
    <n v="3"/>
    <n v="0"/>
    <n v="0.86237093498129191"/>
    <n v="0.13762906501870811"/>
    <x v="6"/>
  </r>
  <r>
    <n v="6"/>
    <n v="51"/>
    <n v="5"/>
    <n v="0"/>
    <n v="0"/>
    <n v="2"/>
    <n v="2"/>
    <n v="3700"/>
    <n v="8"/>
    <n v="0"/>
    <n v="0.86246910925281051"/>
    <n v="0.13753089074718941"/>
    <x v="6"/>
  </r>
  <r>
    <n v="10"/>
    <n v="69"/>
    <n v="1"/>
    <n v="0"/>
    <n v="3"/>
    <n v="3"/>
    <n v="0"/>
    <n v="6100"/>
    <n v="9"/>
    <n v="0"/>
    <n v="0.86254490612721602"/>
    <n v="0.13745509387278401"/>
    <x v="6"/>
  </r>
  <r>
    <n v="8"/>
    <n v="58"/>
    <n v="2"/>
    <n v="0"/>
    <n v="3"/>
    <n v="3"/>
    <n v="3"/>
    <n v="0.01"/>
    <n v="4"/>
    <n v="0"/>
    <n v="0.86255831568642538"/>
    <n v="0.13744168431357459"/>
    <x v="6"/>
  </r>
  <r>
    <n v="6"/>
    <n v="51"/>
    <n v="3"/>
    <n v="0"/>
    <n v="0"/>
    <n v="2"/>
    <n v="3"/>
    <n v="0.01"/>
    <n v="5"/>
    <n v="0"/>
    <n v="0.86261413437676882"/>
    <n v="0.13738586562323121"/>
    <x v="6"/>
  </r>
  <r>
    <n v="6"/>
    <n v="52"/>
    <n v="1"/>
    <n v="0"/>
    <n v="1"/>
    <n v="5"/>
    <n v="2"/>
    <n v="1200"/>
    <n v="10"/>
    <n v="0"/>
    <n v="0.86262498759926054"/>
    <n v="0.13737501240073949"/>
    <x v="6"/>
  </r>
  <r>
    <n v="7"/>
    <n v="45"/>
    <n v="2"/>
    <n v="2"/>
    <n v="3"/>
    <n v="3"/>
    <n v="2"/>
    <n v="1000"/>
    <n v="8"/>
    <n v="0"/>
    <n v="0.86275343382570446"/>
    <n v="0.13724656617429551"/>
    <x v="6"/>
  </r>
  <r>
    <n v="8"/>
    <n v="56"/>
    <n v="3"/>
    <n v="1"/>
    <n v="1"/>
    <n v="5"/>
    <n v="0"/>
    <n v="6000"/>
    <n v="13"/>
    <n v="0"/>
    <n v="0.86282991136479259"/>
    <n v="0.13717008863520741"/>
    <x v="6"/>
  </r>
  <r>
    <n v="9"/>
    <n v="65"/>
    <n v="1"/>
    <n v="0"/>
    <n v="3"/>
    <n v="3"/>
    <n v="0"/>
    <n v="10000"/>
    <n v="4"/>
    <n v="0"/>
    <n v="0.86291950835731279"/>
    <n v="0.13708049164268721"/>
    <x v="6"/>
  </r>
  <r>
    <n v="8"/>
    <n v="60"/>
    <n v="3"/>
    <n v="0"/>
    <n v="3"/>
    <n v="3"/>
    <n v="0"/>
    <n v="6000"/>
    <n v="5"/>
    <n v="0"/>
    <n v="0.86299200250621033"/>
    <n v="0.13700799749378961"/>
    <x v="6"/>
  </r>
  <r>
    <n v="12"/>
    <n v="66"/>
    <n v="4"/>
    <n v="2"/>
    <n v="3"/>
    <n v="3"/>
    <n v="0"/>
    <n v="6052.66"/>
    <n v="7"/>
    <n v="0"/>
    <n v="0.86308359553883562"/>
    <n v="0.1369164044611644"/>
    <x v="6"/>
  </r>
  <r>
    <n v="7"/>
    <n v="57"/>
    <n v="2"/>
    <n v="0"/>
    <n v="1"/>
    <n v="7"/>
    <n v="0"/>
    <n v="5800"/>
    <n v="6"/>
    <n v="0"/>
    <n v="0.86311474051108017"/>
    <n v="0.1368852594889198"/>
    <x v="6"/>
  </r>
  <r>
    <n v="6"/>
    <n v="50"/>
    <n v="2"/>
    <n v="0"/>
    <n v="3"/>
    <n v="3"/>
    <n v="3"/>
    <n v="0.01"/>
    <n v="5"/>
    <n v="0"/>
    <n v="0.86312146043703364"/>
    <n v="0.13687853956296631"/>
    <x v="6"/>
  </r>
  <r>
    <n v="8"/>
    <n v="59"/>
    <n v="3"/>
    <n v="0"/>
    <n v="0"/>
    <n v="4"/>
    <n v="3"/>
    <n v="0.01"/>
    <n v="5"/>
    <n v="0"/>
    <n v="0.86319799095571992"/>
    <n v="0.13680200904428011"/>
    <x v="6"/>
  </r>
  <r>
    <n v="9"/>
    <n v="65"/>
    <n v="1"/>
    <n v="0"/>
    <n v="3"/>
    <n v="3"/>
    <n v="0"/>
    <n v="6053.35"/>
    <n v="7"/>
    <n v="0"/>
    <n v="0.86321541583770767"/>
    <n v="0.13678458416229239"/>
    <x v="6"/>
  </r>
  <r>
    <n v="6"/>
    <n v="51"/>
    <n v="5"/>
    <n v="0"/>
    <n v="3"/>
    <n v="3"/>
    <n v="0"/>
    <n v="6000"/>
    <n v="2"/>
    <n v="0"/>
    <n v="0.86326726139634635"/>
    <n v="0.1367327386036537"/>
    <x v="6"/>
  </r>
  <r>
    <n v="7"/>
    <n v="58"/>
    <n v="2"/>
    <n v="0"/>
    <n v="0"/>
    <n v="2"/>
    <n v="0"/>
    <n v="10000"/>
    <n v="3"/>
    <n v="1"/>
    <n v="0.86327883443714237"/>
    <n v="0.13672116556285771"/>
    <x v="6"/>
  </r>
  <r>
    <n v="12"/>
    <n v="76"/>
    <n v="4"/>
    <n v="0"/>
    <n v="1"/>
    <n v="7"/>
    <n v="1"/>
    <n v="20395.07"/>
    <n v="3"/>
    <n v="0"/>
    <n v="0.86331228119804815"/>
    <n v="0.13668771880195191"/>
    <x v="6"/>
  </r>
  <r>
    <n v="6"/>
    <n v="51"/>
    <n v="0"/>
    <n v="0"/>
    <n v="3"/>
    <n v="3"/>
    <n v="3"/>
    <n v="0.01"/>
    <n v="8"/>
    <n v="0"/>
    <n v="0.86355958973755065"/>
    <n v="0.13644041026244941"/>
    <x v="6"/>
  </r>
  <r>
    <n v="7"/>
    <n v="56"/>
    <n v="1"/>
    <n v="0"/>
    <n v="1"/>
    <n v="7"/>
    <n v="2"/>
    <n v="1000"/>
    <n v="10"/>
    <n v="0"/>
    <n v="0.86360318189648688"/>
    <n v="0.13639681810351309"/>
    <x v="6"/>
  </r>
  <r>
    <n v="6"/>
    <n v="49"/>
    <n v="5"/>
    <n v="0"/>
    <n v="3"/>
    <n v="8"/>
    <n v="2"/>
    <n v="1000"/>
    <n v="2"/>
    <n v="0"/>
    <n v="0.86364206872361793"/>
    <n v="0.1363579312763821"/>
    <x v="6"/>
  </r>
  <r>
    <n v="5"/>
    <n v="36"/>
    <n v="3"/>
    <n v="2"/>
    <n v="1"/>
    <n v="12"/>
    <n v="3"/>
    <n v="0.01"/>
    <n v="10"/>
    <n v="0"/>
    <n v="0.86367212393979387"/>
    <n v="0.13632787606020619"/>
    <x v="6"/>
  </r>
  <r>
    <n v="11"/>
    <n v="72"/>
    <n v="0"/>
    <n v="0"/>
    <n v="3"/>
    <n v="3"/>
    <n v="2"/>
    <n v="3027.83"/>
    <n v="4"/>
    <n v="1"/>
    <n v="0.86371448192310241"/>
    <n v="0.13628551807689759"/>
    <x v="6"/>
  </r>
  <r>
    <n v="6"/>
    <n v="46"/>
    <n v="2"/>
    <n v="1"/>
    <n v="3"/>
    <n v="3"/>
    <n v="2"/>
    <n v="1100"/>
    <n v="8"/>
    <n v="0"/>
    <n v="0.86372780168933794"/>
    <n v="0.13627219831066209"/>
    <x v="6"/>
  </r>
  <r>
    <n v="7"/>
    <n v="50"/>
    <n v="5"/>
    <n v="1"/>
    <n v="0"/>
    <n v="4"/>
    <n v="2"/>
    <n v="4198"/>
    <n v="1"/>
    <n v="0"/>
    <n v="0.86374013710667841"/>
    <n v="0.13625986289332159"/>
    <x v="6"/>
  </r>
  <r>
    <n v="8"/>
    <n v="48"/>
    <n v="3"/>
    <n v="2"/>
    <n v="3"/>
    <n v="3"/>
    <n v="3"/>
    <n v="0.01"/>
    <n v="8"/>
    <n v="0"/>
    <n v="0.86378385028425408"/>
    <n v="0.13621614971574589"/>
    <x v="6"/>
  </r>
  <r>
    <n v="13"/>
    <n v="77"/>
    <n v="0"/>
    <n v="1"/>
    <n v="3"/>
    <n v="3"/>
    <n v="0"/>
    <n v="12158.67"/>
    <n v="7"/>
    <n v="0"/>
    <n v="0.86398745793823528"/>
    <n v="0.13601254206176469"/>
    <x v="6"/>
  </r>
  <r>
    <n v="6"/>
    <n v="51"/>
    <n v="3"/>
    <n v="0"/>
    <n v="0"/>
    <n v="4"/>
    <n v="3"/>
    <n v="0.01"/>
    <n v="4"/>
    <n v="0"/>
    <n v="0.86406109641934692"/>
    <n v="0.13593890358065311"/>
    <x v="6"/>
  </r>
  <r>
    <n v="8"/>
    <n v="58"/>
    <n v="3"/>
    <n v="0"/>
    <n v="1"/>
    <n v="12"/>
    <n v="3"/>
    <n v="0.01"/>
    <n v="8"/>
    <n v="0"/>
    <n v="0.86417651963741049"/>
    <n v="0.13582348036258951"/>
    <x v="6"/>
  </r>
  <r>
    <n v="6"/>
    <n v="51"/>
    <n v="2"/>
    <n v="0"/>
    <n v="3"/>
    <n v="3"/>
    <n v="2"/>
    <n v="3000"/>
    <n v="5"/>
    <n v="0"/>
    <n v="0.86445434679012045"/>
    <n v="0.1355456532098796"/>
    <x v="6"/>
  </r>
  <r>
    <n v="5"/>
    <n v="50"/>
    <n v="0"/>
    <n v="0"/>
    <n v="2"/>
    <n v="1"/>
    <n v="0"/>
    <n v="8112.07"/>
    <n v="1"/>
    <n v="0"/>
    <n v="0.86450293251899435"/>
    <n v="0.1354970674810056"/>
    <x v="6"/>
  </r>
  <r>
    <n v="6"/>
    <n v="48"/>
    <n v="1"/>
    <n v="1"/>
    <n v="0"/>
    <n v="2"/>
    <n v="2"/>
    <n v="2000"/>
    <n v="4"/>
    <n v="0"/>
    <n v="0.86454625766334348"/>
    <n v="0.13545374233665661"/>
    <x v="6"/>
  </r>
  <r>
    <n v="6"/>
    <n v="51"/>
    <n v="1"/>
    <n v="0"/>
    <n v="3"/>
    <n v="8"/>
    <n v="2"/>
    <n v="4000"/>
    <n v="3"/>
    <n v="0"/>
    <n v="0.8647006518948811"/>
    <n v="0.1352993481051189"/>
    <x v="6"/>
  </r>
  <r>
    <n v="8"/>
    <n v="50"/>
    <n v="2"/>
    <n v="2"/>
    <n v="0"/>
    <n v="2"/>
    <n v="3"/>
    <n v="0.01"/>
    <n v="4"/>
    <n v="0"/>
    <n v="0.86477169128094578"/>
    <n v="0.1352283087190542"/>
    <x v="6"/>
  </r>
  <r>
    <n v="8"/>
    <n v="60"/>
    <n v="2"/>
    <n v="0"/>
    <n v="0"/>
    <n v="10"/>
    <n v="2"/>
    <n v="3000"/>
    <n v="8"/>
    <n v="0"/>
    <n v="0.86485539773493925"/>
    <n v="0.13514460226506081"/>
    <x v="6"/>
  </r>
  <r>
    <n v="12"/>
    <n v="75"/>
    <n v="3"/>
    <n v="0"/>
    <n v="3"/>
    <n v="3"/>
    <n v="2"/>
    <n v="5000"/>
    <n v="6"/>
    <n v="0"/>
    <n v="0.86488315336890276"/>
    <n v="0.13511684663109719"/>
    <x v="6"/>
  </r>
  <r>
    <n v="6"/>
    <n v="52"/>
    <n v="1"/>
    <n v="0"/>
    <n v="1"/>
    <n v="7"/>
    <n v="2"/>
    <n v="2400"/>
    <n v="2"/>
    <n v="0"/>
    <n v="0.86489915859145583"/>
    <n v="0.1351008414085442"/>
    <x v="6"/>
  </r>
  <r>
    <n v="8"/>
    <n v="55"/>
    <n v="2"/>
    <n v="1"/>
    <n v="0"/>
    <n v="10"/>
    <n v="2"/>
    <n v="3000"/>
    <n v="3"/>
    <n v="0"/>
    <n v="0.86497602742933832"/>
    <n v="0.1350239725706617"/>
    <x v="6"/>
  </r>
  <r>
    <n v="9"/>
    <n v="65"/>
    <n v="2"/>
    <n v="0"/>
    <n v="3"/>
    <n v="3"/>
    <n v="0"/>
    <n v="15000"/>
    <n v="4"/>
    <n v="0"/>
    <n v="0.86506359047650894"/>
    <n v="0.13493640952349109"/>
    <x v="6"/>
  </r>
  <r>
    <n v="9"/>
    <n v="63"/>
    <n v="5"/>
    <n v="0"/>
    <n v="0"/>
    <n v="11"/>
    <n v="2"/>
    <n v="500"/>
    <n v="26"/>
    <n v="0"/>
    <n v="0.86510048946199469"/>
    <n v="0.13489951053800539"/>
    <x v="6"/>
  </r>
  <r>
    <n v="6"/>
    <n v="52"/>
    <n v="4"/>
    <n v="0"/>
    <n v="3"/>
    <n v="3"/>
    <n v="0"/>
    <n v="12000"/>
    <n v="8"/>
    <n v="0"/>
    <n v="0.86520244233963006"/>
    <n v="0.13479755766036991"/>
    <x v="6"/>
  </r>
  <r>
    <n v="7"/>
    <n v="49"/>
    <n v="5"/>
    <n v="1"/>
    <n v="1"/>
    <n v="12"/>
    <n v="2"/>
    <n v="420"/>
    <n v="5"/>
    <n v="0"/>
    <n v="0.86527618820426"/>
    <n v="0.13472381179574"/>
    <x v="6"/>
  </r>
  <r>
    <n v="10"/>
    <n v="68"/>
    <n v="4"/>
    <n v="0"/>
    <n v="0"/>
    <n v="2"/>
    <n v="2"/>
    <n v="4000"/>
    <n v="5"/>
    <n v="1"/>
    <n v="0.86542589814909987"/>
    <n v="0.1345741018509001"/>
    <x v="6"/>
  </r>
  <r>
    <n v="7"/>
    <n v="51"/>
    <n v="3"/>
    <n v="1"/>
    <n v="3"/>
    <n v="8"/>
    <n v="0"/>
    <n v="6477.84"/>
    <n v="7"/>
    <n v="0"/>
    <n v="0.86554179527881558"/>
    <n v="0.13445820472118439"/>
    <x v="6"/>
  </r>
  <r>
    <n v="7"/>
    <n v="48"/>
    <n v="0"/>
    <n v="2"/>
    <n v="3"/>
    <n v="3"/>
    <n v="0"/>
    <n v="15000"/>
    <n v="3"/>
    <n v="0"/>
    <n v="0.86554280287585106"/>
    <n v="0.13445719712414889"/>
    <x v="6"/>
  </r>
  <r>
    <n v="8"/>
    <n v="61"/>
    <n v="3"/>
    <n v="0"/>
    <n v="2"/>
    <n v="1"/>
    <n v="0"/>
    <n v="6053.34"/>
    <n v="4"/>
    <n v="0"/>
    <n v="0.86556890579778301"/>
    <n v="0.13443109420221699"/>
    <x v="6"/>
  </r>
  <r>
    <n v="5"/>
    <n v="45"/>
    <n v="5"/>
    <n v="0"/>
    <n v="3"/>
    <n v="3"/>
    <n v="3"/>
    <n v="0.01"/>
    <n v="5"/>
    <n v="0"/>
    <n v="0.8656714768828313"/>
    <n v="0.1343285231171687"/>
    <x v="6"/>
  </r>
  <r>
    <n v="8"/>
    <n v="57"/>
    <n v="1"/>
    <n v="1"/>
    <n v="2"/>
    <n v="1"/>
    <n v="0"/>
    <n v="6000.01"/>
    <n v="5"/>
    <n v="0"/>
    <n v="0.86568251219182968"/>
    <n v="0.13431748780817029"/>
    <x v="6"/>
  </r>
  <r>
    <n v="6"/>
    <n v="53"/>
    <n v="2"/>
    <n v="0"/>
    <n v="3"/>
    <n v="3"/>
    <n v="0"/>
    <n v="18000"/>
    <n v="3"/>
    <n v="0"/>
    <n v="0.86570623357229226"/>
    <n v="0.13429376642770771"/>
    <x v="6"/>
  </r>
  <r>
    <n v="8"/>
    <n v="59"/>
    <n v="4"/>
    <n v="0"/>
    <n v="0"/>
    <n v="4"/>
    <n v="3"/>
    <n v="0.01"/>
    <n v="8"/>
    <n v="0"/>
    <n v="0.86582718331959307"/>
    <n v="0.1341728166804069"/>
    <x v="6"/>
  </r>
  <r>
    <n v="7"/>
    <n v="54"/>
    <n v="3"/>
    <n v="0"/>
    <n v="3"/>
    <n v="3"/>
    <n v="3"/>
    <n v="0.01"/>
    <n v="5"/>
    <n v="0"/>
    <n v="0.86584873263467688"/>
    <n v="0.1341512673653231"/>
    <x v="6"/>
  </r>
  <r>
    <n v="7"/>
    <n v="55"/>
    <n v="2"/>
    <n v="0"/>
    <n v="1"/>
    <n v="7"/>
    <n v="3"/>
    <n v="0.01"/>
    <n v="4"/>
    <n v="1"/>
    <n v="0.86587946350758438"/>
    <n v="0.1341205364924157"/>
    <x v="6"/>
  </r>
  <r>
    <n v="6"/>
    <n v="54"/>
    <n v="1"/>
    <n v="0"/>
    <n v="0"/>
    <n v="11"/>
    <n v="0"/>
    <n v="9500"/>
    <n v="6"/>
    <n v="0"/>
    <n v="0.86597955829236262"/>
    <n v="0.13402044170763741"/>
    <x v="6"/>
  </r>
  <r>
    <n v="10"/>
    <n v="68"/>
    <n v="2"/>
    <n v="0"/>
    <n v="0"/>
    <n v="4"/>
    <n v="3"/>
    <n v="0.01"/>
    <n v="8"/>
    <n v="1"/>
    <n v="0.86600426540967312"/>
    <n v="0.13399573459032679"/>
    <x v="6"/>
  </r>
  <r>
    <n v="6"/>
    <n v="51"/>
    <n v="2"/>
    <n v="0"/>
    <n v="1"/>
    <n v="7"/>
    <n v="3"/>
    <n v="0.01"/>
    <n v="5"/>
    <n v="0"/>
    <n v="0.86608101970970708"/>
    <n v="0.13391898029029289"/>
    <x v="6"/>
  </r>
  <r>
    <n v="9"/>
    <n v="54"/>
    <n v="1"/>
    <n v="2"/>
    <n v="3"/>
    <n v="3"/>
    <n v="2"/>
    <n v="2700"/>
    <n v="5"/>
    <n v="0"/>
    <n v="0.86614481385334663"/>
    <n v="0.13385518614665329"/>
    <x v="6"/>
  </r>
  <r>
    <n v="9"/>
    <n v="53"/>
    <n v="5"/>
    <n v="2"/>
    <n v="1"/>
    <n v="7"/>
    <n v="2"/>
    <n v="4000"/>
    <n v="11"/>
    <n v="0"/>
    <n v="0.86618419444509342"/>
    <n v="0.13381580555490649"/>
    <x v="6"/>
  </r>
  <r>
    <n v="9"/>
    <n v="53"/>
    <n v="3"/>
    <n v="2"/>
    <n v="0"/>
    <n v="11"/>
    <n v="3"/>
    <n v="0.01"/>
    <n v="4"/>
    <n v="0"/>
    <n v="0.86622822316489079"/>
    <n v="0.13377177683510921"/>
    <x v="6"/>
  </r>
  <r>
    <n v="7"/>
    <n v="56"/>
    <n v="2"/>
    <n v="0"/>
    <n v="0"/>
    <n v="2"/>
    <n v="3"/>
    <n v="0.01"/>
    <n v="5"/>
    <n v="0"/>
    <n v="0.8662293975599189"/>
    <n v="0.1337706024400811"/>
    <x v="6"/>
  </r>
  <r>
    <n v="6"/>
    <n v="51"/>
    <n v="2"/>
    <n v="0"/>
    <n v="1"/>
    <n v="7"/>
    <n v="3"/>
    <n v="0.01"/>
    <n v="4"/>
    <n v="0"/>
    <n v="0.8662299969230467"/>
    <n v="0.1337700030769533"/>
    <x v="6"/>
  </r>
  <r>
    <n v="5"/>
    <n v="49"/>
    <n v="1"/>
    <n v="0"/>
    <n v="0"/>
    <n v="4"/>
    <n v="2"/>
    <n v="1800"/>
    <n v="8"/>
    <n v="0"/>
    <n v="0.86624408393434527"/>
    <n v="0.13375591606565479"/>
    <x v="6"/>
  </r>
  <r>
    <n v="12"/>
    <n v="68"/>
    <n v="1"/>
    <n v="2"/>
    <n v="3"/>
    <n v="3"/>
    <n v="0"/>
    <n v="15000"/>
    <n v="4"/>
    <n v="0"/>
    <n v="0.86669179295198429"/>
    <n v="0.13330820704801569"/>
    <x v="6"/>
  </r>
  <r>
    <n v="8"/>
    <n v="49"/>
    <n v="3"/>
    <n v="2"/>
    <n v="1"/>
    <n v="7"/>
    <n v="3"/>
    <n v="0.01"/>
    <n v="8"/>
    <n v="0"/>
    <n v="0.86673129887254929"/>
    <n v="0.13326870112745079"/>
    <x v="6"/>
  </r>
  <r>
    <n v="8"/>
    <n v="61"/>
    <n v="0"/>
    <n v="0"/>
    <n v="1"/>
    <n v="5"/>
    <n v="2"/>
    <n v="3000"/>
    <n v="2"/>
    <n v="1"/>
    <n v="0.86674421645919852"/>
    <n v="0.13325578354080139"/>
    <x v="6"/>
  </r>
  <r>
    <n v="8"/>
    <n v="57"/>
    <n v="0"/>
    <n v="1"/>
    <n v="3"/>
    <n v="3"/>
    <n v="0"/>
    <n v="10000"/>
    <n v="3"/>
    <n v="0"/>
    <n v="0.86675169826506504"/>
    <n v="0.13324830173493499"/>
    <x v="6"/>
  </r>
  <r>
    <n v="8"/>
    <n v="51"/>
    <n v="2"/>
    <n v="2"/>
    <n v="3"/>
    <n v="8"/>
    <n v="0"/>
    <n v="18633.509999999998"/>
    <n v="3"/>
    <n v="0"/>
    <n v="0.86681810400163073"/>
    <n v="0.13318189599836919"/>
    <x v="6"/>
  </r>
  <r>
    <n v="7"/>
    <n v="53"/>
    <n v="1"/>
    <n v="1"/>
    <n v="1"/>
    <n v="7"/>
    <n v="0"/>
    <n v="6000"/>
    <n v="2"/>
    <n v="0"/>
    <n v="0.86700127096228408"/>
    <n v="0.1329987290377159"/>
    <x v="6"/>
  </r>
  <r>
    <n v="11"/>
    <n v="73"/>
    <n v="2"/>
    <n v="0"/>
    <n v="2"/>
    <n v="6"/>
    <n v="1"/>
    <n v="20678.29"/>
    <n v="4"/>
    <n v="0"/>
    <n v="0.86701983050917786"/>
    <n v="0.13298016949082209"/>
    <x v="6"/>
  </r>
  <r>
    <n v="6"/>
    <n v="53"/>
    <n v="1"/>
    <n v="0"/>
    <n v="3"/>
    <n v="8"/>
    <n v="0"/>
    <n v="7410"/>
    <n v="8"/>
    <n v="0"/>
    <n v="0.86707016797383663"/>
    <n v="0.1329298320261634"/>
    <x v="6"/>
  </r>
  <r>
    <n v="8"/>
    <n v="62"/>
    <n v="0"/>
    <n v="0"/>
    <n v="3"/>
    <n v="3"/>
    <n v="0"/>
    <n v="10000"/>
    <n v="4"/>
    <n v="0"/>
    <n v="0.86722540405555626"/>
    <n v="0.13277459594444371"/>
    <x v="6"/>
  </r>
  <r>
    <n v="8"/>
    <n v="61"/>
    <n v="2"/>
    <n v="0"/>
    <n v="3"/>
    <n v="3"/>
    <n v="0"/>
    <n v="6000"/>
    <n v="2"/>
    <n v="1"/>
    <n v="0.8673918658030384"/>
    <n v="0.1326081341969616"/>
    <x v="6"/>
  </r>
  <r>
    <n v="9"/>
    <n v="67"/>
    <n v="1"/>
    <n v="0"/>
    <n v="0"/>
    <n v="11"/>
    <n v="1"/>
    <n v="55967.02"/>
    <n v="12"/>
    <n v="0"/>
    <n v="0.86742824133971186"/>
    <n v="0.1325717586602882"/>
    <x v="6"/>
  </r>
  <r>
    <n v="8"/>
    <n v="61"/>
    <n v="0"/>
    <n v="0"/>
    <n v="1"/>
    <n v="12"/>
    <n v="2"/>
    <n v="750"/>
    <n v="30"/>
    <n v="0"/>
    <n v="0.86744370907696444"/>
    <n v="0.1325562909230355"/>
    <x v="6"/>
  </r>
  <r>
    <n v="8"/>
    <n v="61"/>
    <n v="2"/>
    <n v="0"/>
    <n v="0"/>
    <n v="2"/>
    <n v="2"/>
    <n v="0.02"/>
    <n v="7"/>
    <n v="0"/>
    <n v="0.86744951422620908"/>
    <n v="0.13255048577379089"/>
    <x v="6"/>
  </r>
  <r>
    <n v="7"/>
    <n v="53"/>
    <n v="2"/>
    <n v="1"/>
    <n v="0"/>
    <n v="10"/>
    <n v="0"/>
    <n v="6800"/>
    <n v="9"/>
    <n v="0"/>
    <n v="0.86746892936316689"/>
    <n v="0.13253107063683309"/>
    <x v="6"/>
  </r>
  <r>
    <n v="7"/>
    <n v="51"/>
    <n v="2"/>
    <n v="1"/>
    <n v="1"/>
    <n v="7"/>
    <n v="2"/>
    <n v="100"/>
    <n v="1"/>
    <n v="0"/>
    <n v="0.86755026779169631"/>
    <n v="0.13244973220830369"/>
    <x v="6"/>
  </r>
  <r>
    <n v="5"/>
    <n v="51"/>
    <n v="1"/>
    <n v="0"/>
    <n v="0"/>
    <n v="4"/>
    <n v="0"/>
    <n v="10954.36"/>
    <n v="12"/>
    <n v="0"/>
    <n v="0.86767824199324528"/>
    <n v="0.13232175800675469"/>
    <x v="6"/>
  </r>
  <r>
    <n v="5"/>
    <n v="38"/>
    <n v="1"/>
    <n v="2"/>
    <n v="0"/>
    <n v="11"/>
    <n v="3"/>
    <n v="0.01"/>
    <n v="8"/>
    <n v="0"/>
    <n v="0.86790129597264964"/>
    <n v="0.13209870402735041"/>
    <x v="6"/>
  </r>
  <r>
    <n v="8"/>
    <n v="63"/>
    <n v="1"/>
    <n v="0"/>
    <n v="0"/>
    <n v="4"/>
    <n v="0"/>
    <n v="11000"/>
    <n v="3"/>
    <n v="0"/>
    <n v="0.86795661972526106"/>
    <n v="0.132043380274739"/>
    <x v="6"/>
  </r>
  <r>
    <n v="8"/>
    <n v="51"/>
    <n v="2"/>
    <n v="2"/>
    <n v="3"/>
    <n v="8"/>
    <n v="0"/>
    <n v="12000"/>
    <n v="2"/>
    <n v="0"/>
    <n v="0.86819428933272114"/>
    <n v="0.13180571066727889"/>
    <x v="6"/>
  </r>
  <r>
    <n v="8"/>
    <n v="60"/>
    <n v="1"/>
    <n v="0"/>
    <n v="3"/>
    <n v="3"/>
    <n v="2"/>
    <n v="1000"/>
    <n v="4"/>
    <n v="0"/>
    <n v="0.86819870731435178"/>
    <n v="0.13180129268564819"/>
    <x v="6"/>
  </r>
  <r>
    <n v="12"/>
    <n v="78"/>
    <n v="2"/>
    <n v="0"/>
    <n v="1"/>
    <n v="12"/>
    <n v="1"/>
    <n v="30026.67"/>
    <n v="32"/>
    <n v="0"/>
    <n v="0.86823947697549242"/>
    <n v="0.13176052302450761"/>
    <x v="6"/>
  </r>
  <r>
    <n v="10"/>
    <n v="69"/>
    <n v="3"/>
    <n v="0"/>
    <n v="2"/>
    <n v="6"/>
    <n v="1"/>
    <n v="32062.5"/>
    <n v="4"/>
    <n v="1"/>
    <n v="0.86828086177646369"/>
    <n v="0.13171913822353629"/>
    <x v="6"/>
  </r>
  <r>
    <n v="8"/>
    <n v="50"/>
    <n v="5"/>
    <n v="2"/>
    <n v="0"/>
    <n v="2"/>
    <n v="2"/>
    <n v="1000"/>
    <n v="5"/>
    <n v="0"/>
    <n v="0.86847030694710159"/>
    <n v="0.13152969305289841"/>
    <x v="6"/>
  </r>
  <r>
    <n v="10"/>
    <n v="69"/>
    <n v="1"/>
    <n v="0"/>
    <n v="3"/>
    <n v="8"/>
    <n v="1"/>
    <n v="22000"/>
    <n v="5"/>
    <n v="0"/>
    <n v="0.86847822179568335"/>
    <n v="0.13152177820431671"/>
    <x v="6"/>
  </r>
  <r>
    <n v="9"/>
    <n v="64"/>
    <n v="5"/>
    <n v="0"/>
    <n v="3"/>
    <n v="3"/>
    <n v="0"/>
    <n v="8000.01"/>
    <n v="4"/>
    <n v="0"/>
    <n v="0.86852868090202939"/>
    <n v="0.13147131909797061"/>
    <x v="6"/>
  </r>
  <r>
    <n v="11"/>
    <n v="64"/>
    <n v="1"/>
    <n v="2"/>
    <n v="3"/>
    <n v="3"/>
    <n v="0"/>
    <n v="6000"/>
    <n v="5"/>
    <n v="0"/>
    <n v="0.86855672344050694"/>
    <n v="0.13144327655949309"/>
    <x v="6"/>
  </r>
  <r>
    <n v="4"/>
    <n v="43"/>
    <n v="3"/>
    <n v="0"/>
    <n v="2"/>
    <n v="0"/>
    <n v="3"/>
    <n v="0.01"/>
    <n v="5"/>
    <n v="0"/>
    <n v="0.86865150375587963"/>
    <n v="0.1313484962441204"/>
    <x v="6"/>
  </r>
  <r>
    <n v="10"/>
    <n v="67"/>
    <n v="3"/>
    <n v="0"/>
    <n v="3"/>
    <n v="8"/>
    <n v="2"/>
    <n v="1500"/>
    <n v="11"/>
    <n v="0"/>
    <n v="0.86865964173161048"/>
    <n v="0.1313403582683895"/>
    <x v="6"/>
  </r>
  <r>
    <n v="4"/>
    <n v="32"/>
    <n v="4"/>
    <n v="2"/>
    <n v="3"/>
    <n v="3"/>
    <n v="3"/>
    <n v="0.01"/>
    <n v="5"/>
    <n v="0"/>
    <n v="0.86867845834799962"/>
    <n v="0.1313215416520003"/>
    <x v="6"/>
  </r>
  <r>
    <n v="10"/>
    <n v="68"/>
    <n v="5"/>
    <n v="0"/>
    <n v="0"/>
    <n v="4"/>
    <n v="2"/>
    <n v="1250"/>
    <n v="13"/>
    <n v="0"/>
    <n v="0.86904470648855858"/>
    <n v="0.13095529351144139"/>
    <x v="6"/>
  </r>
  <r>
    <n v="5"/>
    <n v="46"/>
    <n v="4"/>
    <n v="0"/>
    <n v="3"/>
    <n v="3"/>
    <n v="3"/>
    <n v="0.01"/>
    <n v="8"/>
    <n v="0"/>
    <n v="0.86912371169202451"/>
    <n v="0.13087628830797551"/>
    <x v="6"/>
  </r>
  <r>
    <n v="11"/>
    <n v="74"/>
    <n v="3"/>
    <n v="0"/>
    <n v="0"/>
    <n v="11"/>
    <n v="0"/>
    <n v="15660.64"/>
    <n v="6"/>
    <n v="0"/>
    <n v="0.86914713798907017"/>
    <n v="0.1308528620109298"/>
    <x v="6"/>
  </r>
  <r>
    <n v="8"/>
    <n v="60"/>
    <n v="1"/>
    <n v="0"/>
    <n v="1"/>
    <n v="7"/>
    <n v="3"/>
    <n v="0.01"/>
    <n v="5"/>
    <n v="1"/>
    <n v="0.86927584870635044"/>
    <n v="0.13072415129364959"/>
    <x v="6"/>
  </r>
  <r>
    <n v="4"/>
    <n v="43"/>
    <n v="5"/>
    <n v="0"/>
    <n v="0"/>
    <n v="2"/>
    <n v="3"/>
    <n v="0.01"/>
    <n v="5"/>
    <n v="0"/>
    <n v="0.86941797104609375"/>
    <n v="0.13058202895390619"/>
    <x v="6"/>
  </r>
  <r>
    <n v="8"/>
    <n v="59"/>
    <n v="3"/>
    <n v="0"/>
    <n v="3"/>
    <n v="8"/>
    <n v="2"/>
    <n v="2800"/>
    <n v="8"/>
    <n v="0"/>
    <n v="0.86954744681672236"/>
    <n v="0.1304525531832777"/>
    <x v="6"/>
  </r>
  <r>
    <n v="8"/>
    <n v="51"/>
    <n v="5"/>
    <n v="2"/>
    <n v="0"/>
    <n v="11"/>
    <n v="0"/>
    <n v="6000"/>
    <n v="8"/>
    <n v="0"/>
    <n v="0.86956809181037009"/>
    <n v="0.13043190818962991"/>
    <x v="6"/>
  </r>
  <r>
    <n v="10"/>
    <n v="68"/>
    <n v="4"/>
    <n v="0"/>
    <n v="0"/>
    <n v="2"/>
    <n v="3"/>
    <n v="0.01"/>
    <n v="16"/>
    <n v="1"/>
    <n v="0.8696000829865933"/>
    <n v="0.1303999170134067"/>
    <x v="6"/>
  </r>
  <r>
    <n v="6"/>
    <n v="51"/>
    <n v="2"/>
    <n v="0"/>
    <n v="3"/>
    <n v="3"/>
    <n v="3"/>
    <n v="0.01"/>
    <n v="8"/>
    <n v="0"/>
    <n v="0.8696400457354283"/>
    <n v="0.1303599542645717"/>
    <x v="6"/>
  </r>
  <r>
    <n v="8"/>
    <n v="61"/>
    <n v="2"/>
    <n v="0"/>
    <n v="3"/>
    <n v="8"/>
    <n v="0"/>
    <n v="6000.01"/>
    <n v="8"/>
    <n v="0"/>
    <n v="0.86964565068780675"/>
    <n v="0.1303543493121932"/>
    <x v="6"/>
  </r>
  <r>
    <n v="8"/>
    <n v="62"/>
    <n v="1"/>
    <n v="0"/>
    <n v="3"/>
    <n v="3"/>
    <n v="0"/>
    <n v="9000"/>
    <n v="8"/>
    <n v="0"/>
    <n v="0.86982580741126392"/>
    <n v="0.130174192588736"/>
    <x v="6"/>
  </r>
  <r>
    <n v="8"/>
    <n v="59"/>
    <n v="4"/>
    <n v="0"/>
    <n v="3"/>
    <n v="3"/>
    <n v="2"/>
    <n v="500"/>
    <n v="8"/>
    <n v="0"/>
    <n v="0.86983768503215442"/>
    <n v="0.13016231496784561"/>
    <x v="6"/>
  </r>
  <r>
    <n v="8"/>
    <n v="55"/>
    <n v="1"/>
    <n v="1"/>
    <n v="3"/>
    <n v="8"/>
    <n v="2"/>
    <n v="5000"/>
    <n v="4"/>
    <n v="1"/>
    <n v="0.86997465054688428"/>
    <n v="0.13002534945311581"/>
    <x v="6"/>
  </r>
  <r>
    <n v="9"/>
    <n v="66"/>
    <n v="5"/>
    <n v="0"/>
    <n v="0"/>
    <n v="2"/>
    <n v="0"/>
    <n v="12869.97"/>
    <n v="11"/>
    <n v="0"/>
    <n v="0.86997677295136633"/>
    <n v="0.13002322704863359"/>
    <x v="6"/>
  </r>
  <r>
    <n v="5"/>
    <n v="47"/>
    <n v="2"/>
    <n v="0"/>
    <n v="3"/>
    <n v="3"/>
    <n v="3"/>
    <n v="0.01"/>
    <n v="8"/>
    <n v="0"/>
    <n v="0.86998222642968548"/>
    <n v="0.13001777357031449"/>
    <x v="6"/>
  </r>
  <r>
    <n v="12"/>
    <n v="71"/>
    <n v="4"/>
    <n v="1"/>
    <n v="2"/>
    <n v="1"/>
    <n v="2"/>
    <n v="5000"/>
    <n v="3"/>
    <n v="0"/>
    <n v="0.87011650770959847"/>
    <n v="0.1298834922904015"/>
    <x v="6"/>
  </r>
  <r>
    <n v="9"/>
    <n v="67"/>
    <n v="2"/>
    <n v="0"/>
    <n v="0"/>
    <n v="4"/>
    <n v="0"/>
    <n v="9600"/>
    <n v="8"/>
    <n v="0"/>
    <n v="0.87013155080814197"/>
    <n v="0.12986844919185811"/>
    <x v="6"/>
  </r>
  <r>
    <n v="10"/>
    <n v="70"/>
    <n v="4"/>
    <n v="0"/>
    <n v="0"/>
    <n v="4"/>
    <n v="0"/>
    <n v="6000"/>
    <n v="4"/>
    <n v="0"/>
    <n v="0.87017113245651434"/>
    <n v="0.1298288675434856"/>
    <x v="6"/>
  </r>
  <r>
    <n v="7"/>
    <n v="60"/>
    <n v="0"/>
    <n v="0"/>
    <n v="0"/>
    <n v="2"/>
    <n v="0"/>
    <n v="12053.34"/>
    <n v="6"/>
    <n v="1"/>
    <n v="0.87027278654594353"/>
    <n v="0.12972721345405649"/>
    <x v="6"/>
  </r>
  <r>
    <n v="9"/>
    <n v="64"/>
    <n v="5"/>
    <n v="0"/>
    <n v="0"/>
    <n v="4"/>
    <n v="2"/>
    <n v="0.02"/>
    <n v="8"/>
    <n v="1"/>
    <n v="0.87034353626907723"/>
    <n v="0.12965646373092279"/>
    <x v="6"/>
  </r>
  <r>
    <n v="7"/>
    <n v="51"/>
    <n v="2"/>
    <n v="1"/>
    <n v="3"/>
    <n v="3"/>
    <n v="2"/>
    <n v="2600"/>
    <n v="5"/>
    <n v="0"/>
    <n v="0.87047820006976728"/>
    <n v="0.12952179993023269"/>
    <x v="6"/>
  </r>
  <r>
    <n v="9"/>
    <n v="65"/>
    <n v="0"/>
    <n v="0"/>
    <n v="3"/>
    <n v="3"/>
    <n v="2"/>
    <n v="5000"/>
    <n v="6"/>
    <n v="0"/>
    <n v="0.87067717617619"/>
    <n v="0.12932282382381"/>
    <x v="6"/>
  </r>
  <r>
    <n v="7"/>
    <n v="58"/>
    <n v="0"/>
    <n v="0"/>
    <n v="3"/>
    <n v="8"/>
    <n v="0"/>
    <n v="6000"/>
    <n v="9"/>
    <n v="0"/>
    <n v="0.87069690137877254"/>
    <n v="0.12930309862122749"/>
    <x v="6"/>
  </r>
  <r>
    <n v="9"/>
    <n v="66"/>
    <n v="1"/>
    <n v="0"/>
    <n v="3"/>
    <n v="3"/>
    <n v="0"/>
    <n v="6000"/>
    <n v="2"/>
    <n v="1"/>
    <n v="0.87090022063187233"/>
    <n v="0.12909977936812769"/>
    <x v="6"/>
  </r>
  <r>
    <n v="14"/>
    <n v="79"/>
    <n v="3"/>
    <n v="1"/>
    <n v="3"/>
    <n v="3"/>
    <n v="2"/>
    <n v="3000.01"/>
    <n v="5"/>
    <n v="0"/>
    <n v="0.870985361563131"/>
    <n v="0.129014638436869"/>
    <x v="6"/>
  </r>
  <r>
    <n v="6"/>
    <n v="51"/>
    <n v="3"/>
    <n v="0"/>
    <n v="3"/>
    <n v="8"/>
    <n v="2"/>
    <n v="4000"/>
    <n v="1"/>
    <n v="0"/>
    <n v="0.87102686861397849"/>
    <n v="0.12897313138602151"/>
    <x v="6"/>
  </r>
  <r>
    <n v="9"/>
    <n v="66"/>
    <n v="1"/>
    <n v="0"/>
    <n v="0"/>
    <n v="4"/>
    <n v="2"/>
    <n v="3000"/>
    <n v="11"/>
    <n v="0"/>
    <n v="0.87106947859199846"/>
    <n v="0.1289305214080016"/>
    <x v="6"/>
  </r>
  <r>
    <n v="6"/>
    <n v="52"/>
    <n v="5"/>
    <n v="0"/>
    <n v="0"/>
    <n v="4"/>
    <n v="2"/>
    <n v="800"/>
    <n v="9"/>
    <n v="0"/>
    <n v="0.87107428015713939"/>
    <n v="0.12892571984286061"/>
    <x v="6"/>
  </r>
  <r>
    <n v="9"/>
    <n v="67"/>
    <n v="0"/>
    <n v="0"/>
    <n v="3"/>
    <n v="3"/>
    <n v="0"/>
    <n v="15000"/>
    <n v="14"/>
    <n v="0"/>
    <n v="0.87134359372244574"/>
    <n v="0.12865640627755431"/>
    <x v="6"/>
  </r>
  <r>
    <n v="7"/>
    <n v="59"/>
    <n v="2"/>
    <n v="0"/>
    <n v="0"/>
    <n v="4"/>
    <n v="0"/>
    <n v="5400"/>
    <n v="9"/>
    <n v="0"/>
    <n v="0.87142843115609814"/>
    <n v="0.12857156884390181"/>
    <x v="6"/>
  </r>
  <r>
    <n v="6"/>
    <n v="52"/>
    <n v="2"/>
    <n v="0"/>
    <n v="3"/>
    <n v="3"/>
    <n v="2"/>
    <n v="5000"/>
    <n v="1"/>
    <n v="0"/>
    <n v="0.87156654892555974"/>
    <n v="0.12843345107444021"/>
    <x v="6"/>
  </r>
  <r>
    <n v="8"/>
    <n v="63"/>
    <n v="2"/>
    <n v="0"/>
    <n v="1"/>
    <n v="7"/>
    <n v="0"/>
    <n v="12053.34"/>
    <n v="32"/>
    <n v="1"/>
    <n v="0.87160700776523026"/>
    <n v="0.12839299223476969"/>
    <x v="6"/>
  </r>
  <r>
    <n v="8"/>
    <n v="61"/>
    <n v="3"/>
    <n v="0"/>
    <n v="0"/>
    <n v="4"/>
    <n v="2"/>
    <n v="50"/>
    <n v="7"/>
    <n v="0"/>
    <n v="0.87166873859624561"/>
    <n v="0.12833126140375439"/>
    <x v="6"/>
  </r>
  <r>
    <n v="8"/>
    <n v="62"/>
    <n v="2"/>
    <n v="0"/>
    <n v="1"/>
    <n v="12"/>
    <n v="0"/>
    <n v="7500"/>
    <n v="11"/>
    <n v="1"/>
    <n v="0.871785559897857"/>
    <n v="0.128214440102143"/>
    <x v="6"/>
  </r>
  <r>
    <n v="9"/>
    <n v="63"/>
    <n v="0"/>
    <n v="1"/>
    <n v="0"/>
    <n v="4"/>
    <n v="0"/>
    <n v="6000"/>
    <n v="2"/>
    <n v="0"/>
    <n v="0.87189391571881147"/>
    <n v="0.1281060842811885"/>
    <x v="6"/>
  </r>
  <r>
    <n v="5"/>
    <n v="41"/>
    <n v="5"/>
    <n v="1"/>
    <n v="3"/>
    <n v="3"/>
    <n v="3"/>
    <n v="0.01"/>
    <n v="5"/>
    <n v="0"/>
    <n v="0.87191499365747949"/>
    <n v="0.12808500634252051"/>
    <x v="6"/>
  </r>
  <r>
    <n v="9"/>
    <n v="55"/>
    <n v="3"/>
    <n v="2"/>
    <n v="3"/>
    <n v="8"/>
    <n v="0"/>
    <n v="6000"/>
    <n v="2"/>
    <n v="0"/>
    <n v="0.87191912390095205"/>
    <n v="0.128080876099048"/>
    <x v="6"/>
  </r>
  <r>
    <n v="7"/>
    <n v="55"/>
    <n v="2"/>
    <n v="0"/>
    <n v="3"/>
    <n v="8"/>
    <n v="3"/>
    <n v="0.01"/>
    <n v="10"/>
    <n v="0"/>
    <n v="0.87209775841318471"/>
    <n v="0.12790224158681529"/>
    <x v="6"/>
  </r>
  <r>
    <n v="11"/>
    <n v="74"/>
    <n v="0"/>
    <n v="0"/>
    <n v="0"/>
    <n v="2"/>
    <n v="3"/>
    <n v="0.01"/>
    <n v="8"/>
    <n v="0"/>
    <n v="0.87211874787563692"/>
    <n v="0.1278812521243631"/>
    <x v="6"/>
  </r>
  <r>
    <n v="4"/>
    <n v="46"/>
    <n v="0"/>
    <n v="0"/>
    <n v="1"/>
    <n v="7"/>
    <n v="2"/>
    <n v="2201.6"/>
    <n v="30"/>
    <n v="0"/>
    <n v="0.87225187033664553"/>
    <n v="0.1277481296633545"/>
    <x v="6"/>
  </r>
  <r>
    <n v="9"/>
    <n v="61"/>
    <n v="2"/>
    <n v="1"/>
    <n v="3"/>
    <n v="3"/>
    <n v="0"/>
    <n v="6000"/>
    <n v="4"/>
    <n v="1"/>
    <n v="0.87294819973294635"/>
    <n v="0.1270518002670537"/>
    <x v="6"/>
  </r>
  <r>
    <n v="7"/>
    <n v="57"/>
    <n v="2"/>
    <n v="0"/>
    <n v="0"/>
    <n v="2"/>
    <n v="3"/>
    <n v="0.01"/>
    <n v="5"/>
    <n v="0"/>
    <n v="0.8730497158391346"/>
    <n v="0.1269502841608654"/>
    <x v="6"/>
  </r>
  <r>
    <n v="6"/>
    <n v="51"/>
    <n v="5"/>
    <n v="0"/>
    <n v="1"/>
    <n v="5"/>
    <n v="3"/>
    <n v="0.01"/>
    <n v="9"/>
    <n v="0"/>
    <n v="0.87319758069492415"/>
    <n v="0.1268024193050758"/>
    <x v="6"/>
  </r>
  <r>
    <n v="7"/>
    <n v="58"/>
    <n v="3"/>
    <n v="0"/>
    <n v="1"/>
    <n v="7"/>
    <n v="0"/>
    <n v="6000"/>
    <n v="4"/>
    <n v="0"/>
    <n v="0.87326364529653511"/>
    <n v="0.12673635470346489"/>
    <x v="6"/>
  </r>
  <r>
    <n v="7"/>
    <n v="51"/>
    <n v="3"/>
    <n v="1"/>
    <n v="3"/>
    <n v="3"/>
    <n v="2"/>
    <n v="1920"/>
    <n v="4"/>
    <n v="0"/>
    <n v="0.87367788983725114"/>
    <n v="0.12632211016274891"/>
    <x v="6"/>
  </r>
  <r>
    <n v="9"/>
    <n v="59"/>
    <n v="5"/>
    <n v="1"/>
    <n v="1"/>
    <n v="5"/>
    <n v="2"/>
    <n v="3000"/>
    <n v="2"/>
    <n v="0"/>
    <n v="0.87384565281716298"/>
    <n v="0.12615434718283711"/>
    <x v="6"/>
  </r>
  <r>
    <n v="5"/>
    <n v="49"/>
    <n v="2"/>
    <n v="0"/>
    <n v="0"/>
    <n v="2"/>
    <n v="3"/>
    <n v="0.01"/>
    <n v="4"/>
    <n v="0"/>
    <n v="0.87385974816609857"/>
    <n v="0.1261402518339014"/>
    <x v="6"/>
  </r>
  <r>
    <n v="6"/>
    <n v="53"/>
    <n v="2"/>
    <n v="0"/>
    <n v="4"/>
    <n v="9"/>
    <n v="0"/>
    <n v="6600"/>
    <n v="8"/>
    <n v="0"/>
    <n v="0.87400239656440537"/>
    <n v="0.12599760343559471"/>
    <x v="6"/>
  </r>
  <r>
    <n v="5"/>
    <n v="46"/>
    <n v="0"/>
    <n v="1"/>
    <n v="3"/>
    <n v="3"/>
    <n v="0"/>
    <n v="9000"/>
    <n v="8"/>
    <n v="0"/>
    <n v="0.87401811588756184"/>
    <n v="0.12598188411243821"/>
    <x v="6"/>
  </r>
  <r>
    <n v="6"/>
    <n v="51"/>
    <n v="0"/>
    <n v="1"/>
    <n v="0"/>
    <n v="4"/>
    <n v="1"/>
    <n v="20424.79"/>
    <n v="9"/>
    <n v="0"/>
    <n v="0.87420357881663924"/>
    <n v="0.12579642118336079"/>
    <x v="6"/>
  </r>
  <r>
    <n v="13"/>
    <n v="77"/>
    <n v="1"/>
    <n v="1"/>
    <n v="1"/>
    <n v="7"/>
    <n v="2"/>
    <n v="180"/>
    <n v="12"/>
    <n v="0"/>
    <n v="0.8744751351230684"/>
    <n v="0.1255248648769316"/>
    <x v="6"/>
  </r>
  <r>
    <n v="10"/>
    <n v="71"/>
    <n v="1"/>
    <n v="0"/>
    <n v="1"/>
    <n v="12"/>
    <n v="0"/>
    <n v="12000"/>
    <n v="8"/>
    <n v="0"/>
    <n v="0.87449176920449068"/>
    <n v="0.1255082307955093"/>
    <x v="6"/>
  </r>
  <r>
    <n v="5"/>
    <n v="51"/>
    <n v="0"/>
    <n v="0"/>
    <n v="3"/>
    <n v="3"/>
    <n v="0"/>
    <n v="12000"/>
    <n v="3"/>
    <n v="0"/>
    <n v="0.87478516553364316"/>
    <n v="0.12521483446635681"/>
    <x v="6"/>
  </r>
  <r>
    <n v="7"/>
    <n v="56"/>
    <n v="5"/>
    <n v="0"/>
    <n v="2"/>
    <n v="0"/>
    <n v="2"/>
    <n v="3000"/>
    <n v="5"/>
    <n v="0"/>
    <n v="0.87478612970289693"/>
    <n v="0.12521387029710301"/>
    <x v="6"/>
  </r>
  <r>
    <n v="8"/>
    <n v="51"/>
    <n v="5"/>
    <n v="2"/>
    <n v="3"/>
    <n v="3"/>
    <n v="0"/>
    <n v="6000"/>
    <n v="2"/>
    <n v="0"/>
    <n v="0.8750332490818743"/>
    <n v="0.1249667509181257"/>
    <x v="6"/>
  </r>
  <r>
    <n v="6"/>
    <n v="51"/>
    <n v="4"/>
    <n v="0"/>
    <n v="1"/>
    <n v="12"/>
    <n v="3"/>
    <n v="0.01"/>
    <n v="5"/>
    <n v="0"/>
    <n v="0.87509682262953581"/>
    <n v="0.12490317737046421"/>
    <x v="6"/>
  </r>
  <r>
    <n v="8"/>
    <n v="64"/>
    <n v="1"/>
    <n v="0"/>
    <n v="1"/>
    <n v="5"/>
    <n v="0"/>
    <n v="9000"/>
    <n v="29"/>
    <n v="1"/>
    <n v="0.8751093072813787"/>
    <n v="0.1248906927186213"/>
    <x v="6"/>
  </r>
  <r>
    <n v="6"/>
    <n v="55"/>
    <n v="0"/>
    <n v="0"/>
    <n v="3"/>
    <n v="3"/>
    <n v="0"/>
    <n v="6000"/>
    <n v="4"/>
    <n v="0"/>
    <n v="0.87537117199615277"/>
    <n v="0.1246288280038472"/>
    <x v="6"/>
  </r>
  <r>
    <n v="6"/>
    <n v="52"/>
    <n v="5"/>
    <n v="0"/>
    <n v="0"/>
    <n v="2"/>
    <n v="3"/>
    <n v="0.01"/>
    <n v="5"/>
    <n v="0"/>
    <n v="0.87544146317998628"/>
    <n v="0.12455853682001369"/>
    <x v="6"/>
  </r>
  <r>
    <n v="10"/>
    <n v="69"/>
    <n v="3"/>
    <n v="0"/>
    <n v="1"/>
    <n v="7"/>
    <n v="2"/>
    <n v="2000"/>
    <n v="8"/>
    <n v="0"/>
    <n v="0.87547032001228908"/>
    <n v="0.124529679987711"/>
    <x v="6"/>
  </r>
  <r>
    <n v="6"/>
    <n v="52"/>
    <n v="3"/>
    <n v="0"/>
    <n v="1"/>
    <n v="7"/>
    <n v="3"/>
    <n v="0.01"/>
    <n v="7"/>
    <n v="0"/>
    <n v="0.8755174370282014"/>
    <n v="0.1244825629717986"/>
    <x v="6"/>
  </r>
  <r>
    <n v="7"/>
    <n v="58"/>
    <n v="3"/>
    <n v="0"/>
    <n v="3"/>
    <n v="3"/>
    <n v="0"/>
    <n v="7260"/>
    <n v="13"/>
    <n v="0"/>
    <n v="0.87560187671264333"/>
    <n v="0.1243981232873566"/>
    <x v="6"/>
  </r>
  <r>
    <n v="8"/>
    <n v="62"/>
    <n v="2"/>
    <n v="0"/>
    <n v="3"/>
    <n v="8"/>
    <n v="0"/>
    <n v="6000"/>
    <n v="13"/>
    <n v="0"/>
    <n v="0.87561856541583638"/>
    <n v="0.12438143458416361"/>
    <x v="6"/>
  </r>
  <r>
    <n v="5"/>
    <n v="48"/>
    <n v="3"/>
    <n v="0"/>
    <n v="3"/>
    <n v="3"/>
    <n v="2"/>
    <n v="100"/>
    <n v="1"/>
    <n v="0"/>
    <n v="0.87567551480211325"/>
    <n v="0.1243244851978868"/>
    <x v="6"/>
  </r>
  <r>
    <n v="8"/>
    <n v="62"/>
    <n v="2"/>
    <n v="0"/>
    <n v="3"/>
    <n v="8"/>
    <n v="0"/>
    <n v="9600"/>
    <n v="8"/>
    <n v="1"/>
    <n v="0.87568659997162335"/>
    <n v="0.1243134000283766"/>
    <x v="6"/>
  </r>
  <r>
    <n v="10"/>
    <n v="69"/>
    <n v="5"/>
    <n v="0"/>
    <n v="0"/>
    <n v="4"/>
    <n v="2"/>
    <n v="1900"/>
    <n v="12"/>
    <n v="0"/>
    <n v="0.87576794540194136"/>
    <n v="0.1242320545980586"/>
    <x v="6"/>
  </r>
  <r>
    <n v="13"/>
    <n v="73"/>
    <n v="3"/>
    <n v="2"/>
    <n v="3"/>
    <n v="3"/>
    <n v="0"/>
    <n v="12106.69"/>
    <n v="30"/>
    <n v="0"/>
    <n v="0.87577629694811099"/>
    <n v="0.124223703051889"/>
    <x v="6"/>
  </r>
  <r>
    <n v="13"/>
    <n v="77"/>
    <n v="1"/>
    <n v="1"/>
    <n v="4"/>
    <n v="9"/>
    <n v="0"/>
    <n v="6000"/>
    <n v="1"/>
    <n v="0"/>
    <n v="0.87589394354581018"/>
    <n v="0.1241060564541898"/>
    <x v="6"/>
  </r>
  <r>
    <n v="7"/>
    <n v="51"/>
    <n v="2"/>
    <n v="1"/>
    <n v="3"/>
    <n v="3"/>
    <n v="3"/>
    <n v="0.01"/>
    <n v="4"/>
    <n v="0"/>
    <n v="0.87595595969295781"/>
    <n v="0.12404404030704221"/>
    <x v="6"/>
  </r>
  <r>
    <n v="6"/>
    <n v="47"/>
    <n v="5"/>
    <n v="1"/>
    <n v="0"/>
    <n v="4"/>
    <n v="3"/>
    <n v="0.01"/>
    <n v="5"/>
    <n v="0"/>
    <n v="0.87604931273941089"/>
    <n v="0.1239506872605891"/>
    <x v="6"/>
  </r>
  <r>
    <n v="7"/>
    <n v="47"/>
    <n v="0"/>
    <n v="2"/>
    <n v="3"/>
    <n v="3"/>
    <n v="3"/>
    <n v="0.01"/>
    <n v="5"/>
    <n v="0"/>
    <n v="0.87605271489513603"/>
    <n v="0.1239472851048639"/>
    <x v="6"/>
  </r>
  <r>
    <n v="5"/>
    <n v="48"/>
    <n v="3"/>
    <n v="0"/>
    <n v="1"/>
    <n v="7"/>
    <n v="3"/>
    <n v="0.01"/>
    <n v="5"/>
    <n v="0"/>
    <n v="0.87612559645622534"/>
    <n v="0.1238744035437747"/>
    <x v="6"/>
  </r>
  <r>
    <n v="9"/>
    <n v="61"/>
    <n v="0"/>
    <n v="1"/>
    <n v="3"/>
    <n v="3"/>
    <n v="2"/>
    <n v="3600"/>
    <n v="12"/>
    <n v="0"/>
    <n v="0.87613040939761921"/>
    <n v="0.1238695906023807"/>
    <x v="6"/>
  </r>
  <r>
    <n v="7"/>
    <n v="51"/>
    <n v="3"/>
    <n v="1"/>
    <n v="3"/>
    <n v="8"/>
    <n v="2"/>
    <n v="1000"/>
    <n v="9"/>
    <n v="0"/>
    <n v="0.87614075917824319"/>
    <n v="0.1238592408217568"/>
    <x v="6"/>
  </r>
  <r>
    <n v="6"/>
    <n v="47"/>
    <n v="2"/>
    <n v="1"/>
    <n v="3"/>
    <n v="3"/>
    <n v="3"/>
    <n v="0.01"/>
    <n v="5"/>
    <n v="0"/>
    <n v="0.87614453899550737"/>
    <n v="0.1238554610044927"/>
    <x v="6"/>
  </r>
  <r>
    <n v="9"/>
    <n v="65"/>
    <n v="5"/>
    <n v="0"/>
    <n v="3"/>
    <n v="3"/>
    <n v="1"/>
    <n v="26000.01"/>
    <n v="9"/>
    <n v="0"/>
    <n v="0.87618287862989142"/>
    <n v="0.1238171213701086"/>
    <x v="6"/>
  </r>
  <r>
    <n v="10"/>
    <n v="72"/>
    <n v="2"/>
    <n v="0"/>
    <n v="0"/>
    <n v="4"/>
    <n v="0"/>
    <n v="11105.32"/>
    <n v="8"/>
    <n v="0"/>
    <n v="0.8761915181890868"/>
    <n v="0.1238084818109132"/>
    <x v="6"/>
  </r>
  <r>
    <n v="6"/>
    <n v="52"/>
    <n v="2"/>
    <n v="0"/>
    <n v="3"/>
    <n v="3"/>
    <n v="3"/>
    <n v="0.01"/>
    <n v="7"/>
    <n v="0"/>
    <n v="0.87645052166698845"/>
    <n v="0.1235494783330115"/>
    <x v="6"/>
  </r>
  <r>
    <n v="8"/>
    <n v="60"/>
    <n v="5"/>
    <n v="0"/>
    <n v="1"/>
    <n v="7"/>
    <n v="2"/>
    <n v="1000"/>
    <n v="1"/>
    <n v="0"/>
    <n v="0.87645703064498415"/>
    <n v="0.12354296935501589"/>
    <x v="6"/>
  </r>
  <r>
    <n v="5"/>
    <n v="52"/>
    <n v="1"/>
    <n v="0"/>
    <n v="0"/>
    <n v="4"/>
    <n v="0"/>
    <n v="6477.11"/>
    <n v="2"/>
    <n v="0"/>
    <n v="0.87662194670514848"/>
    <n v="0.12337805329485151"/>
    <x v="6"/>
  </r>
  <r>
    <n v="7"/>
    <n v="53"/>
    <n v="3"/>
    <n v="1"/>
    <n v="3"/>
    <n v="3"/>
    <n v="0"/>
    <n v="6000"/>
    <n v="2"/>
    <n v="0"/>
    <n v="0.87677056568216705"/>
    <n v="0.1232294343178329"/>
    <x v="6"/>
  </r>
  <r>
    <n v="8"/>
    <n v="61"/>
    <n v="2"/>
    <n v="0"/>
    <n v="1"/>
    <n v="12"/>
    <n v="2"/>
    <n v="1000"/>
    <n v="5"/>
    <n v="0"/>
    <n v="0.87684341847869307"/>
    <n v="0.1231565815213069"/>
    <x v="6"/>
  </r>
  <r>
    <n v="6"/>
    <n v="55"/>
    <n v="2"/>
    <n v="0"/>
    <n v="0"/>
    <n v="11"/>
    <n v="0"/>
    <n v="6000"/>
    <n v="2"/>
    <n v="0"/>
    <n v="0.87687071099509473"/>
    <n v="0.1231292890049053"/>
    <x v="6"/>
  </r>
  <r>
    <n v="6"/>
    <n v="48"/>
    <n v="5"/>
    <n v="1"/>
    <n v="0"/>
    <n v="4"/>
    <n v="2"/>
    <n v="245.61"/>
    <n v="11"/>
    <n v="0"/>
    <n v="0.87692145857032633"/>
    <n v="0.1230785414296737"/>
    <x v="6"/>
  </r>
  <r>
    <n v="8"/>
    <n v="57"/>
    <n v="0"/>
    <n v="1"/>
    <n v="3"/>
    <n v="3"/>
    <n v="2"/>
    <n v="3000"/>
    <n v="9"/>
    <n v="0"/>
    <n v="0.87697914202555494"/>
    <n v="0.12302085797444511"/>
    <x v="6"/>
  </r>
  <r>
    <n v="7"/>
    <n v="45"/>
    <n v="5"/>
    <n v="2"/>
    <n v="3"/>
    <n v="3"/>
    <n v="3"/>
    <n v="0.01"/>
    <n v="7"/>
    <n v="0"/>
    <n v="0.87698298862374247"/>
    <n v="0.12301701137625751"/>
    <x v="6"/>
  </r>
  <r>
    <n v="5"/>
    <n v="47"/>
    <n v="2"/>
    <n v="1"/>
    <n v="0"/>
    <n v="2"/>
    <n v="0"/>
    <n v="6105.32"/>
    <n v="7"/>
    <n v="0"/>
    <n v="0.87706518360530072"/>
    <n v="0.12293481639469921"/>
    <x v="6"/>
  </r>
  <r>
    <n v="7"/>
    <n v="56"/>
    <n v="4"/>
    <n v="0"/>
    <n v="3"/>
    <n v="3"/>
    <n v="2"/>
    <n v="1000"/>
    <n v="5"/>
    <n v="1"/>
    <n v="0.87715596526297868"/>
    <n v="0.12284403473702139"/>
    <x v="6"/>
  </r>
  <r>
    <n v="13"/>
    <n v="74"/>
    <n v="3"/>
    <n v="2"/>
    <n v="0"/>
    <n v="2"/>
    <n v="1"/>
    <n v="31053.35"/>
    <n v="6"/>
    <n v="0"/>
    <n v="0.87726288093866156"/>
    <n v="0.1227371190613384"/>
    <x v="6"/>
  </r>
  <r>
    <n v="5"/>
    <n v="49"/>
    <n v="3"/>
    <n v="0"/>
    <n v="0"/>
    <n v="4"/>
    <n v="3"/>
    <n v="0.01"/>
    <n v="8"/>
    <n v="0"/>
    <n v="0.87736026546349855"/>
    <n v="0.1226397345365015"/>
    <x v="6"/>
  </r>
  <r>
    <n v="6"/>
    <n v="51"/>
    <n v="5"/>
    <n v="0"/>
    <n v="1"/>
    <n v="12"/>
    <n v="3"/>
    <n v="0.01"/>
    <n v="9"/>
    <n v="1"/>
    <n v="0.87739160323192233"/>
    <n v="0.1226083967680776"/>
    <x v="6"/>
  </r>
  <r>
    <n v="7"/>
    <n v="60"/>
    <n v="2"/>
    <n v="0"/>
    <n v="0"/>
    <n v="2"/>
    <n v="0"/>
    <n v="6000"/>
    <n v="4"/>
    <n v="0"/>
    <n v="0.87742853724336556"/>
    <n v="0.1225714627566344"/>
    <x v="6"/>
  </r>
  <r>
    <n v="6"/>
    <n v="48"/>
    <n v="2"/>
    <n v="1"/>
    <n v="3"/>
    <n v="3"/>
    <n v="2"/>
    <n v="1050"/>
    <n v="7"/>
    <n v="0"/>
    <n v="0.87743013648095458"/>
    <n v="0.1225698635190454"/>
    <x v="6"/>
  </r>
  <r>
    <n v="5"/>
    <n v="47"/>
    <n v="0"/>
    <n v="1"/>
    <n v="1"/>
    <n v="7"/>
    <n v="0"/>
    <n v="6053.35"/>
    <n v="6"/>
    <n v="0"/>
    <n v="0.87756415403865351"/>
    <n v="0.1224358459613465"/>
    <x v="6"/>
  </r>
  <r>
    <n v="7"/>
    <n v="52"/>
    <n v="2"/>
    <n v="1"/>
    <n v="0"/>
    <n v="11"/>
    <n v="3"/>
    <n v="0.01"/>
    <n v="7"/>
    <n v="0"/>
    <n v="0.87757234181555699"/>
    <n v="0.122427658184443"/>
    <x v="6"/>
  </r>
  <r>
    <n v="8"/>
    <n v="61"/>
    <n v="2"/>
    <n v="0"/>
    <n v="0"/>
    <n v="10"/>
    <n v="3"/>
    <n v="0.01"/>
    <n v="4"/>
    <n v="0"/>
    <n v="0.87765148355631095"/>
    <n v="0.12234851644368901"/>
    <x v="6"/>
  </r>
  <r>
    <n v="8"/>
    <n v="54"/>
    <n v="5"/>
    <n v="1"/>
    <n v="3"/>
    <n v="3"/>
    <n v="3"/>
    <n v="0.01"/>
    <n v="4"/>
    <n v="0"/>
    <n v="0.87765312820183072"/>
    <n v="0.1223468717981693"/>
    <x v="6"/>
  </r>
  <r>
    <n v="6"/>
    <n v="55"/>
    <n v="2"/>
    <n v="0"/>
    <n v="1"/>
    <n v="7"/>
    <n v="0"/>
    <n v="6000"/>
    <n v="1"/>
    <n v="0"/>
    <n v="0.87770523498959274"/>
    <n v="0.1222947650104073"/>
    <x v="6"/>
  </r>
  <r>
    <n v="8"/>
    <n v="61"/>
    <n v="5"/>
    <n v="0"/>
    <n v="0"/>
    <n v="4"/>
    <n v="2"/>
    <n v="3000"/>
    <n v="1"/>
    <n v="1"/>
    <n v="0.87775676178908446"/>
    <n v="0.1222432382109155"/>
    <x v="6"/>
  </r>
  <r>
    <n v="6"/>
    <n v="51"/>
    <n v="1"/>
    <n v="1"/>
    <n v="2"/>
    <n v="1"/>
    <n v="0"/>
    <n v="15053.35"/>
    <n v="7"/>
    <n v="0"/>
    <n v="0.8778842460495393"/>
    <n v="0.1221157539504607"/>
    <x v="6"/>
  </r>
  <r>
    <n v="7"/>
    <n v="51"/>
    <n v="5"/>
    <n v="1"/>
    <n v="1"/>
    <n v="12"/>
    <n v="2"/>
    <n v="3000"/>
    <n v="7"/>
    <n v="0"/>
    <n v="0.87798033529356123"/>
    <n v="0.1220196647064388"/>
    <x v="6"/>
  </r>
  <r>
    <n v="9"/>
    <n v="64"/>
    <n v="1"/>
    <n v="1"/>
    <n v="0"/>
    <n v="2"/>
    <n v="0"/>
    <n v="12253.35"/>
    <n v="9"/>
    <n v="0"/>
    <n v="0.87806528133716877"/>
    <n v="0.1219347186628312"/>
    <x v="6"/>
  </r>
  <r>
    <n v="8"/>
    <n v="62"/>
    <n v="4"/>
    <n v="0"/>
    <n v="3"/>
    <n v="3"/>
    <n v="0"/>
    <n v="13500"/>
    <n v="5"/>
    <n v="0"/>
    <n v="0.87813981672009411"/>
    <n v="0.1218601832799059"/>
    <x v="6"/>
  </r>
  <r>
    <n v="9"/>
    <n v="66"/>
    <n v="4"/>
    <n v="0"/>
    <n v="2"/>
    <n v="6"/>
    <n v="0"/>
    <n v="6000"/>
    <n v="2"/>
    <n v="1"/>
    <n v="0.87824266079053415"/>
    <n v="0.1217573392094658"/>
    <x v="6"/>
  </r>
  <r>
    <n v="8"/>
    <n v="55"/>
    <n v="3"/>
    <n v="1"/>
    <n v="4"/>
    <n v="9"/>
    <n v="2"/>
    <n v="23.84"/>
    <n v="18"/>
    <n v="0"/>
    <n v="0.8783909848884569"/>
    <n v="0.1216090151115431"/>
    <x v="6"/>
  </r>
  <r>
    <n v="8"/>
    <n v="63"/>
    <n v="2"/>
    <n v="0"/>
    <n v="3"/>
    <n v="3"/>
    <n v="0"/>
    <n v="15052.66"/>
    <n v="7"/>
    <n v="0"/>
    <n v="0.87840675056548745"/>
    <n v="0.12159324943451261"/>
    <x v="6"/>
  </r>
  <r>
    <n v="8"/>
    <n v="58"/>
    <n v="3"/>
    <n v="1"/>
    <n v="1"/>
    <n v="7"/>
    <n v="0"/>
    <n v="7053.34"/>
    <n v="6"/>
    <n v="0"/>
    <n v="0.87842725032597013"/>
    <n v="0.1215727496740299"/>
    <x v="6"/>
  </r>
  <r>
    <n v="9"/>
    <n v="62"/>
    <n v="2"/>
    <n v="1"/>
    <n v="3"/>
    <n v="3"/>
    <n v="0"/>
    <n v="6105.32"/>
    <n v="11"/>
    <n v="0"/>
    <n v="0.87849873789735056"/>
    <n v="0.1215012621026494"/>
    <x v="6"/>
  </r>
  <r>
    <n v="8"/>
    <n v="62"/>
    <n v="3"/>
    <n v="0"/>
    <n v="0"/>
    <n v="4"/>
    <n v="2"/>
    <n v="0.02"/>
    <n v="5"/>
    <n v="0"/>
    <n v="0.87853384994554851"/>
    <n v="0.12146615005445149"/>
    <x v="6"/>
  </r>
  <r>
    <n v="10"/>
    <n v="65"/>
    <n v="1"/>
    <n v="1"/>
    <n v="1"/>
    <n v="12"/>
    <n v="2"/>
    <n v="100"/>
    <n v="11"/>
    <n v="0"/>
    <n v="0.87857947533723757"/>
    <n v="0.1214205246627624"/>
    <x v="6"/>
  </r>
  <r>
    <n v="6"/>
    <n v="54"/>
    <n v="3"/>
    <n v="0"/>
    <n v="0"/>
    <n v="4"/>
    <n v="2"/>
    <n v="600"/>
    <n v="8"/>
    <n v="0"/>
    <n v="0.87866414743833965"/>
    <n v="0.1213358525616603"/>
    <x v="6"/>
  </r>
  <r>
    <n v="10"/>
    <n v="66"/>
    <n v="0"/>
    <n v="1"/>
    <n v="2"/>
    <n v="1"/>
    <n v="2"/>
    <n v="2000"/>
    <n v="9"/>
    <n v="0"/>
    <n v="0.87873094039101252"/>
    <n v="0.1212690596089875"/>
    <x v="6"/>
  </r>
  <r>
    <n v="5"/>
    <n v="51"/>
    <n v="3"/>
    <n v="0"/>
    <n v="1"/>
    <n v="7"/>
    <n v="0"/>
    <n v="12158.67"/>
    <n v="8"/>
    <n v="0"/>
    <n v="0.8788177847409756"/>
    <n v="0.1211822152590244"/>
    <x v="6"/>
  </r>
  <r>
    <n v="8"/>
    <n v="63"/>
    <n v="5"/>
    <n v="0"/>
    <n v="0"/>
    <n v="2"/>
    <n v="0"/>
    <n v="6053.82"/>
    <n v="6"/>
    <n v="0"/>
    <n v="0.87882569367854646"/>
    <n v="0.1211743063214535"/>
    <x v="6"/>
  </r>
  <r>
    <n v="10"/>
    <n v="67"/>
    <n v="3"/>
    <n v="1"/>
    <n v="0"/>
    <n v="2"/>
    <n v="0"/>
    <n v="6000"/>
    <n v="3"/>
    <n v="0"/>
    <n v="0.87883359962606611"/>
    <n v="0.12116640037393379"/>
    <x v="6"/>
  </r>
  <r>
    <n v="6"/>
    <n v="52"/>
    <n v="3"/>
    <n v="0"/>
    <n v="3"/>
    <n v="3"/>
    <n v="3"/>
    <n v="0.01"/>
    <n v="9"/>
    <n v="0"/>
    <n v="0.87899750491140172"/>
    <n v="0.1210024950885982"/>
    <x v="6"/>
  </r>
  <r>
    <n v="8"/>
    <n v="54"/>
    <n v="0"/>
    <n v="2"/>
    <n v="3"/>
    <n v="3"/>
    <n v="0"/>
    <n v="12000"/>
    <n v="3"/>
    <n v="0"/>
    <n v="0.8791356222383192"/>
    <n v="0.1208643777616808"/>
    <x v="6"/>
  </r>
  <r>
    <n v="9"/>
    <n v="56"/>
    <n v="1"/>
    <n v="2"/>
    <n v="3"/>
    <n v="3"/>
    <n v="2"/>
    <n v="5000"/>
    <n v="4"/>
    <n v="0"/>
    <n v="0.8792365184786578"/>
    <n v="0.1207634815213422"/>
    <x v="6"/>
  </r>
  <r>
    <n v="7"/>
    <n v="51"/>
    <n v="5"/>
    <n v="1"/>
    <n v="3"/>
    <n v="3"/>
    <n v="2"/>
    <n v="1600"/>
    <n v="5"/>
    <n v="0"/>
    <n v="0.87928876627115859"/>
    <n v="0.12071123372884129"/>
    <x v="6"/>
  </r>
  <r>
    <n v="11"/>
    <n v="70"/>
    <n v="1"/>
    <n v="1"/>
    <n v="3"/>
    <n v="8"/>
    <n v="0"/>
    <n v="6000"/>
    <n v="1"/>
    <n v="0"/>
    <n v="0.87936296758065957"/>
    <n v="0.1206370324193404"/>
    <x v="6"/>
  </r>
  <r>
    <n v="7"/>
    <n v="51"/>
    <n v="5"/>
    <n v="1"/>
    <n v="3"/>
    <n v="3"/>
    <n v="2"/>
    <n v="800"/>
    <n v="5"/>
    <n v="0"/>
    <n v="0.87942551325766072"/>
    <n v="0.1205744867423393"/>
    <x v="6"/>
  </r>
  <r>
    <n v="10"/>
    <n v="66"/>
    <n v="2"/>
    <n v="1"/>
    <n v="3"/>
    <n v="3"/>
    <n v="0"/>
    <n v="6000"/>
    <n v="2"/>
    <n v="0"/>
    <n v="0.87942574244309568"/>
    <n v="0.1205742575569043"/>
    <x v="6"/>
  </r>
  <r>
    <n v="6"/>
    <n v="51"/>
    <n v="0"/>
    <n v="1"/>
    <n v="3"/>
    <n v="3"/>
    <n v="0"/>
    <n v="9000"/>
    <n v="12"/>
    <n v="0"/>
    <n v="0.87963461328715531"/>
    <n v="0.1203653867128447"/>
    <x v="6"/>
  </r>
  <r>
    <n v="10"/>
    <n v="71"/>
    <n v="0"/>
    <n v="0"/>
    <n v="1"/>
    <n v="7"/>
    <n v="2"/>
    <n v="3000"/>
    <n v="8"/>
    <n v="0"/>
    <n v="0.87974797378290548"/>
    <n v="0.12025202621709449"/>
    <x v="6"/>
  </r>
  <r>
    <n v="8"/>
    <n v="54"/>
    <n v="6"/>
    <n v="1"/>
    <n v="3"/>
    <n v="3"/>
    <n v="3"/>
    <n v="0.01"/>
    <n v="8"/>
    <n v="0"/>
    <n v="0.87990738840481897"/>
    <n v="0.120092611595181"/>
    <x v="6"/>
  </r>
  <r>
    <n v="5"/>
    <n v="51"/>
    <n v="2"/>
    <n v="0"/>
    <n v="0"/>
    <n v="2"/>
    <n v="2"/>
    <n v="1000"/>
    <n v="18"/>
    <n v="0"/>
    <n v="0.87998195114247069"/>
    <n v="0.1200180488575293"/>
    <x v="6"/>
  </r>
  <r>
    <n v="8"/>
    <n v="52"/>
    <n v="4"/>
    <n v="2"/>
    <n v="0"/>
    <n v="4"/>
    <n v="2"/>
    <n v="1000"/>
    <n v="5"/>
    <n v="0"/>
    <n v="0.88000995130232296"/>
    <n v="0.119990048697677"/>
    <x v="6"/>
  </r>
  <r>
    <n v="9"/>
    <n v="69"/>
    <n v="1"/>
    <n v="0"/>
    <n v="0"/>
    <n v="4"/>
    <n v="0"/>
    <n v="11400"/>
    <n v="8"/>
    <n v="0"/>
    <n v="0.88008833030395694"/>
    <n v="0.1199116696960431"/>
    <x v="6"/>
  </r>
  <r>
    <n v="9"/>
    <n v="65"/>
    <n v="3"/>
    <n v="0"/>
    <n v="3"/>
    <n v="3"/>
    <n v="2"/>
    <n v="2000"/>
    <n v="4"/>
    <n v="0"/>
    <n v="0.88008873691847755"/>
    <n v="0.1199112630815224"/>
    <x v="6"/>
  </r>
  <r>
    <n v="9"/>
    <n v="66"/>
    <n v="1"/>
    <n v="0"/>
    <n v="3"/>
    <n v="3"/>
    <n v="2"/>
    <n v="3000"/>
    <n v="8"/>
    <n v="1"/>
    <n v="0.88017494862432499"/>
    <n v="0.11982505137567501"/>
    <x v="6"/>
  </r>
  <r>
    <n v="9"/>
    <n v="66"/>
    <n v="1"/>
    <n v="0"/>
    <n v="3"/>
    <n v="3"/>
    <n v="2"/>
    <n v="3000"/>
    <n v="5"/>
    <n v="0"/>
    <n v="0.8805809474724412"/>
    <n v="0.1194190525275588"/>
    <x v="6"/>
  </r>
  <r>
    <n v="5"/>
    <n v="51"/>
    <n v="3"/>
    <n v="0"/>
    <n v="1"/>
    <n v="7"/>
    <n v="1"/>
    <n v="30000"/>
    <n v="6"/>
    <n v="1"/>
    <n v="0.88070434067724412"/>
    <n v="0.1192956593227559"/>
    <x v="6"/>
  </r>
  <r>
    <n v="10"/>
    <n v="71"/>
    <n v="3"/>
    <n v="0"/>
    <n v="3"/>
    <n v="3"/>
    <n v="0"/>
    <n v="16107.64"/>
    <n v="4"/>
    <n v="0"/>
    <n v="0.88078055605106675"/>
    <n v="0.1192194439489332"/>
    <x v="6"/>
  </r>
  <r>
    <n v="8"/>
    <n v="63"/>
    <n v="4"/>
    <n v="0"/>
    <n v="1"/>
    <n v="7"/>
    <n v="0"/>
    <n v="8500"/>
    <n v="11"/>
    <n v="0"/>
    <n v="0.88085579173633133"/>
    <n v="0.1191442082636686"/>
    <x v="6"/>
  </r>
  <r>
    <n v="11"/>
    <n v="75"/>
    <n v="1"/>
    <n v="0"/>
    <n v="4"/>
    <n v="9"/>
    <n v="0"/>
    <n v="12000"/>
    <n v="13"/>
    <n v="1"/>
    <n v="0.88086323488924456"/>
    <n v="0.1191367651107554"/>
    <x v="6"/>
  </r>
  <r>
    <n v="8"/>
    <n v="51"/>
    <n v="2"/>
    <n v="2"/>
    <n v="3"/>
    <n v="3"/>
    <n v="3"/>
    <n v="0.01"/>
    <n v="8"/>
    <n v="0"/>
    <n v="0.88093328529849235"/>
    <n v="0.11906671470150761"/>
    <x v="6"/>
  </r>
  <r>
    <n v="7"/>
    <n v="50"/>
    <n v="2"/>
    <n v="2"/>
    <n v="1"/>
    <n v="7"/>
    <n v="0"/>
    <n v="6000"/>
    <n v="13"/>
    <n v="0"/>
    <n v="0.88098824806420561"/>
    <n v="0.1190117519357944"/>
    <x v="6"/>
  </r>
  <r>
    <n v="6"/>
    <n v="52"/>
    <n v="5"/>
    <n v="0"/>
    <n v="2"/>
    <n v="1"/>
    <n v="3"/>
    <n v="0.01"/>
    <n v="4"/>
    <n v="0"/>
    <n v="0.88106953173686176"/>
    <n v="0.1189304682631383"/>
    <x v="6"/>
  </r>
  <r>
    <n v="7"/>
    <n v="56"/>
    <n v="5"/>
    <n v="0"/>
    <n v="1"/>
    <n v="7"/>
    <n v="3"/>
    <n v="0.01"/>
    <n v="5"/>
    <n v="0"/>
    <n v="0.88109103403103928"/>
    <n v="0.11890896596896069"/>
    <x v="6"/>
  </r>
  <r>
    <n v="4"/>
    <n v="40"/>
    <n v="3"/>
    <n v="1"/>
    <n v="3"/>
    <n v="3"/>
    <n v="2"/>
    <n v="4500"/>
    <n v="1"/>
    <n v="0"/>
    <n v="0.8810921797162542"/>
    <n v="0.1189078202837458"/>
    <x v="6"/>
  </r>
  <r>
    <n v="11"/>
    <n v="75"/>
    <n v="2"/>
    <n v="0"/>
    <n v="3"/>
    <n v="3"/>
    <n v="1"/>
    <n v="21000"/>
    <n v="6"/>
    <n v="0"/>
    <n v="0.88122446267342514"/>
    <n v="0.11877553732657491"/>
    <x v="6"/>
  </r>
  <r>
    <n v="8"/>
    <n v="64"/>
    <n v="2"/>
    <n v="0"/>
    <n v="1"/>
    <n v="7"/>
    <n v="0"/>
    <n v="6053.35"/>
    <n v="16"/>
    <n v="0"/>
    <n v="0.88138847661430531"/>
    <n v="0.11861152338569469"/>
    <x v="6"/>
  </r>
  <r>
    <n v="10"/>
    <n v="65"/>
    <n v="5"/>
    <n v="1"/>
    <n v="3"/>
    <n v="3"/>
    <n v="0"/>
    <n v="6000"/>
    <n v="2"/>
    <n v="0"/>
    <n v="0.88139812546526908"/>
    <n v="0.11860187453473089"/>
    <x v="6"/>
  </r>
  <r>
    <n v="7"/>
    <n v="51"/>
    <n v="4"/>
    <n v="1"/>
    <n v="3"/>
    <n v="3"/>
    <n v="3"/>
    <n v="0.01"/>
    <n v="5"/>
    <n v="0"/>
    <n v="0.88142550026954425"/>
    <n v="0.11857449973045581"/>
    <x v="6"/>
  </r>
  <r>
    <n v="6"/>
    <n v="53"/>
    <n v="5"/>
    <n v="0"/>
    <n v="0"/>
    <n v="2"/>
    <n v="3"/>
    <n v="0.01"/>
    <n v="8"/>
    <n v="0"/>
    <n v="0.88145391443641241"/>
    <n v="0.11854608556358751"/>
    <x v="6"/>
  </r>
  <r>
    <n v="9"/>
    <n v="61"/>
    <n v="1"/>
    <n v="1"/>
    <n v="1"/>
    <n v="7"/>
    <n v="3"/>
    <n v="0.01"/>
    <n v="5"/>
    <n v="0"/>
    <n v="0.88147824010998121"/>
    <n v="0.1185217598900188"/>
    <x v="6"/>
  </r>
  <r>
    <n v="6"/>
    <n v="49"/>
    <n v="1"/>
    <n v="1"/>
    <n v="0"/>
    <n v="11"/>
    <n v="3"/>
    <n v="0.01"/>
    <n v="7"/>
    <n v="0"/>
    <n v="0.88148118682979937"/>
    <n v="0.1185188131702006"/>
    <x v="6"/>
  </r>
  <r>
    <n v="8"/>
    <n v="64"/>
    <n v="4"/>
    <n v="0"/>
    <n v="0"/>
    <n v="2"/>
    <n v="0"/>
    <n v="12135.97"/>
    <n v="5"/>
    <n v="0"/>
    <n v="0.881500088781761"/>
    <n v="0.118499911218239"/>
    <x v="6"/>
  </r>
  <r>
    <n v="8"/>
    <n v="55"/>
    <n v="4"/>
    <n v="1"/>
    <n v="4"/>
    <n v="9"/>
    <n v="2"/>
    <n v="4000"/>
    <n v="8"/>
    <n v="0"/>
    <n v="0.88184585834313212"/>
    <n v="0.1181541416568679"/>
    <x v="6"/>
  </r>
  <r>
    <n v="9"/>
    <n v="67"/>
    <n v="2"/>
    <n v="0"/>
    <n v="3"/>
    <n v="8"/>
    <n v="0"/>
    <n v="9000"/>
    <n v="8"/>
    <n v="0"/>
    <n v="0.88187647273391323"/>
    <n v="0.1181235272660867"/>
    <x v="6"/>
  </r>
  <r>
    <n v="6"/>
    <n v="49"/>
    <n v="3"/>
    <n v="1"/>
    <n v="0"/>
    <n v="11"/>
    <n v="2"/>
    <n v="3500"/>
    <n v="6"/>
    <n v="0"/>
    <n v="0.8819233602065164"/>
    <n v="0.1180766397934836"/>
    <x v="6"/>
  </r>
  <r>
    <n v="6"/>
    <n v="51"/>
    <n v="1"/>
    <n v="1"/>
    <n v="3"/>
    <n v="3"/>
    <n v="0"/>
    <n v="18000"/>
    <n v="4"/>
    <n v="0"/>
    <n v="0.88195304771444216"/>
    <n v="0.11804695228555789"/>
    <x v="6"/>
  </r>
  <r>
    <n v="10"/>
    <n v="70"/>
    <n v="5"/>
    <n v="0"/>
    <n v="3"/>
    <n v="3"/>
    <n v="0"/>
    <n v="6000"/>
    <n v="2"/>
    <n v="0"/>
    <n v="0.88196070960053485"/>
    <n v="0.1180392903994652"/>
    <x v="6"/>
  </r>
  <r>
    <n v="9"/>
    <n v="67"/>
    <n v="3"/>
    <n v="0"/>
    <n v="3"/>
    <n v="3"/>
    <n v="0"/>
    <n v="10000"/>
    <n v="5"/>
    <n v="1"/>
    <n v="0.88199092260556877"/>
    <n v="0.1180090773944312"/>
    <x v="6"/>
  </r>
  <r>
    <n v="8"/>
    <n v="61"/>
    <n v="2"/>
    <n v="0"/>
    <n v="3"/>
    <n v="3"/>
    <n v="3"/>
    <n v="0.01"/>
    <n v="8"/>
    <n v="0"/>
    <n v="0.88205995262512393"/>
    <n v="0.117940047374876"/>
    <x v="6"/>
  </r>
  <r>
    <n v="8"/>
    <n v="65"/>
    <n v="1"/>
    <n v="0"/>
    <n v="0"/>
    <n v="4"/>
    <n v="0"/>
    <n v="6000"/>
    <n v="2"/>
    <n v="0"/>
    <n v="0.88212403022501307"/>
    <n v="0.117875969774987"/>
    <x v="6"/>
  </r>
  <r>
    <n v="6"/>
    <n v="49"/>
    <n v="3"/>
    <n v="1"/>
    <n v="2"/>
    <n v="1"/>
    <n v="2"/>
    <n v="300.01"/>
    <n v="10"/>
    <n v="0"/>
    <n v="0.88212841248659835"/>
    <n v="0.1178715875134017"/>
    <x v="6"/>
  </r>
  <r>
    <n v="8"/>
    <n v="61"/>
    <n v="4"/>
    <n v="0"/>
    <n v="3"/>
    <n v="3"/>
    <n v="2"/>
    <n v="4884.25"/>
    <n v="8"/>
    <n v="0"/>
    <n v="0.88213523743132727"/>
    <n v="0.1178647625686727"/>
    <x v="6"/>
  </r>
  <r>
    <n v="7"/>
    <n v="60"/>
    <n v="2"/>
    <n v="0"/>
    <n v="2"/>
    <n v="1"/>
    <n v="0"/>
    <n v="10000"/>
    <n v="4"/>
    <n v="0"/>
    <n v="0.88217773302020597"/>
    <n v="0.117822266979794"/>
    <x v="6"/>
  </r>
  <r>
    <n v="7"/>
    <n v="60"/>
    <n v="2"/>
    <n v="0"/>
    <n v="1"/>
    <n v="7"/>
    <n v="0"/>
    <n v="9000"/>
    <n v="8"/>
    <n v="0"/>
    <n v="0.88227986974240646"/>
    <n v="0.11772013025759361"/>
    <x v="6"/>
  </r>
  <r>
    <n v="9"/>
    <n v="58"/>
    <n v="1"/>
    <n v="2"/>
    <n v="3"/>
    <n v="3"/>
    <n v="0"/>
    <n v="6000"/>
    <n v="5"/>
    <n v="0"/>
    <n v="0.88232648369812383"/>
    <n v="0.1176735163018762"/>
    <x v="6"/>
  </r>
  <r>
    <n v="11"/>
    <n v="74"/>
    <n v="2"/>
    <n v="0"/>
    <n v="2"/>
    <n v="6"/>
    <n v="2"/>
    <n v="150"/>
    <n v="2"/>
    <n v="0"/>
    <n v="0.88233113503312366"/>
    <n v="0.1176688649668764"/>
    <x v="6"/>
  </r>
  <r>
    <n v="5"/>
    <n v="45"/>
    <n v="5"/>
    <n v="1"/>
    <n v="3"/>
    <n v="3"/>
    <n v="0"/>
    <n v="6053.35"/>
    <n v="6"/>
    <n v="0"/>
    <n v="0.8824273089712934"/>
    <n v="0.1175726910287066"/>
    <x v="6"/>
  </r>
  <r>
    <n v="12"/>
    <n v="78"/>
    <n v="2"/>
    <n v="0"/>
    <n v="3"/>
    <n v="3"/>
    <n v="2"/>
    <n v="2500"/>
    <n v="5"/>
    <n v="0"/>
    <n v="0.88246531215605983"/>
    <n v="0.11753468784394019"/>
    <x v="6"/>
  </r>
  <r>
    <n v="6"/>
    <n v="54"/>
    <n v="0"/>
    <n v="0"/>
    <n v="3"/>
    <n v="8"/>
    <n v="2"/>
    <n v="1000"/>
    <n v="1"/>
    <n v="0"/>
    <n v="0.88252025867234307"/>
    <n v="0.1174797413276569"/>
    <x v="6"/>
  </r>
  <r>
    <n v="6"/>
    <n v="51"/>
    <n v="4"/>
    <n v="0"/>
    <n v="4"/>
    <n v="9"/>
    <n v="3"/>
    <n v="0.01"/>
    <n v="4"/>
    <n v="0"/>
    <n v="0.88255868185384201"/>
    <n v="0.11744131814615801"/>
    <x v="6"/>
  </r>
  <r>
    <n v="7"/>
    <n v="54"/>
    <n v="3"/>
    <n v="1"/>
    <n v="3"/>
    <n v="3"/>
    <n v="0"/>
    <n v="9250"/>
    <n v="2"/>
    <n v="0"/>
    <n v="0.88258438197252842"/>
    <n v="0.11741561802747159"/>
    <x v="6"/>
  </r>
  <r>
    <n v="7"/>
    <n v="51"/>
    <n v="5"/>
    <n v="1"/>
    <n v="1"/>
    <n v="12"/>
    <n v="3"/>
    <n v="0.01"/>
    <n v="10"/>
    <n v="0"/>
    <n v="0.88271876411349781"/>
    <n v="0.1172812358865022"/>
    <x v="6"/>
  </r>
  <r>
    <n v="10"/>
    <n v="70"/>
    <n v="1"/>
    <n v="0"/>
    <n v="3"/>
    <n v="8"/>
    <n v="2"/>
    <n v="2250"/>
    <n v="8"/>
    <n v="0"/>
    <n v="0.88285224792736972"/>
    <n v="0.1171477520726303"/>
    <x v="6"/>
  </r>
  <r>
    <n v="5"/>
    <n v="49"/>
    <n v="2"/>
    <n v="0"/>
    <n v="3"/>
    <n v="3"/>
    <n v="3"/>
    <n v="0.01"/>
    <n v="9"/>
    <n v="0"/>
    <n v="0.88286692098748409"/>
    <n v="0.11713307901251591"/>
    <x v="6"/>
  </r>
  <r>
    <n v="9"/>
    <n v="66"/>
    <n v="2"/>
    <n v="0"/>
    <n v="1"/>
    <n v="5"/>
    <n v="3"/>
    <n v="0.01"/>
    <n v="10"/>
    <n v="1"/>
    <n v="0.8829631725720386"/>
    <n v="0.1170368274279614"/>
    <x v="6"/>
  </r>
  <r>
    <n v="10"/>
    <n v="67"/>
    <n v="1"/>
    <n v="1"/>
    <n v="3"/>
    <n v="3"/>
    <n v="0"/>
    <n v="6000"/>
    <n v="2"/>
    <n v="1"/>
    <n v="0.88297139881684206"/>
    <n v="0.117028601183158"/>
    <x v="6"/>
  </r>
  <r>
    <n v="7"/>
    <n v="58"/>
    <n v="5"/>
    <n v="0"/>
    <n v="0"/>
    <n v="4"/>
    <n v="2"/>
    <n v="4085.03"/>
    <n v="9"/>
    <n v="0"/>
    <n v="0.8831416730830296"/>
    <n v="0.1168583269169704"/>
    <x v="6"/>
  </r>
  <r>
    <n v="9"/>
    <n v="66"/>
    <n v="1"/>
    <n v="0"/>
    <n v="3"/>
    <n v="8"/>
    <n v="2"/>
    <n v="3026.67"/>
    <n v="7"/>
    <n v="0"/>
    <n v="0.88316788015996206"/>
    <n v="0.116832119840038"/>
    <x v="6"/>
  </r>
  <r>
    <n v="6"/>
    <n v="55"/>
    <n v="2"/>
    <n v="0"/>
    <n v="0"/>
    <n v="4"/>
    <n v="2"/>
    <n v="420"/>
    <n v="1"/>
    <n v="0"/>
    <n v="0.883190547112498"/>
    <n v="0.116809452887502"/>
    <x v="6"/>
  </r>
  <r>
    <n v="9"/>
    <n v="63"/>
    <n v="1"/>
    <n v="1"/>
    <n v="3"/>
    <n v="3"/>
    <n v="0"/>
    <n v="6000"/>
    <n v="2"/>
    <n v="0"/>
    <n v="0.88328328271125089"/>
    <n v="0.1167167172887492"/>
    <x v="6"/>
  </r>
  <r>
    <n v="8"/>
    <n v="61"/>
    <n v="4"/>
    <n v="0"/>
    <n v="3"/>
    <n v="3"/>
    <n v="2"/>
    <n v="1000"/>
    <n v="4"/>
    <n v="0"/>
    <n v="0.88331523892835939"/>
    <n v="0.11668476107164059"/>
    <x v="6"/>
  </r>
  <r>
    <n v="6"/>
    <n v="53"/>
    <n v="4"/>
    <n v="0"/>
    <n v="1"/>
    <n v="5"/>
    <n v="3"/>
    <n v="0.01"/>
    <n v="8"/>
    <n v="0"/>
    <n v="0.88338276591425324"/>
    <n v="0.1166172340857467"/>
    <x v="6"/>
  </r>
  <r>
    <n v="8"/>
    <n v="55"/>
    <n v="4"/>
    <n v="1"/>
    <n v="3"/>
    <n v="8"/>
    <n v="3"/>
    <n v="0.01"/>
    <n v="8"/>
    <n v="0"/>
    <n v="0.8835585902251385"/>
    <n v="0.1164414097748615"/>
    <x v="6"/>
  </r>
  <r>
    <n v="5"/>
    <n v="52"/>
    <n v="1"/>
    <n v="0"/>
    <n v="2"/>
    <n v="6"/>
    <n v="0"/>
    <n v="6000"/>
    <n v="4"/>
    <n v="0"/>
    <n v="0.88358740825140869"/>
    <n v="0.1164125917485913"/>
    <x v="6"/>
  </r>
  <r>
    <n v="3"/>
    <n v="43"/>
    <n v="1"/>
    <n v="0"/>
    <n v="1"/>
    <n v="5"/>
    <n v="2"/>
    <n v="50"/>
    <n v="10"/>
    <n v="0"/>
    <n v="0.88377807697386235"/>
    <n v="0.1162219230261376"/>
    <x v="6"/>
  </r>
  <r>
    <n v="3"/>
    <n v="43"/>
    <n v="3"/>
    <n v="0"/>
    <n v="3"/>
    <n v="3"/>
    <n v="0"/>
    <n v="5700"/>
    <n v="11"/>
    <n v="1"/>
    <n v="0.88378466440059311"/>
    <n v="0.1162153355994069"/>
    <x v="6"/>
  </r>
  <r>
    <n v="7"/>
    <n v="59"/>
    <n v="3"/>
    <n v="0"/>
    <n v="0"/>
    <n v="2"/>
    <n v="2"/>
    <n v="1000"/>
    <n v="5"/>
    <n v="0"/>
    <n v="0.8838314307782682"/>
    <n v="0.1161685692217318"/>
    <x v="6"/>
  </r>
  <r>
    <n v="5"/>
    <n v="44"/>
    <n v="2"/>
    <n v="1"/>
    <n v="4"/>
    <n v="9"/>
    <n v="2"/>
    <n v="2000"/>
    <n v="6"/>
    <n v="0"/>
    <n v="0.88416262057692374"/>
    <n v="0.1158373794230762"/>
    <x v="6"/>
  </r>
  <r>
    <n v="7"/>
    <n v="54"/>
    <n v="2"/>
    <n v="1"/>
    <n v="0"/>
    <n v="11"/>
    <n v="2"/>
    <n v="4500"/>
    <n v="11"/>
    <n v="0"/>
    <n v="0.88427834506415137"/>
    <n v="0.1157216549358487"/>
    <x v="6"/>
  </r>
  <r>
    <n v="8"/>
    <n v="62"/>
    <n v="1"/>
    <n v="0"/>
    <n v="3"/>
    <n v="8"/>
    <n v="2"/>
    <n v="75.010000000000005"/>
    <n v="4"/>
    <n v="0"/>
    <n v="0.88436283618492395"/>
    <n v="0.11563716381507599"/>
    <x v="6"/>
  </r>
  <r>
    <n v="5"/>
    <n v="52"/>
    <n v="1"/>
    <n v="0"/>
    <n v="3"/>
    <n v="3"/>
    <n v="0"/>
    <n v="6105.32"/>
    <n v="7"/>
    <n v="0"/>
    <n v="0.88440076566488923"/>
    <n v="0.1155992343351108"/>
    <x v="6"/>
  </r>
  <r>
    <n v="6"/>
    <n v="54"/>
    <n v="5"/>
    <n v="0"/>
    <n v="0"/>
    <n v="4"/>
    <n v="2"/>
    <n v="2000"/>
    <n v="4"/>
    <n v="0"/>
    <n v="0.88445686712554394"/>
    <n v="0.115543132874456"/>
    <x v="6"/>
  </r>
  <r>
    <n v="6"/>
    <n v="48"/>
    <n v="4"/>
    <n v="1"/>
    <n v="1"/>
    <n v="7"/>
    <n v="3"/>
    <n v="0.01"/>
    <n v="4"/>
    <n v="0"/>
    <n v="0.88448322952921177"/>
    <n v="0.1155167704707882"/>
    <x v="6"/>
  </r>
  <r>
    <n v="11"/>
    <n v="70"/>
    <n v="5"/>
    <n v="1"/>
    <n v="3"/>
    <n v="3"/>
    <n v="0"/>
    <n v="18000"/>
    <n v="8"/>
    <n v="0"/>
    <n v="0.88450937179116607"/>
    <n v="0.11549062820883391"/>
    <x v="6"/>
  </r>
  <r>
    <n v="8"/>
    <n v="51"/>
    <n v="5"/>
    <n v="2"/>
    <n v="1"/>
    <n v="5"/>
    <n v="3"/>
    <n v="0.01"/>
    <n v="5"/>
    <n v="0"/>
    <n v="0.88474883626768075"/>
    <n v="0.11525116373231931"/>
    <x v="6"/>
  </r>
  <r>
    <n v="8"/>
    <n v="61"/>
    <n v="3"/>
    <n v="0"/>
    <n v="3"/>
    <n v="3"/>
    <n v="3"/>
    <n v="0.01"/>
    <n v="8"/>
    <n v="0"/>
    <n v="0.8847688257901728"/>
    <n v="0.1152311742098272"/>
    <x v="6"/>
  </r>
  <r>
    <n v="7"/>
    <n v="61"/>
    <n v="1"/>
    <n v="0"/>
    <n v="2"/>
    <n v="0"/>
    <n v="0"/>
    <n v="6000"/>
    <n v="11"/>
    <n v="1"/>
    <n v="0.88483624206266576"/>
    <n v="0.1151637579373343"/>
    <x v="6"/>
  </r>
  <r>
    <n v="11"/>
    <n v="68"/>
    <n v="0"/>
    <n v="2"/>
    <n v="0"/>
    <n v="11"/>
    <n v="0"/>
    <n v="15000"/>
    <n v="11"/>
    <n v="0"/>
    <n v="0.88483949271384232"/>
    <n v="0.11516050728615761"/>
    <x v="6"/>
  </r>
  <r>
    <n v="9"/>
    <n v="66"/>
    <n v="1"/>
    <n v="0"/>
    <n v="1"/>
    <n v="12"/>
    <n v="3"/>
    <n v="0.01"/>
    <n v="5"/>
    <n v="1"/>
    <n v="0.88486643762488359"/>
    <n v="0.11513356237511641"/>
    <x v="6"/>
  </r>
  <r>
    <n v="6"/>
    <n v="50"/>
    <n v="3"/>
    <n v="1"/>
    <n v="0"/>
    <n v="4"/>
    <n v="2"/>
    <n v="3000"/>
    <n v="1"/>
    <n v="0"/>
    <n v="0.88490776844664509"/>
    <n v="0.11509223155335491"/>
    <x v="6"/>
  </r>
  <r>
    <n v="6"/>
    <n v="57"/>
    <n v="2"/>
    <n v="0"/>
    <n v="0"/>
    <n v="4"/>
    <n v="0"/>
    <n v="6053.35"/>
    <n v="6"/>
    <n v="0"/>
    <n v="0.8849148818717627"/>
    <n v="0.1150851181282373"/>
    <x v="6"/>
  </r>
  <r>
    <n v="10"/>
    <n v="65"/>
    <n v="5"/>
    <n v="1"/>
    <n v="1"/>
    <n v="5"/>
    <n v="2"/>
    <n v="500"/>
    <n v="15"/>
    <n v="0"/>
    <n v="0.88493789180919535"/>
    <n v="0.1150621081908047"/>
    <x v="6"/>
  </r>
  <r>
    <n v="9"/>
    <n v="62"/>
    <n v="0"/>
    <n v="1"/>
    <n v="1"/>
    <n v="7"/>
    <n v="3"/>
    <n v="0.01"/>
    <n v="5"/>
    <n v="0"/>
    <n v="0.8849714345106936"/>
    <n v="0.1150285654893064"/>
    <x v="6"/>
  </r>
  <r>
    <n v="8"/>
    <n v="54"/>
    <n v="0"/>
    <n v="2"/>
    <n v="1"/>
    <n v="7"/>
    <n v="2"/>
    <n v="4885.03"/>
    <n v="8"/>
    <n v="0"/>
    <n v="0.88518147882879306"/>
    <n v="0.1148185211712069"/>
    <x v="6"/>
  </r>
  <r>
    <n v="7"/>
    <n v="61"/>
    <n v="2"/>
    <n v="0"/>
    <n v="0"/>
    <n v="4"/>
    <n v="0"/>
    <n v="6000"/>
    <n v="1"/>
    <n v="0"/>
    <n v="0.88526977966286002"/>
    <n v="0.11473022033714"/>
    <x v="6"/>
  </r>
  <r>
    <n v="8"/>
    <n v="64"/>
    <n v="3"/>
    <n v="0"/>
    <n v="3"/>
    <n v="3"/>
    <n v="0"/>
    <n v="10000"/>
    <n v="29"/>
    <n v="0"/>
    <n v="0.88531701364403792"/>
    <n v="0.11468298635596209"/>
    <x v="6"/>
  </r>
  <r>
    <n v="5"/>
    <n v="48"/>
    <n v="2"/>
    <n v="1"/>
    <n v="0"/>
    <n v="4"/>
    <n v="0"/>
    <n v="6000"/>
    <n v="1"/>
    <n v="0"/>
    <n v="0.8853358469553132"/>
    <n v="0.1146641530446867"/>
    <x v="6"/>
  </r>
  <r>
    <n v="8"/>
    <n v="51"/>
    <n v="5"/>
    <n v="2"/>
    <n v="0"/>
    <n v="11"/>
    <n v="3"/>
    <n v="0.01"/>
    <n v="4"/>
    <n v="0"/>
    <n v="0.88533863743314745"/>
    <n v="0.1146613625668526"/>
    <x v="6"/>
  </r>
  <r>
    <n v="7"/>
    <n v="54"/>
    <n v="2"/>
    <n v="1"/>
    <n v="2"/>
    <n v="0"/>
    <n v="2"/>
    <n v="1000"/>
    <n v="4"/>
    <n v="0"/>
    <n v="0.88540939307020183"/>
    <n v="0.11459060692979819"/>
    <x v="6"/>
  </r>
  <r>
    <n v="6"/>
    <n v="55"/>
    <n v="0"/>
    <n v="0"/>
    <n v="3"/>
    <n v="3"/>
    <n v="2"/>
    <n v="1000"/>
    <n v="4"/>
    <n v="0"/>
    <n v="0.8854806692872762"/>
    <n v="0.1145193307127238"/>
    <x v="6"/>
  </r>
  <r>
    <n v="4"/>
    <n v="41"/>
    <n v="1"/>
    <n v="1"/>
    <n v="1"/>
    <n v="12"/>
    <n v="3"/>
    <n v="0.01"/>
    <n v="7"/>
    <n v="0"/>
    <n v="0.88559243013873534"/>
    <n v="0.1144075698612646"/>
    <x v="6"/>
  </r>
  <r>
    <n v="5"/>
    <n v="51"/>
    <n v="5"/>
    <n v="0"/>
    <n v="0"/>
    <n v="11"/>
    <n v="1"/>
    <n v="30000"/>
    <n v="4"/>
    <n v="0"/>
    <n v="0.88572768306869398"/>
    <n v="0.114272316931306"/>
    <x v="6"/>
  </r>
  <r>
    <n v="11"/>
    <n v="74"/>
    <n v="5"/>
    <n v="0"/>
    <n v="2"/>
    <n v="1"/>
    <n v="2"/>
    <n v="3800"/>
    <n v="11"/>
    <n v="0"/>
    <n v="0.88581685636812479"/>
    <n v="0.11418314363187521"/>
    <x v="6"/>
  </r>
  <r>
    <n v="8"/>
    <n v="52"/>
    <n v="5"/>
    <n v="2"/>
    <n v="0"/>
    <n v="2"/>
    <n v="3"/>
    <n v="0.01"/>
    <n v="8"/>
    <n v="0"/>
    <n v="0.88590874900712646"/>
    <n v="0.11409125099287359"/>
    <x v="6"/>
  </r>
  <r>
    <n v="9"/>
    <n v="67"/>
    <n v="2"/>
    <n v="0"/>
    <n v="0"/>
    <n v="4"/>
    <n v="3"/>
    <n v="0.01"/>
    <n v="8"/>
    <n v="0"/>
    <n v="0.88590966143057392"/>
    <n v="0.1140903385694261"/>
    <x v="6"/>
  </r>
  <r>
    <n v="6"/>
    <n v="45"/>
    <n v="2"/>
    <n v="2"/>
    <n v="0"/>
    <n v="11"/>
    <n v="2"/>
    <n v="1000"/>
    <n v="1"/>
    <n v="0"/>
    <n v="0.88591760068859737"/>
    <n v="0.1140823993114026"/>
    <x v="6"/>
  </r>
  <r>
    <n v="5"/>
    <n v="45"/>
    <n v="4"/>
    <n v="1"/>
    <n v="0"/>
    <n v="4"/>
    <n v="3"/>
    <n v="0.01"/>
    <n v="7"/>
    <n v="0"/>
    <n v="0.88595114781105222"/>
    <n v="0.11404885218894779"/>
    <x v="6"/>
  </r>
  <r>
    <n v="5"/>
    <n v="52"/>
    <n v="1"/>
    <n v="0"/>
    <n v="0"/>
    <n v="4"/>
    <n v="2"/>
    <n v="3000"/>
    <n v="5"/>
    <n v="0"/>
    <n v="0.88600748336512491"/>
    <n v="0.1139925166348751"/>
    <x v="6"/>
  </r>
  <r>
    <n v="8"/>
    <n v="66"/>
    <n v="2"/>
    <n v="0"/>
    <n v="0"/>
    <n v="2"/>
    <n v="1"/>
    <n v="51000"/>
    <n v="9"/>
    <n v="0"/>
    <n v="0.88601902726888171"/>
    <n v="0.1139809727311183"/>
    <x v="6"/>
  </r>
  <r>
    <n v="8"/>
    <n v="63"/>
    <n v="2"/>
    <n v="0"/>
    <n v="1"/>
    <n v="5"/>
    <n v="2"/>
    <n v="500"/>
    <n v="1"/>
    <n v="0"/>
    <n v="0.88602224450053313"/>
    <n v="0.1139777554994669"/>
    <x v="6"/>
  </r>
  <r>
    <n v="8"/>
    <n v="62"/>
    <n v="3"/>
    <n v="0"/>
    <n v="3"/>
    <n v="3"/>
    <n v="2"/>
    <n v="1000"/>
    <n v="9"/>
    <n v="0"/>
    <n v="0.88611444021701846"/>
    <n v="0.11388555978298159"/>
    <x v="6"/>
  </r>
  <r>
    <n v="11"/>
    <n v="64"/>
    <n v="1"/>
    <n v="2"/>
    <n v="3"/>
    <n v="8"/>
    <n v="3"/>
    <n v="0.01"/>
    <n v="8"/>
    <n v="0"/>
    <n v="0.88630594757597236"/>
    <n v="0.11369405242402771"/>
    <x v="6"/>
  </r>
  <r>
    <n v="5"/>
    <n v="45"/>
    <n v="3"/>
    <n v="1"/>
    <n v="1"/>
    <n v="12"/>
    <n v="2"/>
    <n v="1000"/>
    <n v="4"/>
    <n v="0"/>
    <n v="0.88638193105594676"/>
    <n v="0.1136180689440532"/>
    <x v="6"/>
  </r>
  <r>
    <n v="5"/>
    <n v="51"/>
    <n v="2"/>
    <n v="0"/>
    <n v="0"/>
    <n v="10"/>
    <n v="2"/>
    <n v="0.02"/>
    <n v="5"/>
    <n v="0"/>
    <n v="0.88640071217951966"/>
    <n v="0.1135992878204804"/>
    <x v="6"/>
  </r>
  <r>
    <n v="7"/>
    <n v="59"/>
    <n v="2"/>
    <n v="0"/>
    <n v="0"/>
    <n v="4"/>
    <n v="3"/>
    <n v="0.01"/>
    <n v="8"/>
    <n v="0"/>
    <n v="0.88651907512083927"/>
    <n v="0.1134809248791607"/>
    <x v="6"/>
  </r>
  <r>
    <n v="8"/>
    <n v="61"/>
    <n v="4"/>
    <n v="0"/>
    <n v="3"/>
    <n v="8"/>
    <n v="2"/>
    <n v="100"/>
    <n v="2"/>
    <n v="0"/>
    <n v="0.88651966081903255"/>
    <n v="0.1134803391809675"/>
    <x v="6"/>
  </r>
  <r>
    <n v="8"/>
    <n v="56"/>
    <n v="4"/>
    <n v="1"/>
    <n v="1"/>
    <n v="12"/>
    <n v="3"/>
    <n v="0.01"/>
    <n v="5"/>
    <n v="0"/>
    <n v="0.88652296665650154"/>
    <n v="0.1134770333434985"/>
    <x v="6"/>
  </r>
  <r>
    <n v="8"/>
    <n v="65"/>
    <n v="0"/>
    <n v="0"/>
    <n v="3"/>
    <n v="3"/>
    <n v="0"/>
    <n v="10000"/>
    <n v="4"/>
    <n v="0"/>
    <n v="0.88666978354626114"/>
    <n v="0.11333021645373879"/>
    <x v="6"/>
  </r>
  <r>
    <n v="7"/>
    <n v="58"/>
    <n v="3"/>
    <n v="0"/>
    <n v="1"/>
    <n v="5"/>
    <n v="3"/>
    <n v="0.01"/>
    <n v="4"/>
    <n v="0"/>
    <n v="0.88703948397736587"/>
    <n v="0.1129605160226341"/>
    <x v="6"/>
  </r>
  <r>
    <n v="10"/>
    <n v="65"/>
    <n v="5"/>
    <n v="1"/>
    <n v="0"/>
    <n v="4"/>
    <n v="3"/>
    <n v="0.01"/>
    <n v="7"/>
    <n v="1"/>
    <n v="0.88707730914437111"/>
    <n v="0.11292269085562889"/>
    <x v="6"/>
  </r>
  <r>
    <n v="8"/>
    <n v="63"/>
    <n v="1"/>
    <n v="0"/>
    <n v="3"/>
    <n v="3"/>
    <n v="2"/>
    <n v="2500"/>
    <n v="5"/>
    <n v="0"/>
    <n v="0.88714894739844885"/>
    <n v="0.1128510526015512"/>
    <x v="6"/>
  </r>
  <r>
    <n v="5"/>
    <n v="51"/>
    <n v="2"/>
    <n v="0"/>
    <n v="1"/>
    <n v="7"/>
    <n v="2"/>
    <n v="100.01"/>
    <n v="8"/>
    <n v="0"/>
    <n v="0.88719778232003532"/>
    <n v="0.11280221767996471"/>
    <x v="6"/>
  </r>
  <r>
    <n v="3"/>
    <n v="42"/>
    <n v="4"/>
    <n v="0"/>
    <n v="0"/>
    <n v="4"/>
    <n v="3"/>
    <n v="0.01"/>
    <n v="5"/>
    <n v="0"/>
    <n v="0.8873587496581955"/>
    <n v="0.1126412503418045"/>
    <x v="6"/>
  </r>
  <r>
    <n v="10"/>
    <n v="71"/>
    <n v="3"/>
    <n v="0"/>
    <n v="0"/>
    <n v="11"/>
    <n v="2"/>
    <n v="2000.01"/>
    <n v="8"/>
    <n v="0"/>
    <n v="0.88736435717733142"/>
    <n v="0.11263564282266859"/>
    <x v="6"/>
  </r>
  <r>
    <n v="6"/>
    <n v="55"/>
    <n v="4"/>
    <n v="0"/>
    <n v="0"/>
    <n v="4"/>
    <n v="2"/>
    <n v="5000"/>
    <n v="4"/>
    <n v="1"/>
    <n v="0.8873913186008946"/>
    <n v="0.1126086813991054"/>
    <x v="6"/>
  </r>
  <r>
    <n v="5"/>
    <n v="50"/>
    <n v="3"/>
    <n v="0"/>
    <n v="3"/>
    <n v="3"/>
    <n v="2"/>
    <n v="0.02"/>
    <n v="7"/>
    <n v="0"/>
    <n v="0.88744440221673671"/>
    <n v="0.11255559778326329"/>
    <x v="6"/>
  </r>
  <r>
    <n v="2"/>
    <n v="37"/>
    <n v="5"/>
    <n v="0"/>
    <n v="3"/>
    <n v="3"/>
    <n v="2"/>
    <n v="3000"/>
    <n v="4"/>
    <n v="1"/>
    <n v="0.88749613762270496"/>
    <n v="0.11250386237729509"/>
    <x v="6"/>
  </r>
  <r>
    <n v="12"/>
    <n v="68"/>
    <n v="4"/>
    <n v="2"/>
    <n v="1"/>
    <n v="7"/>
    <n v="3"/>
    <n v="0.01"/>
    <n v="9"/>
    <n v="0"/>
    <n v="0.88753569567286072"/>
    <n v="0.11246430432713921"/>
    <x v="6"/>
  </r>
  <r>
    <n v="6"/>
    <n v="53"/>
    <n v="5"/>
    <n v="0"/>
    <n v="1"/>
    <n v="7"/>
    <n v="3"/>
    <n v="0.01"/>
    <n v="5"/>
    <n v="0"/>
    <n v="0.88755418195421376"/>
    <n v="0.1124458180457862"/>
    <x v="6"/>
  </r>
  <r>
    <n v="8"/>
    <n v="65"/>
    <n v="1"/>
    <n v="0"/>
    <n v="1"/>
    <n v="7"/>
    <n v="1"/>
    <n v="23287.39"/>
    <n v="8"/>
    <n v="0"/>
    <n v="0.88755832491909648"/>
    <n v="0.1124416750809035"/>
    <x v="6"/>
  </r>
  <r>
    <n v="9"/>
    <n v="62"/>
    <n v="5"/>
    <n v="1"/>
    <n v="3"/>
    <n v="3"/>
    <n v="0"/>
    <n v="6053.34"/>
    <n v="4"/>
    <n v="0"/>
    <n v="0.88758195647523841"/>
    <n v="0.1124180435247616"/>
    <x v="6"/>
  </r>
  <r>
    <n v="5"/>
    <n v="51"/>
    <n v="1"/>
    <n v="0"/>
    <n v="3"/>
    <n v="3"/>
    <n v="2"/>
    <n v="3000"/>
    <n v="8"/>
    <n v="0"/>
    <n v="0.88758914705383274"/>
    <n v="0.1124108529461673"/>
    <x v="6"/>
  </r>
  <r>
    <n v="5"/>
    <n v="53"/>
    <n v="1"/>
    <n v="0"/>
    <n v="1"/>
    <n v="7"/>
    <n v="0"/>
    <n v="6000"/>
    <n v="2"/>
    <n v="0"/>
    <n v="0.88762002459331413"/>
    <n v="0.1123799754066859"/>
    <x v="6"/>
  </r>
  <r>
    <n v="10"/>
    <n v="67"/>
    <n v="1"/>
    <n v="1"/>
    <n v="3"/>
    <n v="8"/>
    <n v="1"/>
    <n v="20666.88"/>
    <n v="3"/>
    <n v="0"/>
    <n v="0.88769562721055195"/>
    <n v="0.11230437278944801"/>
    <x v="6"/>
  </r>
  <r>
    <n v="7"/>
    <n v="57"/>
    <n v="3"/>
    <n v="0"/>
    <n v="3"/>
    <n v="8"/>
    <n v="3"/>
    <n v="0.01"/>
    <n v="9"/>
    <n v="0"/>
    <n v="0.88771096893442836"/>
    <n v="0.1122890310655716"/>
    <x v="6"/>
  </r>
  <r>
    <n v="5"/>
    <n v="50"/>
    <n v="3"/>
    <n v="0"/>
    <n v="3"/>
    <n v="3"/>
    <n v="2"/>
    <n v="3000"/>
    <n v="1"/>
    <n v="0"/>
    <n v="0.88773142325287446"/>
    <n v="0.11226857674712561"/>
    <x v="6"/>
  </r>
  <r>
    <n v="9"/>
    <n v="68"/>
    <n v="5"/>
    <n v="0"/>
    <n v="2"/>
    <n v="1"/>
    <n v="0"/>
    <n v="8500"/>
    <n v="20"/>
    <n v="0"/>
    <n v="0.88774745482960049"/>
    <n v="0.1122525451703995"/>
    <x v="6"/>
  </r>
  <r>
    <n v="3"/>
    <n v="46"/>
    <n v="1"/>
    <n v="0"/>
    <n v="0"/>
    <n v="2"/>
    <n v="0"/>
    <n v="6684.25"/>
    <n v="8"/>
    <n v="0"/>
    <n v="0.88777277684558387"/>
    <n v="0.1122272231544162"/>
    <x v="6"/>
  </r>
  <r>
    <n v="6"/>
    <n v="53"/>
    <n v="4"/>
    <n v="0"/>
    <n v="3"/>
    <n v="3"/>
    <n v="3"/>
    <n v="0.01"/>
    <n v="9"/>
    <n v="0"/>
    <n v="0.88789792673187562"/>
    <n v="0.1121020732681243"/>
    <x v="6"/>
  </r>
  <r>
    <n v="6"/>
    <n v="52"/>
    <n v="5"/>
    <n v="0"/>
    <n v="3"/>
    <n v="8"/>
    <n v="3"/>
    <n v="0.01"/>
    <n v="4"/>
    <n v="0"/>
    <n v="0.88789807015695832"/>
    <n v="0.11210192984304169"/>
    <x v="6"/>
  </r>
  <r>
    <n v="5"/>
    <n v="51"/>
    <n v="1"/>
    <n v="0"/>
    <n v="0"/>
    <n v="11"/>
    <n v="3"/>
    <n v="0.01"/>
    <n v="10"/>
    <n v="0"/>
    <n v="0.88807875216522036"/>
    <n v="0.11192124783477959"/>
    <x v="6"/>
  </r>
  <r>
    <n v="8"/>
    <n v="57"/>
    <n v="5"/>
    <n v="1"/>
    <n v="1"/>
    <n v="7"/>
    <n v="2"/>
    <n v="2000"/>
    <n v="2"/>
    <n v="0"/>
    <n v="0.88808787341141249"/>
    <n v="0.1119121265885875"/>
    <x v="6"/>
  </r>
  <r>
    <n v="6"/>
    <n v="49"/>
    <n v="4"/>
    <n v="1"/>
    <n v="2"/>
    <n v="6"/>
    <n v="2"/>
    <n v="2000"/>
    <n v="4"/>
    <n v="0"/>
    <n v="0.88809842172471143"/>
    <n v="0.1119015782752886"/>
    <x v="6"/>
  </r>
  <r>
    <n v="12"/>
    <n v="74"/>
    <n v="5"/>
    <n v="1"/>
    <n v="1"/>
    <n v="12"/>
    <n v="1"/>
    <n v="20513.04"/>
    <n v="3"/>
    <n v="0"/>
    <n v="0.88812846610501872"/>
    <n v="0.11187153389498131"/>
    <x v="6"/>
  </r>
  <r>
    <n v="8"/>
    <n v="58"/>
    <n v="5"/>
    <n v="1"/>
    <n v="3"/>
    <n v="3"/>
    <n v="0"/>
    <n v="6000"/>
    <n v="2"/>
    <n v="0"/>
    <n v="0.88814724345982388"/>
    <n v="0.11185275654017619"/>
    <x v="6"/>
  </r>
  <r>
    <n v="7"/>
    <n v="60"/>
    <n v="3"/>
    <n v="0"/>
    <n v="3"/>
    <n v="3"/>
    <n v="0"/>
    <n v="10884.25"/>
    <n v="8"/>
    <n v="0"/>
    <n v="0.8881872877780006"/>
    <n v="0.1118127122219994"/>
    <x v="6"/>
  </r>
  <r>
    <n v="8"/>
    <n v="65"/>
    <n v="4"/>
    <n v="0"/>
    <n v="0"/>
    <n v="4"/>
    <n v="0"/>
    <n v="12000"/>
    <n v="8"/>
    <n v="1"/>
    <n v="0.88837305500464547"/>
    <n v="0.1116269449953545"/>
    <x v="6"/>
  </r>
  <r>
    <n v="6"/>
    <n v="51"/>
    <n v="2"/>
    <n v="1"/>
    <n v="0"/>
    <n v="4"/>
    <n v="2"/>
    <n v="2000"/>
    <n v="1"/>
    <n v="0"/>
    <n v="0.88847244801732306"/>
    <n v="0.111527551982677"/>
    <x v="6"/>
  </r>
  <r>
    <n v="7"/>
    <n v="58"/>
    <n v="1"/>
    <n v="0"/>
    <n v="3"/>
    <n v="8"/>
    <n v="3"/>
    <n v="0.01"/>
    <n v="8"/>
    <n v="0"/>
    <n v="0.88859048454284251"/>
    <n v="0.11140951545715751"/>
    <x v="6"/>
  </r>
  <r>
    <n v="9"/>
    <n v="62"/>
    <n v="1"/>
    <n v="1"/>
    <n v="3"/>
    <n v="8"/>
    <n v="2"/>
    <n v="1500"/>
    <n v="9"/>
    <n v="0"/>
    <n v="0.88869181896950922"/>
    <n v="0.1113081810304908"/>
    <x v="6"/>
  </r>
  <r>
    <n v="6"/>
    <n v="56"/>
    <n v="2"/>
    <n v="0"/>
    <n v="3"/>
    <n v="8"/>
    <n v="0"/>
    <n v="9800"/>
    <n v="8"/>
    <n v="0"/>
    <n v="0.88877321701051226"/>
    <n v="0.11122678298948779"/>
    <x v="6"/>
  </r>
  <r>
    <n v="9"/>
    <n v="68"/>
    <n v="1"/>
    <n v="0"/>
    <n v="1"/>
    <n v="7"/>
    <n v="2"/>
    <n v="5000"/>
    <n v="5"/>
    <n v="0"/>
    <n v="0.88896142898843744"/>
    <n v="0.1110385710115625"/>
    <x v="6"/>
  </r>
  <r>
    <n v="7"/>
    <n v="58"/>
    <n v="4"/>
    <n v="0"/>
    <n v="3"/>
    <n v="3"/>
    <n v="2"/>
    <n v="480"/>
    <n v="10"/>
    <n v="1"/>
    <n v="0.88899624876721772"/>
    <n v="0.11100375123278231"/>
    <x v="6"/>
  </r>
  <r>
    <n v="7"/>
    <n v="58"/>
    <n v="4"/>
    <n v="0"/>
    <n v="3"/>
    <n v="3"/>
    <n v="2"/>
    <n v="5000"/>
    <n v="4"/>
    <n v="0"/>
    <n v="0.88903843280354167"/>
    <n v="0.11096156719645831"/>
    <x v="6"/>
  </r>
  <r>
    <n v="11"/>
    <n v="72"/>
    <n v="2"/>
    <n v="1"/>
    <n v="2"/>
    <n v="6"/>
    <n v="1"/>
    <n v="29175.56"/>
    <n v="16"/>
    <n v="0"/>
    <n v="0.88904779877388285"/>
    <n v="0.11095220122611719"/>
    <x v="6"/>
  </r>
  <r>
    <n v="6"/>
    <n v="51"/>
    <n v="1"/>
    <n v="1"/>
    <n v="0"/>
    <n v="11"/>
    <n v="2"/>
    <n v="2480"/>
    <n v="5"/>
    <n v="0"/>
    <n v="0.88908631544346872"/>
    <n v="0.11091368455653131"/>
    <x v="6"/>
  </r>
  <r>
    <n v="6"/>
    <n v="51"/>
    <n v="3"/>
    <n v="1"/>
    <n v="3"/>
    <n v="3"/>
    <n v="0"/>
    <n v="6000"/>
    <n v="5"/>
    <n v="0"/>
    <n v="0.88911285154335418"/>
    <n v="0.11088714845664591"/>
    <x v="6"/>
  </r>
  <r>
    <n v="8"/>
    <n v="61"/>
    <n v="4"/>
    <n v="0"/>
    <n v="4"/>
    <n v="9"/>
    <n v="2"/>
    <n v="1200"/>
    <n v="6"/>
    <n v="1"/>
    <n v="0.88920786659002615"/>
    <n v="0.1107921334099739"/>
    <x v="6"/>
  </r>
  <r>
    <n v="9"/>
    <n v="64"/>
    <n v="5"/>
    <n v="1"/>
    <n v="0"/>
    <n v="2"/>
    <n v="0"/>
    <n v="12106.7"/>
    <n v="6"/>
    <n v="0"/>
    <n v="0.88929268447082532"/>
    <n v="0.11070731552917459"/>
    <x v="6"/>
  </r>
  <r>
    <n v="11"/>
    <n v="72"/>
    <n v="1"/>
    <n v="1"/>
    <n v="0"/>
    <n v="4"/>
    <n v="2"/>
    <n v="480"/>
    <n v="11"/>
    <n v="0"/>
    <n v="0.88929823761607041"/>
    <n v="0.11070176238392961"/>
    <x v="6"/>
  </r>
  <r>
    <n v="8"/>
    <n v="65"/>
    <n v="1"/>
    <n v="0"/>
    <n v="3"/>
    <n v="3"/>
    <n v="0"/>
    <n v="6500"/>
    <n v="8"/>
    <n v="0"/>
    <n v="0.88933519758210922"/>
    <n v="0.1106648024178908"/>
    <x v="6"/>
  </r>
  <r>
    <n v="8"/>
    <n v="63"/>
    <n v="1"/>
    <n v="0"/>
    <n v="3"/>
    <n v="8"/>
    <n v="2"/>
    <n v="3000"/>
    <n v="8"/>
    <n v="0"/>
    <n v="0.88941018432702346"/>
    <n v="0.1105898156729766"/>
    <x v="6"/>
  </r>
  <r>
    <n v="6"/>
    <n v="50"/>
    <n v="1"/>
    <n v="1"/>
    <n v="3"/>
    <n v="8"/>
    <n v="2"/>
    <n v="3000"/>
    <n v="8"/>
    <n v="0"/>
    <n v="0.88947416504436894"/>
    <n v="0.11052583495563099"/>
    <x v="6"/>
  </r>
  <r>
    <n v="5"/>
    <n v="50"/>
    <n v="1"/>
    <n v="0"/>
    <n v="3"/>
    <n v="8"/>
    <n v="3"/>
    <n v="0.01"/>
    <n v="5"/>
    <n v="0"/>
    <n v="0.88956666348341817"/>
    <n v="0.1104333365165818"/>
    <x v="6"/>
  </r>
  <r>
    <n v="7"/>
    <n v="60"/>
    <n v="5"/>
    <n v="0"/>
    <n v="1"/>
    <n v="5"/>
    <n v="0"/>
    <n v="11000"/>
    <n v="2"/>
    <n v="0"/>
    <n v="0.88959547053351307"/>
    <n v="0.110404529466487"/>
    <x v="6"/>
  </r>
  <r>
    <n v="7"/>
    <n v="60"/>
    <n v="1"/>
    <n v="0"/>
    <n v="2"/>
    <n v="1"/>
    <n v="2"/>
    <n v="1000.01"/>
    <n v="6"/>
    <n v="0"/>
    <n v="0.88962020883752513"/>
    <n v="0.1103797911624749"/>
    <x v="6"/>
  </r>
  <r>
    <n v="10"/>
    <n v="73"/>
    <n v="1"/>
    <n v="0"/>
    <n v="3"/>
    <n v="3"/>
    <n v="0"/>
    <n v="6000"/>
    <n v="1"/>
    <n v="0"/>
    <n v="0.88970446942440473"/>
    <n v="0.1102955305755953"/>
    <x v="6"/>
  </r>
  <r>
    <n v="5"/>
    <n v="52"/>
    <n v="1"/>
    <n v="0"/>
    <n v="3"/>
    <n v="8"/>
    <n v="1"/>
    <n v="20754.14"/>
    <n v="3"/>
    <n v="0"/>
    <n v="0.88970948472452749"/>
    <n v="0.1102905152754725"/>
    <x v="6"/>
  </r>
  <r>
    <n v="6"/>
    <n v="50"/>
    <n v="1"/>
    <n v="1"/>
    <n v="3"/>
    <n v="8"/>
    <n v="2"/>
    <n v="600"/>
    <n v="9"/>
    <n v="0"/>
    <n v="0.88972773830186158"/>
    <n v="0.1102722616981384"/>
    <x v="6"/>
  </r>
  <r>
    <n v="11"/>
    <n v="77"/>
    <n v="2"/>
    <n v="0"/>
    <n v="3"/>
    <n v="3"/>
    <n v="0"/>
    <n v="19500"/>
    <n v="2"/>
    <n v="0"/>
    <n v="0.88972840102828732"/>
    <n v="0.1102715989717126"/>
    <x v="6"/>
  </r>
  <r>
    <n v="6"/>
    <n v="52"/>
    <n v="1"/>
    <n v="1"/>
    <n v="3"/>
    <n v="3"/>
    <n v="0"/>
    <n v="6000"/>
    <n v="6"/>
    <n v="0"/>
    <n v="0.88973084586197215"/>
    <n v="0.11026915413802781"/>
    <x v="6"/>
  </r>
  <r>
    <n v="6"/>
    <n v="50"/>
    <n v="5"/>
    <n v="1"/>
    <n v="0"/>
    <n v="4"/>
    <n v="2"/>
    <n v="1000"/>
    <n v="6"/>
    <n v="0"/>
    <n v="0.88984430432027317"/>
    <n v="0.1101556956797268"/>
    <x v="6"/>
  </r>
  <r>
    <n v="8"/>
    <n v="64"/>
    <n v="1"/>
    <n v="0"/>
    <n v="4"/>
    <n v="9"/>
    <n v="0"/>
    <n v="6053.35"/>
    <n v="5"/>
    <n v="1"/>
    <n v="0.8899010774005377"/>
    <n v="0.1100989225994623"/>
    <x v="6"/>
  </r>
  <r>
    <n v="10"/>
    <n v="65"/>
    <n v="1"/>
    <n v="2"/>
    <n v="0"/>
    <n v="4"/>
    <n v="0"/>
    <n v="18106.689999999999"/>
    <n v="6"/>
    <n v="0"/>
    <n v="0.89008119171257638"/>
    <n v="0.10991880828742361"/>
    <x v="6"/>
  </r>
  <r>
    <n v="6"/>
    <n v="58"/>
    <n v="2"/>
    <n v="0"/>
    <n v="0"/>
    <n v="2"/>
    <n v="0"/>
    <n v="6000"/>
    <n v="4"/>
    <n v="0"/>
    <n v="0.89009092844805737"/>
    <n v="0.1099090715519426"/>
    <x v="7"/>
  </r>
  <r>
    <n v="6"/>
    <n v="51"/>
    <n v="0"/>
    <n v="1"/>
    <n v="3"/>
    <n v="3"/>
    <n v="2"/>
    <n v="2000"/>
    <n v="9"/>
    <n v="0"/>
    <n v="0.89013601839946033"/>
    <n v="0.1098639816005396"/>
    <x v="7"/>
  </r>
  <r>
    <n v="9"/>
    <n v="70"/>
    <n v="1"/>
    <n v="0"/>
    <n v="2"/>
    <n v="1"/>
    <n v="0"/>
    <n v="12000"/>
    <n v="8"/>
    <n v="0"/>
    <n v="0.89020676056734316"/>
    <n v="0.1097932394326568"/>
    <x v="7"/>
  </r>
  <r>
    <n v="6"/>
    <n v="44"/>
    <n v="5"/>
    <n v="2"/>
    <n v="1"/>
    <n v="12"/>
    <n v="2"/>
    <n v="500"/>
    <n v="9"/>
    <n v="0"/>
    <n v="0.89020883960088049"/>
    <n v="0.1097911603991195"/>
    <x v="7"/>
  </r>
  <r>
    <n v="5"/>
    <n v="53"/>
    <n v="2"/>
    <n v="0"/>
    <n v="1"/>
    <n v="7"/>
    <n v="0"/>
    <n v="6000"/>
    <n v="2"/>
    <n v="0"/>
    <n v="0.89021708720298298"/>
    <n v="0.109782912797017"/>
    <x v="7"/>
  </r>
  <r>
    <n v="9"/>
    <n v="65"/>
    <n v="4"/>
    <n v="0"/>
    <n v="3"/>
    <n v="8"/>
    <n v="3"/>
    <n v="0.01"/>
    <n v="5"/>
    <n v="0"/>
    <n v="0.89021794744479577"/>
    <n v="0.10978205255520419"/>
    <x v="7"/>
  </r>
  <r>
    <n v="6"/>
    <n v="51"/>
    <n v="3"/>
    <n v="1"/>
    <n v="0"/>
    <n v="4"/>
    <n v="2"/>
    <n v="4000"/>
    <n v="5"/>
    <n v="0"/>
    <n v="0.8902377324331312"/>
    <n v="0.1097622675668688"/>
    <x v="7"/>
  </r>
  <r>
    <n v="7"/>
    <n v="58"/>
    <n v="3"/>
    <n v="0"/>
    <n v="3"/>
    <n v="8"/>
    <n v="2"/>
    <n v="240"/>
    <n v="1"/>
    <n v="0"/>
    <n v="0.8902821201335871"/>
    <n v="0.1097178798664129"/>
    <x v="7"/>
  </r>
  <r>
    <n v="10"/>
    <n v="69"/>
    <n v="3"/>
    <n v="1"/>
    <n v="0"/>
    <n v="2"/>
    <n v="0"/>
    <n v="6105.32"/>
    <n v="8"/>
    <n v="0"/>
    <n v="0.89043410618331176"/>
    <n v="0.1095658938166882"/>
    <x v="7"/>
  </r>
  <r>
    <n v="7"/>
    <n v="59"/>
    <n v="2"/>
    <n v="0"/>
    <n v="0"/>
    <n v="11"/>
    <n v="3"/>
    <n v="0.01"/>
    <n v="7"/>
    <n v="0"/>
    <n v="0.8904532416793749"/>
    <n v="0.1095467583206251"/>
    <x v="7"/>
  </r>
  <r>
    <n v="8"/>
    <n v="54"/>
    <n v="4"/>
    <n v="2"/>
    <n v="3"/>
    <n v="3"/>
    <n v="0"/>
    <n v="6053.35"/>
    <n v="5"/>
    <n v="0"/>
    <n v="0.89056168993004692"/>
    <n v="0.1094383100699531"/>
    <x v="7"/>
  </r>
  <r>
    <n v="9"/>
    <n v="66"/>
    <n v="0"/>
    <n v="1"/>
    <n v="0"/>
    <n v="4"/>
    <n v="0"/>
    <n v="6000"/>
    <n v="3"/>
    <n v="1"/>
    <n v="0.89061561664498567"/>
    <n v="0.10938438335501439"/>
    <x v="7"/>
  </r>
  <r>
    <n v="6"/>
    <n v="56"/>
    <n v="0"/>
    <n v="0"/>
    <n v="3"/>
    <n v="3"/>
    <n v="2"/>
    <n v="3000"/>
    <n v="8"/>
    <n v="0"/>
    <n v="0.8906305276148081"/>
    <n v="0.1093694723851919"/>
    <x v="7"/>
  </r>
  <r>
    <n v="10"/>
    <n v="67"/>
    <n v="4"/>
    <n v="1"/>
    <n v="3"/>
    <n v="3"/>
    <n v="0"/>
    <n v="6000"/>
    <n v="4"/>
    <n v="0"/>
    <n v="0.89063187938377575"/>
    <n v="0.10936812061622431"/>
    <x v="7"/>
  </r>
  <r>
    <n v="8"/>
    <n v="58"/>
    <n v="1"/>
    <n v="1"/>
    <n v="3"/>
    <n v="3"/>
    <n v="3"/>
    <n v="0.01"/>
    <n v="9"/>
    <n v="0"/>
    <n v="0.89084975279981604"/>
    <n v="0.109150247200184"/>
    <x v="7"/>
  </r>
  <r>
    <n v="6"/>
    <n v="52"/>
    <n v="5"/>
    <n v="1"/>
    <n v="0"/>
    <n v="2"/>
    <n v="0"/>
    <n v="6000.01"/>
    <n v="8"/>
    <n v="0"/>
    <n v="0.89089063445760397"/>
    <n v="0.1091093655423961"/>
    <x v="7"/>
  </r>
  <r>
    <n v="3"/>
    <n v="41"/>
    <n v="0"/>
    <n v="1"/>
    <n v="1"/>
    <n v="7"/>
    <n v="0"/>
    <n v="6000"/>
    <n v="3"/>
    <n v="0"/>
    <n v="0.8908929432744298"/>
    <n v="0.1091070567255702"/>
    <x v="7"/>
  </r>
  <r>
    <n v="12"/>
    <n v="75"/>
    <n v="4"/>
    <n v="1"/>
    <n v="0"/>
    <n v="4"/>
    <n v="2"/>
    <n v="1000"/>
    <n v="9"/>
    <n v="0"/>
    <n v="0.89100395250881537"/>
    <n v="0.10899604749118461"/>
    <x v="7"/>
  </r>
  <r>
    <n v="6"/>
    <n v="44"/>
    <n v="4"/>
    <n v="2"/>
    <n v="3"/>
    <n v="8"/>
    <n v="2"/>
    <n v="420"/>
    <n v="9"/>
    <n v="0"/>
    <n v="0.89105801945124941"/>
    <n v="0.1089419805487505"/>
    <x v="7"/>
  </r>
  <r>
    <n v="5"/>
    <n v="51"/>
    <n v="2"/>
    <n v="0"/>
    <n v="2"/>
    <n v="1"/>
    <n v="3"/>
    <n v="0.01"/>
    <n v="8"/>
    <n v="0"/>
    <n v="0.89110638360862615"/>
    <n v="0.1088936163913739"/>
    <x v="7"/>
  </r>
  <r>
    <n v="7"/>
    <n v="59"/>
    <n v="5"/>
    <n v="0"/>
    <n v="3"/>
    <n v="8"/>
    <n v="0"/>
    <n v="6000"/>
    <n v="6"/>
    <n v="0"/>
    <n v="0.89116298177291842"/>
    <n v="0.1088370182270815"/>
    <x v="7"/>
  </r>
  <r>
    <n v="4"/>
    <n v="43"/>
    <n v="3"/>
    <n v="1"/>
    <n v="0"/>
    <n v="4"/>
    <n v="2"/>
    <n v="1500"/>
    <n v="5"/>
    <n v="0"/>
    <n v="0.89121801123882372"/>
    <n v="0.1087819887611763"/>
    <x v="7"/>
  </r>
  <r>
    <n v="11"/>
    <n v="76"/>
    <n v="1"/>
    <n v="0"/>
    <n v="4"/>
    <n v="9"/>
    <n v="1"/>
    <n v="20367.689999999999"/>
    <n v="3"/>
    <n v="1"/>
    <n v="0.89130912316452204"/>
    <n v="0.108690876835478"/>
    <x v="7"/>
  </r>
  <r>
    <n v="9"/>
    <n v="63"/>
    <n v="4"/>
    <n v="1"/>
    <n v="3"/>
    <n v="3"/>
    <n v="1"/>
    <n v="22652.89"/>
    <n v="14"/>
    <n v="0"/>
    <n v="0.89134582961591335"/>
    <n v="0.1086541703840867"/>
    <x v="7"/>
  </r>
  <r>
    <n v="7"/>
    <n v="58"/>
    <n v="2"/>
    <n v="0"/>
    <n v="3"/>
    <n v="8"/>
    <n v="3"/>
    <n v="0.01"/>
    <n v="5"/>
    <n v="0"/>
    <n v="0.89154121160923094"/>
    <n v="0.1084587883907691"/>
    <x v="7"/>
  </r>
  <r>
    <n v="8"/>
    <n v="64"/>
    <n v="4"/>
    <n v="0"/>
    <n v="0"/>
    <n v="2"/>
    <n v="2"/>
    <n v="360"/>
    <n v="10"/>
    <n v="0"/>
    <n v="0.89160915714801658"/>
    <n v="0.1083908428519835"/>
    <x v="7"/>
  </r>
  <r>
    <n v="4"/>
    <n v="48"/>
    <n v="4"/>
    <n v="0"/>
    <n v="3"/>
    <n v="3"/>
    <n v="0"/>
    <n v="12160.99"/>
    <n v="6"/>
    <n v="0"/>
    <n v="0.89170129813523247"/>
    <n v="0.1082987018647676"/>
    <x v="7"/>
  </r>
  <r>
    <n v="8"/>
    <n v="62"/>
    <n v="5"/>
    <n v="0"/>
    <n v="3"/>
    <n v="3"/>
    <n v="2"/>
    <n v="3000"/>
    <n v="3"/>
    <n v="1"/>
    <n v="0.89175023035636991"/>
    <n v="0.1082497696436301"/>
    <x v="7"/>
  </r>
  <r>
    <n v="10"/>
    <n v="74"/>
    <n v="2"/>
    <n v="0"/>
    <n v="0"/>
    <n v="11"/>
    <n v="0"/>
    <n v="12107.64"/>
    <n v="12"/>
    <n v="1"/>
    <n v="0.89176201974476821"/>
    <n v="0.10823798025523169"/>
    <x v="7"/>
  </r>
  <r>
    <n v="5"/>
    <n v="46"/>
    <n v="4"/>
    <n v="1"/>
    <n v="1"/>
    <n v="7"/>
    <n v="2"/>
    <n v="500"/>
    <n v="8"/>
    <n v="0"/>
    <n v="0.89177481636528388"/>
    <n v="0.1082251836347162"/>
    <x v="7"/>
  </r>
  <r>
    <n v="6"/>
    <n v="54"/>
    <n v="5"/>
    <n v="0"/>
    <n v="3"/>
    <n v="3"/>
    <n v="2"/>
    <n v="50"/>
    <n v="11"/>
    <n v="0"/>
    <n v="0.89180004614925223"/>
    <n v="0.10819995385074779"/>
    <x v="7"/>
  </r>
  <r>
    <n v="9"/>
    <n v="63"/>
    <n v="4"/>
    <n v="1"/>
    <n v="3"/>
    <n v="3"/>
    <n v="1"/>
    <n v="22140.78"/>
    <n v="10"/>
    <n v="0"/>
    <n v="0.89192221954679152"/>
    <n v="0.1080777804532085"/>
    <x v="7"/>
  </r>
  <r>
    <n v="9"/>
    <n v="63"/>
    <n v="4"/>
    <n v="1"/>
    <n v="0"/>
    <n v="4"/>
    <n v="2"/>
    <n v="500"/>
    <n v="9"/>
    <n v="0"/>
    <n v="0.89195887456822753"/>
    <n v="0.10804112543177249"/>
    <x v="7"/>
  </r>
  <r>
    <n v="8"/>
    <n v="64"/>
    <n v="2"/>
    <n v="0"/>
    <n v="2"/>
    <n v="1"/>
    <n v="2"/>
    <n v="1000"/>
    <n v="5"/>
    <n v="0"/>
    <n v="0.89200948653297996"/>
    <n v="0.10799051346702"/>
    <x v="7"/>
  </r>
  <r>
    <n v="5"/>
    <n v="51"/>
    <n v="2"/>
    <n v="0"/>
    <n v="1"/>
    <n v="7"/>
    <n v="3"/>
    <n v="0.01"/>
    <n v="4"/>
    <n v="0"/>
    <n v="0.8920394684927293"/>
    <n v="0.10796053150727079"/>
    <x v="7"/>
  </r>
  <r>
    <n v="7"/>
    <n v="51"/>
    <n v="2"/>
    <n v="2"/>
    <n v="0"/>
    <n v="4"/>
    <n v="2"/>
    <n v="3000"/>
    <n v="11"/>
    <n v="0"/>
    <n v="0.89211499528275384"/>
    <n v="0.1078850047172462"/>
    <x v="7"/>
  </r>
  <r>
    <n v="5"/>
    <n v="54"/>
    <n v="1"/>
    <n v="0"/>
    <n v="2"/>
    <n v="1"/>
    <n v="0"/>
    <n v="12000"/>
    <n v="1"/>
    <n v="0"/>
    <n v="0.89225043642130908"/>
    <n v="0.10774956357869089"/>
    <x v="7"/>
  </r>
  <r>
    <n v="8"/>
    <n v="60"/>
    <n v="1"/>
    <n v="1"/>
    <n v="3"/>
    <n v="8"/>
    <n v="0"/>
    <n v="6000"/>
    <n v="2"/>
    <n v="0"/>
    <n v="0.89230826255962659"/>
    <n v="0.1076917374403734"/>
    <x v="7"/>
  </r>
  <r>
    <n v="7"/>
    <n v="61"/>
    <n v="2"/>
    <n v="0"/>
    <n v="3"/>
    <n v="3"/>
    <n v="0"/>
    <n v="6000"/>
    <n v="6"/>
    <n v="0"/>
    <n v="0.89251272778377455"/>
    <n v="0.10748727221622539"/>
    <x v="7"/>
  </r>
  <r>
    <n v="8"/>
    <n v="65"/>
    <n v="2"/>
    <n v="0"/>
    <n v="3"/>
    <n v="3"/>
    <n v="0"/>
    <n v="6000"/>
    <n v="2"/>
    <n v="0"/>
    <n v="0.89271579475245888"/>
    <n v="0.10728420524754111"/>
    <x v="7"/>
  </r>
  <r>
    <n v="4"/>
    <n v="46"/>
    <n v="5"/>
    <n v="0"/>
    <n v="3"/>
    <n v="3"/>
    <n v="2"/>
    <n v="1000"/>
    <n v="7"/>
    <n v="0"/>
    <n v="0.89272797742932852"/>
    <n v="0.1072720225706715"/>
    <x v="7"/>
  </r>
  <r>
    <n v="9"/>
    <n v="70"/>
    <n v="2"/>
    <n v="0"/>
    <n v="1"/>
    <n v="7"/>
    <n v="0"/>
    <n v="6000"/>
    <n v="19"/>
    <n v="0"/>
    <n v="0.89275546191442789"/>
    <n v="0.10724453808557211"/>
    <x v="7"/>
  </r>
  <r>
    <n v="6"/>
    <n v="51"/>
    <n v="4"/>
    <n v="1"/>
    <n v="0"/>
    <n v="4"/>
    <n v="2"/>
    <n v="1200"/>
    <n v="8"/>
    <n v="0"/>
    <n v="0.8928444143734835"/>
    <n v="0.1071555856265166"/>
    <x v="7"/>
  </r>
  <r>
    <n v="6"/>
    <n v="51"/>
    <n v="1"/>
    <n v="1"/>
    <n v="3"/>
    <n v="3"/>
    <n v="2"/>
    <n v="4000"/>
    <n v="5"/>
    <n v="0"/>
    <n v="0.8928655515702395"/>
    <n v="0.1071344484297606"/>
    <x v="7"/>
  </r>
  <r>
    <n v="7"/>
    <n v="50"/>
    <n v="5"/>
    <n v="2"/>
    <n v="3"/>
    <n v="3"/>
    <n v="0"/>
    <n v="5800"/>
    <n v="8"/>
    <n v="0"/>
    <n v="0.89305835375343467"/>
    <n v="0.10694164624656539"/>
    <x v="7"/>
  </r>
  <r>
    <n v="8"/>
    <n v="63"/>
    <n v="5"/>
    <n v="0"/>
    <n v="1"/>
    <n v="7"/>
    <n v="2"/>
    <n v="2600"/>
    <n v="12"/>
    <n v="1"/>
    <n v="0.8931287398990303"/>
    <n v="0.1068712601009697"/>
    <x v="7"/>
  </r>
  <r>
    <n v="9"/>
    <n v="62"/>
    <n v="5"/>
    <n v="1"/>
    <n v="0"/>
    <n v="4"/>
    <n v="3"/>
    <n v="0.01"/>
    <n v="8"/>
    <n v="0"/>
    <n v="0.89313190683896371"/>
    <n v="0.10686809316103631"/>
    <x v="7"/>
  </r>
  <r>
    <n v="10"/>
    <n v="63"/>
    <n v="1"/>
    <n v="2"/>
    <n v="3"/>
    <n v="8"/>
    <n v="1"/>
    <n v="20003.55"/>
    <n v="3"/>
    <n v="0"/>
    <n v="0.89314399846433645"/>
    <n v="0.10685600153566351"/>
    <x v="7"/>
  </r>
  <r>
    <n v="11"/>
    <n v="70"/>
    <n v="4"/>
    <n v="1"/>
    <n v="3"/>
    <n v="3"/>
    <n v="2"/>
    <n v="50"/>
    <n v="10"/>
    <n v="0"/>
    <n v="0.89320601634567065"/>
    <n v="0.10679398365432929"/>
    <x v="7"/>
  </r>
  <r>
    <n v="10"/>
    <n v="70"/>
    <n v="4"/>
    <n v="0"/>
    <n v="3"/>
    <n v="3"/>
    <n v="3"/>
    <n v="0.01"/>
    <n v="4"/>
    <n v="1"/>
    <n v="0.89321014158402745"/>
    <n v="0.10678985841597249"/>
    <x v="7"/>
  </r>
  <r>
    <n v="10"/>
    <n v="74"/>
    <n v="0"/>
    <n v="0"/>
    <n v="3"/>
    <n v="3"/>
    <n v="1"/>
    <n v="20678.849999999999"/>
    <n v="15"/>
    <n v="0"/>
    <n v="0.89321085679650425"/>
    <n v="0.1067891432034957"/>
    <x v="7"/>
  </r>
  <r>
    <n v="7"/>
    <n v="62"/>
    <n v="3"/>
    <n v="0"/>
    <n v="0"/>
    <n v="4"/>
    <n v="0"/>
    <n v="6000"/>
    <n v="5"/>
    <n v="0"/>
    <n v="0.89327554820751465"/>
    <n v="0.10672445179248539"/>
    <x v="7"/>
  </r>
  <r>
    <n v="6"/>
    <n v="50"/>
    <n v="2"/>
    <n v="1"/>
    <n v="2"/>
    <n v="6"/>
    <n v="3"/>
    <n v="0.01"/>
    <n v="5"/>
    <n v="0"/>
    <n v="0.89330752693453785"/>
    <n v="0.1066924730654622"/>
    <x v="7"/>
  </r>
  <r>
    <n v="6"/>
    <n v="45"/>
    <n v="5"/>
    <n v="2"/>
    <n v="1"/>
    <n v="7"/>
    <n v="2"/>
    <n v="300"/>
    <n v="9"/>
    <n v="0"/>
    <n v="0.89339750001229834"/>
    <n v="0.1066024999877016"/>
    <x v="7"/>
  </r>
  <r>
    <n v="5"/>
    <n v="50"/>
    <n v="4"/>
    <n v="0"/>
    <n v="1"/>
    <n v="12"/>
    <n v="3"/>
    <n v="0.01"/>
    <n v="8"/>
    <n v="0"/>
    <n v="0.89345066845912025"/>
    <n v="0.1065493315408798"/>
    <x v="7"/>
  </r>
  <r>
    <n v="5"/>
    <n v="53"/>
    <n v="0"/>
    <n v="0"/>
    <n v="2"/>
    <n v="1"/>
    <n v="2"/>
    <n v="600"/>
    <n v="5"/>
    <n v="0"/>
    <n v="0.89366264874176582"/>
    <n v="0.10633735125823419"/>
    <x v="7"/>
  </r>
  <r>
    <n v="8"/>
    <n v="66"/>
    <n v="2"/>
    <n v="0"/>
    <n v="1"/>
    <n v="7"/>
    <n v="0"/>
    <n v="13000"/>
    <n v="5"/>
    <n v="0"/>
    <n v="0.89368385816219931"/>
    <n v="0.10631614183780071"/>
    <x v="7"/>
  </r>
  <r>
    <n v="9"/>
    <n v="58"/>
    <n v="3"/>
    <n v="2"/>
    <n v="0"/>
    <n v="4"/>
    <n v="3"/>
    <n v="0.01"/>
    <n v="5"/>
    <n v="1"/>
    <n v="0.89370618647515776"/>
    <n v="0.1062938135248423"/>
    <x v="7"/>
  </r>
  <r>
    <n v="4"/>
    <n v="48"/>
    <n v="2"/>
    <n v="0"/>
    <n v="1"/>
    <n v="7"/>
    <n v="2"/>
    <n v="3200"/>
    <n v="1"/>
    <n v="0"/>
    <n v="0.89374967490726975"/>
    <n v="0.10625032509273021"/>
    <x v="7"/>
  </r>
  <r>
    <n v="3"/>
    <n v="43"/>
    <n v="3"/>
    <n v="0"/>
    <n v="3"/>
    <n v="3"/>
    <n v="2"/>
    <n v="100.01"/>
    <n v="8"/>
    <n v="1"/>
    <n v="0.89375362697225846"/>
    <n v="0.10624637302774161"/>
    <x v="7"/>
  </r>
  <r>
    <n v="10"/>
    <n v="72"/>
    <n v="3"/>
    <n v="0"/>
    <n v="1"/>
    <n v="7"/>
    <n v="2"/>
    <n v="3000"/>
    <n v="7"/>
    <n v="1"/>
    <n v="0.89382409437465526"/>
    <n v="0.10617590562534469"/>
    <x v="7"/>
  </r>
  <r>
    <n v="9"/>
    <n v="64"/>
    <n v="3"/>
    <n v="1"/>
    <n v="3"/>
    <n v="3"/>
    <n v="0"/>
    <n v="7000"/>
    <n v="5"/>
    <n v="0"/>
    <n v="0.89389966243087193"/>
    <n v="0.10610033756912809"/>
    <x v="7"/>
  </r>
  <r>
    <n v="6"/>
    <n v="51"/>
    <n v="3"/>
    <n v="1"/>
    <n v="0"/>
    <n v="11"/>
    <n v="2"/>
    <n v="1000"/>
    <n v="9"/>
    <n v="0"/>
    <n v="0.8939075411444124"/>
    <n v="0.1060924588555876"/>
    <x v="7"/>
  </r>
  <r>
    <n v="9"/>
    <n v="71"/>
    <n v="1"/>
    <n v="0"/>
    <n v="0"/>
    <n v="4"/>
    <n v="0"/>
    <n v="6000"/>
    <n v="1"/>
    <n v="0"/>
    <n v="0.89390932809954837"/>
    <n v="0.1060906719004517"/>
    <x v="7"/>
  </r>
  <r>
    <n v="4"/>
    <n v="47"/>
    <n v="3"/>
    <n v="0"/>
    <n v="0"/>
    <n v="11"/>
    <n v="3"/>
    <n v="0.01"/>
    <n v="5"/>
    <n v="0"/>
    <n v="0.89409948430475195"/>
    <n v="0.1059005156952481"/>
    <x v="7"/>
  </r>
  <r>
    <n v="6"/>
    <n v="54"/>
    <n v="6"/>
    <n v="0"/>
    <n v="3"/>
    <n v="3"/>
    <n v="2"/>
    <n v="3000"/>
    <n v="9"/>
    <n v="0"/>
    <n v="0.89410549704121622"/>
    <n v="0.1058945029587838"/>
    <x v="7"/>
  </r>
  <r>
    <n v="8"/>
    <n v="67"/>
    <n v="2"/>
    <n v="0"/>
    <n v="0"/>
    <n v="4"/>
    <n v="0"/>
    <n v="20000"/>
    <n v="4"/>
    <n v="0"/>
    <n v="0.89418513770492181"/>
    <n v="0.10581486229507819"/>
    <x v="7"/>
  </r>
  <r>
    <n v="5"/>
    <n v="41"/>
    <n v="5"/>
    <n v="2"/>
    <n v="0"/>
    <n v="4"/>
    <n v="3"/>
    <n v="0.01"/>
    <n v="4"/>
    <n v="1"/>
    <n v="0.8942562206950353"/>
    <n v="0.10574377930496461"/>
    <x v="7"/>
  </r>
  <r>
    <n v="8"/>
    <n v="63"/>
    <n v="4"/>
    <n v="0"/>
    <n v="1"/>
    <n v="12"/>
    <n v="2"/>
    <n v="3000"/>
    <n v="3"/>
    <n v="0"/>
    <n v="0.89427497117291876"/>
    <n v="0.10572502882708119"/>
    <x v="7"/>
  </r>
  <r>
    <n v="9"/>
    <n v="68"/>
    <n v="2"/>
    <n v="0"/>
    <n v="3"/>
    <n v="3"/>
    <n v="2"/>
    <n v="4000"/>
    <n v="11"/>
    <n v="0"/>
    <n v="0.89428438024784984"/>
    <n v="0.1057156197521502"/>
    <x v="7"/>
  </r>
  <r>
    <n v="7"/>
    <n v="60"/>
    <n v="1"/>
    <n v="0"/>
    <n v="1"/>
    <n v="7"/>
    <n v="3"/>
    <n v="0.01"/>
    <n v="7"/>
    <n v="1"/>
    <n v="0.89432653485744529"/>
    <n v="0.1056734651425547"/>
    <x v="7"/>
  </r>
  <r>
    <n v="8"/>
    <n v="64"/>
    <n v="5"/>
    <n v="0"/>
    <n v="3"/>
    <n v="3"/>
    <n v="0"/>
    <n v="6000"/>
    <n v="3"/>
    <n v="0"/>
    <n v="0.89437552168627976"/>
    <n v="0.1056244783137202"/>
    <x v="7"/>
  </r>
  <r>
    <n v="5"/>
    <n v="51"/>
    <n v="3"/>
    <n v="0"/>
    <n v="1"/>
    <n v="7"/>
    <n v="3"/>
    <n v="0.01"/>
    <n v="4"/>
    <n v="1"/>
    <n v="0.89454653301828191"/>
    <n v="0.10545346698171799"/>
    <x v="7"/>
  </r>
  <r>
    <n v="6"/>
    <n v="51"/>
    <n v="5"/>
    <n v="1"/>
    <n v="3"/>
    <n v="3"/>
    <n v="0"/>
    <n v="6000"/>
    <n v="2"/>
    <n v="0"/>
    <n v="0.89455824393932115"/>
    <n v="0.1054417560606789"/>
    <x v="7"/>
  </r>
  <r>
    <n v="10"/>
    <n v="63"/>
    <n v="1"/>
    <n v="2"/>
    <n v="1"/>
    <n v="12"/>
    <n v="2"/>
    <n v="4221.0600000000004"/>
    <n v="18"/>
    <n v="1"/>
    <n v="0.89459291857546153"/>
    <n v="0.1054070814245385"/>
    <x v="7"/>
  </r>
  <r>
    <n v="8"/>
    <n v="60"/>
    <n v="1"/>
    <n v="1"/>
    <n v="0"/>
    <n v="11"/>
    <n v="2"/>
    <n v="3000"/>
    <n v="2"/>
    <n v="0"/>
    <n v="0.89459768455135302"/>
    <n v="0.105402315448647"/>
    <x v="7"/>
  </r>
  <r>
    <n v="8"/>
    <n v="64"/>
    <n v="2"/>
    <n v="0"/>
    <n v="1"/>
    <n v="12"/>
    <n v="2"/>
    <n v="300"/>
    <n v="9"/>
    <n v="0"/>
    <n v="0.89467222773814947"/>
    <n v="0.1053277722618505"/>
    <x v="7"/>
  </r>
  <r>
    <n v="5"/>
    <n v="52"/>
    <n v="3"/>
    <n v="0"/>
    <n v="2"/>
    <n v="1"/>
    <n v="2"/>
    <n v="4000"/>
    <n v="7"/>
    <n v="0"/>
    <n v="0.89467382267243833"/>
    <n v="0.1053261773275616"/>
    <x v="7"/>
  </r>
  <r>
    <n v="7"/>
    <n v="60"/>
    <n v="1"/>
    <n v="0"/>
    <n v="1"/>
    <n v="7"/>
    <n v="3"/>
    <n v="0.01"/>
    <n v="4"/>
    <n v="1"/>
    <n v="0.8946903213592946"/>
    <n v="0.1053096786407054"/>
    <x v="7"/>
  </r>
  <r>
    <n v="5"/>
    <n v="52"/>
    <n v="3"/>
    <n v="0"/>
    <n v="0"/>
    <n v="2"/>
    <n v="3"/>
    <n v="0.01"/>
    <n v="5"/>
    <n v="0"/>
    <n v="0.89483075637947895"/>
    <n v="0.10516924362052101"/>
    <x v="7"/>
  </r>
  <r>
    <n v="8"/>
    <n v="60"/>
    <n v="1"/>
    <n v="1"/>
    <n v="0"/>
    <n v="4"/>
    <n v="3"/>
    <n v="0.01"/>
    <n v="8"/>
    <n v="0"/>
    <n v="0.89485280702959036"/>
    <n v="0.1051471929704097"/>
    <x v="7"/>
  </r>
  <r>
    <n v="7"/>
    <n v="62"/>
    <n v="1"/>
    <n v="0"/>
    <n v="3"/>
    <n v="3"/>
    <n v="0"/>
    <n v="9300"/>
    <n v="9"/>
    <n v="0"/>
    <n v="0.89485931258106843"/>
    <n v="0.1051406874189315"/>
    <x v="7"/>
  </r>
  <r>
    <n v="6"/>
    <n v="55"/>
    <n v="5"/>
    <n v="0"/>
    <n v="0"/>
    <n v="4"/>
    <n v="3"/>
    <n v="0.01"/>
    <n v="4"/>
    <n v="0"/>
    <n v="0.89498814987735476"/>
    <n v="0.1050118501226452"/>
    <x v="7"/>
  </r>
  <r>
    <n v="9"/>
    <n v="71"/>
    <n v="2"/>
    <n v="0"/>
    <n v="0"/>
    <n v="4"/>
    <n v="0"/>
    <n v="12000"/>
    <n v="5"/>
    <n v="0"/>
    <n v="0.89499451459477064"/>
    <n v="0.1050054854052294"/>
    <x v="7"/>
  </r>
  <r>
    <n v="7"/>
    <n v="59"/>
    <n v="3"/>
    <n v="0"/>
    <n v="3"/>
    <n v="8"/>
    <n v="2"/>
    <n v="2500"/>
    <n v="5"/>
    <n v="0"/>
    <n v="0.89520231016412943"/>
    <n v="0.10479768983587059"/>
    <x v="7"/>
  </r>
  <r>
    <n v="7"/>
    <n v="60"/>
    <n v="3"/>
    <n v="0"/>
    <n v="2"/>
    <n v="1"/>
    <n v="2"/>
    <n v="1000"/>
    <n v="1"/>
    <n v="0"/>
    <n v="0.89528482229609996"/>
    <n v="0.1047151777039"/>
    <x v="7"/>
  </r>
  <r>
    <n v="8"/>
    <n v="61"/>
    <n v="2"/>
    <n v="1"/>
    <n v="3"/>
    <n v="3"/>
    <n v="0"/>
    <n v="12000"/>
    <n v="15"/>
    <n v="0"/>
    <n v="0.89540630920096309"/>
    <n v="0.10459369079903701"/>
    <x v="7"/>
  </r>
  <r>
    <n v="5"/>
    <n v="53"/>
    <n v="2"/>
    <n v="0"/>
    <n v="3"/>
    <n v="3"/>
    <n v="1"/>
    <n v="20326.509999999998"/>
    <n v="3"/>
    <n v="0"/>
    <n v="0.89543445016500878"/>
    <n v="0.10456554983499119"/>
    <x v="7"/>
  </r>
  <r>
    <n v="5"/>
    <n v="51"/>
    <n v="1"/>
    <n v="0"/>
    <n v="3"/>
    <n v="8"/>
    <n v="3"/>
    <n v="0.01"/>
    <n v="4"/>
    <n v="0"/>
    <n v="0.89546124321687781"/>
    <n v="0.1045387567831222"/>
    <x v="7"/>
  </r>
  <r>
    <n v="8"/>
    <n v="64"/>
    <n v="5"/>
    <n v="0"/>
    <n v="0"/>
    <n v="4"/>
    <n v="2"/>
    <n v="2000"/>
    <n v="4"/>
    <n v="1"/>
    <n v="0.89563452991943915"/>
    <n v="0.1043654700805608"/>
    <x v="7"/>
  </r>
  <r>
    <n v="7"/>
    <n v="62"/>
    <n v="2"/>
    <n v="0"/>
    <n v="3"/>
    <n v="3"/>
    <n v="0"/>
    <n v="6017.78"/>
    <n v="27"/>
    <n v="1"/>
    <n v="0.89565261120781714"/>
    <n v="0.1043473887921828"/>
    <x v="7"/>
  </r>
  <r>
    <n v="10"/>
    <n v="75"/>
    <n v="1"/>
    <n v="0"/>
    <n v="2"/>
    <n v="0"/>
    <n v="1"/>
    <n v="39416.32"/>
    <n v="3"/>
    <n v="0"/>
    <n v="0.89574159857825464"/>
    <n v="0.10425840142174531"/>
    <x v="7"/>
  </r>
  <r>
    <n v="5"/>
    <n v="50"/>
    <n v="5"/>
    <n v="0"/>
    <n v="1"/>
    <n v="12"/>
    <n v="3"/>
    <n v="0.01"/>
    <n v="9"/>
    <n v="0"/>
    <n v="0.89580890479706599"/>
    <n v="0.104191095202934"/>
    <x v="7"/>
  </r>
  <r>
    <n v="10"/>
    <n v="69"/>
    <n v="2"/>
    <n v="1"/>
    <n v="0"/>
    <n v="4"/>
    <n v="2"/>
    <n v="4800"/>
    <n v="22"/>
    <n v="0"/>
    <n v="0.89585500588441636"/>
    <n v="0.1041449941155837"/>
    <x v="7"/>
  </r>
  <r>
    <n v="9"/>
    <n v="67"/>
    <n v="5"/>
    <n v="0"/>
    <n v="1"/>
    <n v="12"/>
    <n v="2"/>
    <n v="3000"/>
    <n v="8"/>
    <n v="1"/>
    <n v="0.8958580476518343"/>
    <n v="0.1041419523481657"/>
    <x v="7"/>
  </r>
  <r>
    <n v="10"/>
    <n v="72"/>
    <n v="4"/>
    <n v="0"/>
    <n v="4"/>
    <n v="9"/>
    <n v="0"/>
    <n v="13483.15"/>
    <n v="1"/>
    <n v="0"/>
    <n v="0.89620617537851488"/>
    <n v="0.10379382462148511"/>
    <x v="7"/>
  </r>
  <r>
    <n v="9"/>
    <n v="69"/>
    <n v="0"/>
    <n v="0"/>
    <n v="0"/>
    <n v="11"/>
    <n v="3"/>
    <n v="0.01"/>
    <n v="8"/>
    <n v="0"/>
    <n v="0.89620885637161019"/>
    <n v="0.1037911436283898"/>
    <x v="7"/>
  </r>
  <r>
    <n v="11"/>
    <n v="74"/>
    <n v="3"/>
    <n v="1"/>
    <n v="0"/>
    <n v="4"/>
    <n v="0"/>
    <n v="6107.64"/>
    <n v="13"/>
    <n v="0"/>
    <n v="0.8963103752460666"/>
    <n v="0.1036896247539334"/>
    <x v="7"/>
  </r>
  <r>
    <n v="7"/>
    <n v="51"/>
    <n v="0"/>
    <n v="2"/>
    <n v="1"/>
    <n v="7"/>
    <n v="3"/>
    <n v="0.01"/>
    <n v="8"/>
    <n v="0"/>
    <n v="0.89636917549786244"/>
    <n v="0.10363082450213761"/>
    <x v="7"/>
  </r>
  <r>
    <n v="9"/>
    <n v="69"/>
    <n v="4"/>
    <n v="0"/>
    <n v="0"/>
    <n v="2"/>
    <n v="2"/>
    <n v="3000"/>
    <n v="12"/>
    <n v="1"/>
    <n v="0.89637798012796233"/>
    <n v="0.1036220198720377"/>
    <x v="7"/>
  </r>
  <r>
    <n v="10"/>
    <n v="72"/>
    <n v="3"/>
    <n v="0"/>
    <n v="1"/>
    <n v="12"/>
    <n v="2"/>
    <n v="3026.67"/>
    <n v="7"/>
    <n v="1"/>
    <n v="0.8963969048995577"/>
    <n v="0.1036030951004423"/>
    <x v="7"/>
  </r>
  <r>
    <n v="6"/>
    <n v="53"/>
    <n v="2"/>
    <n v="1"/>
    <n v="1"/>
    <n v="12"/>
    <n v="0"/>
    <n v="12053.35"/>
    <n v="5"/>
    <n v="0"/>
    <n v="0.89646580024607303"/>
    <n v="0.1035341997539269"/>
    <x v="7"/>
  </r>
  <r>
    <n v="7"/>
    <n v="62"/>
    <n v="5"/>
    <n v="0"/>
    <n v="0"/>
    <n v="2"/>
    <n v="0"/>
    <n v="12000"/>
    <n v="3"/>
    <n v="0"/>
    <n v="0.89652289982697786"/>
    <n v="0.1034771001730222"/>
    <x v="7"/>
  </r>
  <r>
    <n v="8"/>
    <n v="59"/>
    <n v="4"/>
    <n v="1"/>
    <n v="0"/>
    <n v="4"/>
    <n v="3"/>
    <n v="0.01"/>
    <n v="7"/>
    <n v="0"/>
    <n v="0.89672157396930963"/>
    <n v="0.1032784260306904"/>
    <x v="7"/>
  </r>
  <r>
    <n v="6"/>
    <n v="58"/>
    <n v="0"/>
    <n v="0"/>
    <n v="3"/>
    <n v="8"/>
    <n v="1"/>
    <n v="27000"/>
    <n v="8"/>
    <n v="0"/>
    <n v="0.89681361611192223"/>
    <n v="0.1031863838880778"/>
    <x v="7"/>
  </r>
  <r>
    <n v="10"/>
    <n v="68"/>
    <n v="1"/>
    <n v="1"/>
    <n v="1"/>
    <n v="12"/>
    <n v="2"/>
    <n v="600"/>
    <n v="8"/>
    <n v="1"/>
    <n v="0.89684189725445129"/>
    <n v="0.10315810274554869"/>
    <x v="7"/>
  </r>
  <r>
    <n v="8"/>
    <n v="68"/>
    <n v="1"/>
    <n v="0"/>
    <n v="0"/>
    <n v="4"/>
    <n v="0"/>
    <n v="12158.67"/>
    <n v="18"/>
    <n v="0"/>
    <n v="0.89685296417207394"/>
    <n v="0.1031470358279261"/>
    <x v="7"/>
  </r>
  <r>
    <n v="5"/>
    <n v="51"/>
    <n v="5"/>
    <n v="0"/>
    <n v="1"/>
    <n v="12"/>
    <n v="2"/>
    <n v="3000"/>
    <n v="9"/>
    <n v="0"/>
    <n v="0.89686152497931315"/>
    <n v="0.10313847502068681"/>
    <x v="7"/>
  </r>
  <r>
    <n v="6"/>
    <n v="56"/>
    <n v="4"/>
    <n v="0"/>
    <n v="3"/>
    <n v="8"/>
    <n v="1"/>
    <n v="20718.189999999999"/>
    <n v="3"/>
    <n v="0"/>
    <n v="0.89694397725852937"/>
    <n v="0.1030560227414706"/>
    <x v="7"/>
  </r>
  <r>
    <n v="7"/>
    <n v="61"/>
    <n v="2"/>
    <n v="0"/>
    <n v="2"/>
    <n v="0"/>
    <n v="2"/>
    <n v="5000"/>
    <n v="4"/>
    <n v="0"/>
    <n v="0.8969678882622516"/>
    <n v="0.1030321117377484"/>
    <x v="7"/>
  </r>
  <r>
    <n v="6"/>
    <n v="56"/>
    <n v="2"/>
    <n v="0"/>
    <n v="1"/>
    <n v="7"/>
    <n v="3"/>
    <n v="0.01"/>
    <n v="7"/>
    <n v="0"/>
    <n v="0.8970659922444304"/>
    <n v="0.1029340077555696"/>
    <x v="7"/>
  </r>
  <r>
    <n v="2"/>
    <n v="40"/>
    <n v="5"/>
    <n v="0"/>
    <n v="0"/>
    <n v="4"/>
    <n v="2"/>
    <n v="2100.0100000000002"/>
    <n v="5"/>
    <n v="0"/>
    <n v="0.89718379802754411"/>
    <n v="0.1028162019724559"/>
    <x v="7"/>
  </r>
  <r>
    <n v="7"/>
    <n v="61"/>
    <n v="4"/>
    <n v="0"/>
    <n v="1"/>
    <n v="12"/>
    <n v="0"/>
    <n v="6000"/>
    <n v="2"/>
    <n v="0"/>
    <n v="0.89724387011427642"/>
    <n v="0.10275612988572359"/>
    <x v="7"/>
  </r>
  <r>
    <n v="6"/>
    <n v="58"/>
    <n v="5"/>
    <n v="0"/>
    <n v="0"/>
    <n v="4"/>
    <n v="0"/>
    <n v="5906.2"/>
    <n v="15"/>
    <n v="0"/>
    <n v="0.89729943573218851"/>
    <n v="0.1027005642678115"/>
    <x v="7"/>
  </r>
  <r>
    <n v="9"/>
    <n v="68"/>
    <n v="2"/>
    <n v="0"/>
    <n v="3"/>
    <n v="8"/>
    <n v="2"/>
    <n v="3000"/>
    <n v="8"/>
    <n v="0"/>
    <n v="0.8973558975473801"/>
    <n v="0.10264410245262"/>
    <x v="7"/>
  </r>
  <r>
    <n v="8"/>
    <n v="63"/>
    <n v="5"/>
    <n v="0"/>
    <n v="0"/>
    <n v="11"/>
    <n v="3"/>
    <n v="0.01"/>
    <n v="8"/>
    <n v="0"/>
    <n v="0.89752110244440753"/>
    <n v="0.1024788975555924"/>
    <x v="7"/>
  </r>
  <r>
    <n v="10"/>
    <n v="75"/>
    <n v="0"/>
    <n v="0"/>
    <n v="3"/>
    <n v="3"/>
    <n v="0"/>
    <n v="12000"/>
    <n v="2"/>
    <n v="0"/>
    <n v="0.89759819274886787"/>
    <n v="0.1024018072511321"/>
    <x v="7"/>
  </r>
  <r>
    <n v="8"/>
    <n v="60"/>
    <n v="2"/>
    <n v="1"/>
    <n v="1"/>
    <n v="7"/>
    <n v="2"/>
    <n v="4000"/>
    <n v="1"/>
    <n v="0"/>
    <n v="0.89761790862253021"/>
    <n v="0.1023820913774698"/>
    <x v="7"/>
  </r>
  <r>
    <n v="5"/>
    <n v="47"/>
    <n v="2"/>
    <n v="1"/>
    <n v="3"/>
    <n v="8"/>
    <n v="2"/>
    <n v="500"/>
    <n v="13"/>
    <n v="0"/>
    <n v="0.89775100464764312"/>
    <n v="0.1022489953523569"/>
    <x v="7"/>
  </r>
  <r>
    <n v="5"/>
    <n v="51"/>
    <n v="2"/>
    <n v="0"/>
    <n v="3"/>
    <n v="8"/>
    <n v="3"/>
    <n v="0.01"/>
    <n v="5"/>
    <n v="0"/>
    <n v="0.89778007110091274"/>
    <n v="0.10221992889908731"/>
    <x v="7"/>
  </r>
  <r>
    <n v="9"/>
    <n v="68"/>
    <n v="5"/>
    <n v="0"/>
    <n v="0"/>
    <n v="11"/>
    <n v="2"/>
    <n v="3000"/>
    <n v="11"/>
    <n v="0"/>
    <n v="0.89792982358580276"/>
    <n v="0.1020701764141972"/>
    <x v="7"/>
  </r>
  <r>
    <n v="7"/>
    <n v="60"/>
    <n v="1"/>
    <n v="0"/>
    <n v="3"/>
    <n v="3"/>
    <n v="3"/>
    <n v="0.01"/>
    <n v="4"/>
    <n v="0"/>
    <n v="0.89793280930466202"/>
    <n v="0.102067190695338"/>
    <x v="7"/>
  </r>
  <r>
    <n v="6"/>
    <n v="51"/>
    <n v="3"/>
    <n v="1"/>
    <n v="1"/>
    <n v="5"/>
    <n v="3"/>
    <n v="0.01"/>
    <n v="7"/>
    <n v="1"/>
    <n v="0.8979793726184464"/>
    <n v="0.1020206273815536"/>
    <x v="7"/>
  </r>
  <r>
    <n v="9"/>
    <n v="64"/>
    <n v="1"/>
    <n v="1"/>
    <n v="3"/>
    <n v="3"/>
    <n v="2"/>
    <n v="5000"/>
    <n v="1"/>
    <n v="0"/>
    <n v="0.89798090667468222"/>
    <n v="0.10201909332531781"/>
    <x v="7"/>
  </r>
  <r>
    <n v="8"/>
    <n v="54"/>
    <n v="5"/>
    <n v="2"/>
    <n v="1"/>
    <n v="7"/>
    <n v="2"/>
    <n v="2000.01"/>
    <n v="9"/>
    <n v="0"/>
    <n v="0.89819387218155455"/>
    <n v="0.1018061278184455"/>
    <x v="7"/>
  </r>
  <r>
    <n v="7"/>
    <n v="51"/>
    <n v="0"/>
    <n v="2"/>
    <n v="3"/>
    <n v="8"/>
    <n v="2"/>
    <n v="1425"/>
    <n v="5"/>
    <n v="0"/>
    <n v="0.89820197080450415"/>
    <n v="0.1017980291954959"/>
    <x v="7"/>
  </r>
  <r>
    <n v="5"/>
    <n v="51"/>
    <n v="5"/>
    <n v="0"/>
    <n v="3"/>
    <n v="3"/>
    <n v="2"/>
    <n v="850"/>
    <n v="6"/>
    <n v="0"/>
    <n v="0.89821919956318974"/>
    <n v="0.1017808004368102"/>
    <x v="7"/>
  </r>
  <r>
    <n v="7"/>
    <n v="60"/>
    <n v="3"/>
    <n v="0"/>
    <n v="3"/>
    <n v="3"/>
    <n v="2"/>
    <n v="2000"/>
    <n v="5"/>
    <n v="0"/>
    <n v="0.8983066850642365"/>
    <n v="0.1016933149357635"/>
    <x v="7"/>
  </r>
  <r>
    <n v="5"/>
    <n v="46"/>
    <n v="5"/>
    <n v="1"/>
    <n v="2"/>
    <n v="1"/>
    <n v="3"/>
    <n v="0.01"/>
    <n v="4"/>
    <n v="0"/>
    <n v="0.89850723356449369"/>
    <n v="0.1014927664355063"/>
    <x v="7"/>
  </r>
  <r>
    <n v="8"/>
    <n v="61"/>
    <n v="2"/>
    <n v="1"/>
    <n v="0"/>
    <n v="4"/>
    <n v="2"/>
    <n v="3250"/>
    <n v="6"/>
    <n v="0"/>
    <n v="0.89853906558193719"/>
    <n v="0.1014609344180628"/>
    <x v="7"/>
  </r>
  <r>
    <n v="7"/>
    <n v="51"/>
    <n v="5"/>
    <n v="2"/>
    <n v="3"/>
    <n v="3"/>
    <n v="0"/>
    <n v="9089.69"/>
    <n v="5"/>
    <n v="0"/>
    <n v="0.89853911587258417"/>
    <n v="0.1014608841274158"/>
    <x v="7"/>
  </r>
  <r>
    <n v="8"/>
    <n v="66"/>
    <n v="4"/>
    <n v="0"/>
    <n v="0"/>
    <n v="11"/>
    <n v="0"/>
    <n v="10000"/>
    <n v="4"/>
    <n v="0"/>
    <n v="0.89854776785809176"/>
    <n v="0.10145223214190829"/>
    <x v="7"/>
  </r>
  <r>
    <n v="9"/>
    <n v="71"/>
    <n v="2"/>
    <n v="0"/>
    <n v="1"/>
    <n v="7"/>
    <n v="1"/>
    <n v="40000"/>
    <n v="9"/>
    <n v="0"/>
    <n v="0.89857170376371465"/>
    <n v="0.1014282962362854"/>
    <x v="7"/>
  </r>
  <r>
    <n v="6"/>
    <n v="57"/>
    <n v="5"/>
    <n v="0"/>
    <n v="0"/>
    <n v="11"/>
    <n v="1"/>
    <n v="20607.900000000001"/>
    <n v="3"/>
    <n v="0"/>
    <n v="0.89858211846932134"/>
    <n v="0.1014178815306786"/>
    <x v="7"/>
  </r>
  <r>
    <n v="8"/>
    <n v="65"/>
    <n v="1"/>
    <n v="0"/>
    <n v="3"/>
    <n v="3"/>
    <n v="2"/>
    <n v="50"/>
    <n v="7"/>
    <n v="0"/>
    <n v="0.89877333695937789"/>
    <n v="0.10122666304062219"/>
    <x v="7"/>
  </r>
  <r>
    <n v="9"/>
    <n v="70"/>
    <n v="2"/>
    <n v="0"/>
    <n v="0"/>
    <n v="4"/>
    <n v="2"/>
    <n v="3000"/>
    <n v="5"/>
    <n v="1"/>
    <n v="0.89890850980634684"/>
    <n v="0.1010914901936532"/>
    <x v="7"/>
  </r>
  <r>
    <n v="7"/>
    <n v="58"/>
    <n v="0"/>
    <n v="1"/>
    <n v="3"/>
    <n v="3"/>
    <n v="0"/>
    <n v="6000"/>
    <n v="1"/>
    <n v="0"/>
    <n v="0.89893465480950585"/>
    <n v="0.1010653451904942"/>
    <x v="7"/>
  </r>
  <r>
    <n v="5"/>
    <n v="52"/>
    <n v="3"/>
    <n v="0"/>
    <n v="3"/>
    <n v="3"/>
    <n v="2"/>
    <n v="3000"/>
    <n v="3"/>
    <n v="0"/>
    <n v="0.89894458100626573"/>
    <n v="0.1010554189937342"/>
    <x v="7"/>
  </r>
  <r>
    <n v="5"/>
    <n v="48"/>
    <n v="1"/>
    <n v="1"/>
    <n v="3"/>
    <n v="3"/>
    <n v="2"/>
    <n v="2000"/>
    <n v="5"/>
    <n v="1"/>
    <n v="0.8990550784574155"/>
    <n v="0.1009449215425845"/>
    <x v="7"/>
  </r>
  <r>
    <n v="5"/>
    <n v="55"/>
    <n v="3"/>
    <n v="0"/>
    <n v="0"/>
    <n v="4"/>
    <n v="0"/>
    <n v="6105.32"/>
    <n v="8"/>
    <n v="0"/>
    <n v="0.89906122608003713"/>
    <n v="0.10093877391996291"/>
    <x v="7"/>
  </r>
  <r>
    <n v="5"/>
    <n v="53"/>
    <n v="1"/>
    <n v="0"/>
    <n v="3"/>
    <n v="3"/>
    <n v="2"/>
    <n v="3053.35"/>
    <n v="7"/>
    <n v="0"/>
    <n v="0.89915717857088129"/>
    <n v="0.1008428214291187"/>
    <x v="7"/>
  </r>
  <r>
    <n v="8"/>
    <n v="68"/>
    <n v="2"/>
    <n v="0"/>
    <n v="0"/>
    <n v="2"/>
    <n v="0"/>
    <n v="13884.25"/>
    <n v="8"/>
    <n v="0"/>
    <n v="0.89917852931374798"/>
    <n v="0.100821470686252"/>
    <x v="7"/>
  </r>
  <r>
    <n v="5"/>
    <n v="48"/>
    <n v="1"/>
    <n v="1"/>
    <n v="1"/>
    <n v="5"/>
    <n v="3"/>
    <n v="0.01"/>
    <n v="5"/>
    <n v="0"/>
    <n v="0.89917874031797507"/>
    <n v="0.10082125968202491"/>
    <x v="7"/>
  </r>
  <r>
    <n v="6"/>
    <n v="52"/>
    <n v="3"/>
    <n v="1"/>
    <n v="2"/>
    <n v="1"/>
    <n v="2"/>
    <n v="1000"/>
    <n v="13"/>
    <n v="0"/>
    <n v="0.89919206782658068"/>
    <n v="0.1008079321734193"/>
    <x v="7"/>
  </r>
  <r>
    <n v="5"/>
    <n v="51"/>
    <n v="5"/>
    <n v="0"/>
    <n v="1"/>
    <n v="7"/>
    <n v="3"/>
    <n v="0.01"/>
    <n v="5"/>
    <n v="1"/>
    <n v="0.89929059383431798"/>
    <n v="0.100709406165682"/>
    <x v="7"/>
  </r>
  <r>
    <n v="6"/>
    <n v="57"/>
    <n v="1"/>
    <n v="0"/>
    <n v="3"/>
    <n v="3"/>
    <n v="2"/>
    <n v="1500"/>
    <n v="5"/>
    <n v="0"/>
    <n v="0.89934301641118242"/>
    <n v="0.1006569835888176"/>
    <x v="7"/>
  </r>
  <r>
    <n v="6"/>
    <n v="57"/>
    <n v="4"/>
    <n v="0"/>
    <n v="0"/>
    <n v="4"/>
    <n v="2"/>
    <n v="3000"/>
    <n v="2"/>
    <n v="0"/>
    <n v="0.89939379589324564"/>
    <n v="0.1006062041067544"/>
    <x v="7"/>
  </r>
  <r>
    <n v="6"/>
    <n v="59"/>
    <n v="0"/>
    <n v="0"/>
    <n v="3"/>
    <n v="3"/>
    <n v="0"/>
    <n v="6000"/>
    <n v="2"/>
    <n v="0"/>
    <n v="0.89958053955667561"/>
    <n v="0.10041946044332439"/>
    <x v="7"/>
  </r>
  <r>
    <n v="4"/>
    <n v="51"/>
    <n v="3"/>
    <n v="0"/>
    <n v="0"/>
    <n v="4"/>
    <n v="0"/>
    <n v="6000"/>
    <n v="5"/>
    <n v="0"/>
    <n v="0.89969891160403392"/>
    <n v="0.1003010883959661"/>
    <x v="7"/>
  </r>
  <r>
    <n v="11"/>
    <n v="76"/>
    <n v="4"/>
    <n v="0"/>
    <n v="3"/>
    <n v="3"/>
    <n v="2"/>
    <n v="1000"/>
    <n v="4"/>
    <n v="0"/>
    <n v="0.89985926038208941"/>
    <n v="0.1001407396179106"/>
    <x v="7"/>
  </r>
  <r>
    <n v="6"/>
    <n v="51"/>
    <n v="5"/>
    <n v="1"/>
    <n v="0"/>
    <n v="4"/>
    <n v="3"/>
    <n v="0.01"/>
    <n v="5"/>
    <n v="0"/>
    <n v="0.89991072080160095"/>
    <n v="0.10008927919839899"/>
    <x v="7"/>
  </r>
  <r>
    <n v="8"/>
    <n v="64"/>
    <n v="4"/>
    <n v="0"/>
    <n v="3"/>
    <n v="3"/>
    <n v="2"/>
    <n v="3000"/>
    <n v="8"/>
    <n v="0"/>
    <n v="0.89992254580226994"/>
    <n v="0.10007745419773011"/>
    <x v="7"/>
  </r>
  <r>
    <n v="4"/>
    <n v="47"/>
    <n v="3"/>
    <n v="0"/>
    <n v="3"/>
    <n v="8"/>
    <n v="3"/>
    <n v="0.01"/>
    <n v="9"/>
    <n v="0"/>
    <n v="0.8999782054779556"/>
    <n v="0.1000217945220444"/>
    <x v="7"/>
  </r>
  <r>
    <n v="10"/>
    <n v="72"/>
    <n v="3"/>
    <n v="0"/>
    <n v="3"/>
    <n v="8"/>
    <n v="2"/>
    <n v="5000"/>
    <n v="1"/>
    <n v="0"/>
    <n v="0.90000125557885191"/>
    <n v="9.9998744421148048E-2"/>
    <x v="7"/>
  </r>
  <r>
    <n v="9"/>
    <n v="66"/>
    <n v="4"/>
    <n v="1"/>
    <n v="0"/>
    <n v="4"/>
    <n v="0"/>
    <n v="8315"/>
    <n v="4"/>
    <n v="0"/>
    <n v="0.90000135145293081"/>
    <n v="9.9998648547069219E-2"/>
    <x v="7"/>
  </r>
  <r>
    <n v="9"/>
    <n v="65"/>
    <n v="5"/>
    <n v="1"/>
    <n v="2"/>
    <n v="1"/>
    <n v="0"/>
    <n v="10626.68"/>
    <n v="6"/>
    <n v="0"/>
    <n v="0.90002071056197597"/>
    <n v="9.9979289438024047E-2"/>
    <x v="7"/>
  </r>
  <r>
    <n v="6"/>
    <n v="47"/>
    <n v="5"/>
    <n v="2"/>
    <n v="0"/>
    <n v="4"/>
    <n v="2"/>
    <n v="5000"/>
    <n v="6"/>
    <n v="0"/>
    <n v="0.90003928221179563"/>
    <n v="9.9960717788204381E-2"/>
    <x v="7"/>
  </r>
  <r>
    <n v="5"/>
    <n v="50"/>
    <n v="2"/>
    <n v="1"/>
    <n v="0"/>
    <n v="11"/>
    <n v="0"/>
    <n v="6000.01"/>
    <n v="4"/>
    <n v="0"/>
    <n v="0.90014869101881256"/>
    <n v="9.9851308981187395E-2"/>
    <x v="7"/>
  </r>
  <r>
    <n v="6"/>
    <n v="51"/>
    <n v="4"/>
    <n v="1"/>
    <n v="3"/>
    <n v="3"/>
    <n v="2"/>
    <n v="1050"/>
    <n v="8"/>
    <n v="0"/>
    <n v="0.90026359389993937"/>
    <n v="9.9736406100060598E-2"/>
    <x v="7"/>
  </r>
  <r>
    <n v="8"/>
    <n v="60"/>
    <n v="2"/>
    <n v="1"/>
    <n v="3"/>
    <n v="3"/>
    <n v="2"/>
    <n v="100.01"/>
    <n v="10"/>
    <n v="0"/>
    <n v="0.90030719812194093"/>
    <n v="9.9692801878059081E-2"/>
    <x v="7"/>
  </r>
  <r>
    <n v="9"/>
    <n v="65"/>
    <n v="1"/>
    <n v="1"/>
    <n v="1"/>
    <n v="7"/>
    <n v="2"/>
    <n v="3000"/>
    <n v="3"/>
    <n v="0"/>
    <n v="0.90033238301021723"/>
    <n v="9.9667616989782715E-2"/>
    <x v="7"/>
  </r>
  <r>
    <n v="9"/>
    <n v="69"/>
    <n v="2"/>
    <n v="0"/>
    <n v="3"/>
    <n v="3"/>
    <n v="2"/>
    <n v="3400"/>
    <n v="7"/>
    <n v="0"/>
    <n v="0.90038877235770709"/>
    <n v="9.9611227642292924E-2"/>
    <x v="7"/>
  </r>
  <r>
    <n v="6"/>
    <n v="60"/>
    <n v="0"/>
    <n v="0"/>
    <n v="0"/>
    <n v="11"/>
    <n v="0"/>
    <n v="10000"/>
    <n v="4"/>
    <n v="0"/>
    <n v="0.90046236836607996"/>
    <n v="9.9537631633920057E-2"/>
    <x v="7"/>
  </r>
  <r>
    <n v="12"/>
    <n v="78"/>
    <n v="0"/>
    <n v="1"/>
    <n v="1"/>
    <n v="7"/>
    <n v="2"/>
    <n v="1500"/>
    <n v="20"/>
    <n v="0"/>
    <n v="0.90081382284404277"/>
    <n v="9.9186177155957275E-2"/>
    <x v="7"/>
  </r>
  <r>
    <n v="10"/>
    <n v="73"/>
    <n v="1"/>
    <n v="0"/>
    <n v="3"/>
    <n v="8"/>
    <n v="2"/>
    <n v="1000"/>
    <n v="4"/>
    <n v="0"/>
    <n v="0.90091179787816267"/>
    <n v="9.9088202121837346E-2"/>
    <x v="7"/>
  </r>
  <r>
    <n v="9"/>
    <n v="73"/>
    <n v="0"/>
    <n v="0"/>
    <n v="0"/>
    <n v="4"/>
    <n v="0"/>
    <n v="15010.73"/>
    <n v="3"/>
    <n v="1"/>
    <n v="0.90098938068819157"/>
    <n v="9.9010619311808462E-2"/>
    <x v="7"/>
  </r>
  <r>
    <n v="8"/>
    <n v="69"/>
    <n v="1"/>
    <n v="0"/>
    <n v="0"/>
    <n v="4"/>
    <n v="0"/>
    <n v="6000"/>
    <n v="36"/>
    <n v="0"/>
    <n v="0.90111738134702446"/>
    <n v="9.8882618652975554E-2"/>
    <x v="7"/>
  </r>
  <r>
    <n v="6"/>
    <n v="57"/>
    <n v="0"/>
    <n v="0"/>
    <n v="3"/>
    <n v="3"/>
    <n v="3"/>
    <n v="0.01"/>
    <n v="5"/>
    <n v="0"/>
    <n v="0.90115031586196059"/>
    <n v="9.8849684138039365E-2"/>
    <x v="7"/>
  </r>
  <r>
    <n v="11"/>
    <n v="75"/>
    <n v="1"/>
    <n v="1"/>
    <n v="1"/>
    <n v="7"/>
    <n v="0"/>
    <n v="6053.82"/>
    <n v="12"/>
    <n v="0"/>
    <n v="0.90120788781785688"/>
    <n v="9.8792112182143177E-2"/>
    <x v="7"/>
  </r>
  <r>
    <n v="5"/>
    <n v="48"/>
    <n v="2"/>
    <n v="1"/>
    <n v="3"/>
    <n v="3"/>
    <n v="2"/>
    <n v="50"/>
    <n v="9"/>
    <n v="0"/>
    <n v="0.90123950924921825"/>
    <n v="9.8760490750781749E-2"/>
    <x v="7"/>
  </r>
  <r>
    <n v="9"/>
    <n v="73"/>
    <n v="0"/>
    <n v="0"/>
    <n v="0"/>
    <n v="4"/>
    <n v="0"/>
    <n v="11500"/>
    <n v="5"/>
    <n v="0"/>
    <n v="0.901264380597253"/>
    <n v="9.8735619402746971E-2"/>
    <x v="7"/>
  </r>
  <r>
    <n v="9"/>
    <n v="67"/>
    <n v="5"/>
    <n v="0"/>
    <n v="3"/>
    <n v="3"/>
    <n v="3"/>
    <n v="0.01"/>
    <n v="5"/>
    <n v="0"/>
    <n v="0.90133721757449081"/>
    <n v="9.8662782425509174E-2"/>
    <x v="7"/>
  </r>
  <r>
    <n v="5"/>
    <n v="51"/>
    <n v="5"/>
    <n v="0"/>
    <n v="2"/>
    <n v="6"/>
    <n v="3"/>
    <n v="0.01"/>
    <n v="5"/>
    <n v="0"/>
    <n v="0.90134883201894123"/>
    <n v="9.8651167981058746E-2"/>
    <x v="7"/>
  </r>
  <r>
    <n v="7"/>
    <n v="60"/>
    <n v="4"/>
    <n v="0"/>
    <n v="2"/>
    <n v="1"/>
    <n v="3"/>
    <n v="0.01"/>
    <n v="5"/>
    <n v="0"/>
    <n v="0.90138265017714692"/>
    <n v="9.8617349822853084E-2"/>
    <x v="7"/>
  </r>
  <r>
    <n v="8"/>
    <n v="62"/>
    <n v="1"/>
    <n v="1"/>
    <n v="3"/>
    <n v="3"/>
    <n v="1"/>
    <n v="20173.349999999999"/>
    <n v="13"/>
    <n v="0"/>
    <n v="0.90154210262345991"/>
    <n v="9.8457897376540121E-2"/>
    <x v="7"/>
  </r>
  <r>
    <n v="5"/>
    <n v="53"/>
    <n v="5"/>
    <n v="0"/>
    <n v="0"/>
    <n v="4"/>
    <n v="2"/>
    <n v="500"/>
    <n v="9"/>
    <n v="0"/>
    <n v="0.90157637952617931"/>
    <n v="9.8423620473820653E-2"/>
    <x v="7"/>
  </r>
  <r>
    <n v="10"/>
    <n v="71"/>
    <n v="1"/>
    <n v="1"/>
    <n v="3"/>
    <n v="3"/>
    <n v="0"/>
    <n v="12000"/>
    <n v="30"/>
    <n v="0"/>
    <n v="0.90167002445156352"/>
    <n v="9.8329975548436449E-2"/>
    <x v="7"/>
  </r>
  <r>
    <n v="7"/>
    <n v="62"/>
    <n v="4"/>
    <n v="0"/>
    <n v="1"/>
    <n v="12"/>
    <n v="0"/>
    <n v="8000"/>
    <n v="8"/>
    <n v="0"/>
    <n v="0.90169575404251501"/>
    <n v="9.8304245957485006E-2"/>
    <x v="7"/>
  </r>
  <r>
    <n v="4"/>
    <n v="50"/>
    <n v="0"/>
    <n v="0"/>
    <n v="1"/>
    <n v="12"/>
    <n v="2"/>
    <n v="5000"/>
    <n v="5"/>
    <n v="0"/>
    <n v="0.90174599911634312"/>
    <n v="9.825400088365692E-2"/>
    <x v="7"/>
  </r>
  <r>
    <n v="7"/>
    <n v="63"/>
    <n v="2"/>
    <n v="0"/>
    <n v="1"/>
    <n v="12"/>
    <n v="0"/>
    <n v="12000"/>
    <n v="8"/>
    <n v="1"/>
    <n v="0.90179531339524055"/>
    <n v="9.8204686604759464E-2"/>
    <x v="7"/>
  </r>
  <r>
    <n v="8"/>
    <n v="59"/>
    <n v="3"/>
    <n v="1"/>
    <n v="3"/>
    <n v="3"/>
    <n v="3"/>
    <n v="0.01"/>
    <n v="5"/>
    <n v="0"/>
    <n v="0.90179846535857622"/>
    <n v="9.8201534641423838E-2"/>
    <x v="7"/>
  </r>
  <r>
    <n v="6"/>
    <n v="60"/>
    <n v="1"/>
    <n v="0"/>
    <n v="0"/>
    <n v="11"/>
    <n v="0"/>
    <n v="10578.37"/>
    <n v="12"/>
    <n v="0"/>
    <n v="0.90180674229324842"/>
    <n v="9.8193257706751594E-2"/>
    <x v="7"/>
  </r>
  <r>
    <n v="4"/>
    <n v="50"/>
    <n v="3"/>
    <n v="0"/>
    <n v="0"/>
    <n v="2"/>
    <n v="2"/>
    <n v="5000"/>
    <n v="1"/>
    <n v="0"/>
    <n v="0.90181051769206366"/>
    <n v="9.8189482307936379E-2"/>
    <x v="7"/>
  </r>
  <r>
    <n v="6"/>
    <n v="52"/>
    <n v="2"/>
    <n v="1"/>
    <n v="3"/>
    <n v="3"/>
    <n v="2"/>
    <n v="125"/>
    <n v="1"/>
    <n v="0"/>
    <n v="0.90187301428125211"/>
    <n v="9.8126985718747853E-2"/>
    <x v="7"/>
  </r>
  <r>
    <n v="10"/>
    <n v="75"/>
    <n v="3"/>
    <n v="0"/>
    <n v="1"/>
    <n v="7"/>
    <n v="0"/>
    <n v="6053.35"/>
    <n v="6"/>
    <n v="0"/>
    <n v="0.90196712858532768"/>
    <n v="9.8032871414672262E-2"/>
    <x v="7"/>
  </r>
  <r>
    <n v="8"/>
    <n v="63"/>
    <n v="3"/>
    <n v="0"/>
    <n v="4"/>
    <n v="9"/>
    <n v="3"/>
    <n v="0.01"/>
    <n v="8"/>
    <n v="0"/>
    <n v="0.90203956439696631"/>
    <n v="9.7960435603033719E-2"/>
    <x v="7"/>
  </r>
  <r>
    <n v="8"/>
    <n v="66"/>
    <n v="3"/>
    <n v="0"/>
    <n v="3"/>
    <n v="8"/>
    <n v="0"/>
    <n v="12000"/>
    <n v="4"/>
    <n v="0"/>
    <n v="0.90207295172128343"/>
    <n v="9.7927048278716566E-2"/>
    <x v="7"/>
  </r>
  <r>
    <n v="8"/>
    <n v="61"/>
    <n v="4"/>
    <n v="1"/>
    <n v="0"/>
    <n v="2"/>
    <n v="2"/>
    <n v="250"/>
    <n v="11"/>
    <n v="1"/>
    <n v="0.90213108035224299"/>
    <n v="9.7868919647757041E-2"/>
    <x v="7"/>
  </r>
  <r>
    <n v="10"/>
    <n v="76"/>
    <n v="0"/>
    <n v="0"/>
    <n v="3"/>
    <n v="3"/>
    <n v="0"/>
    <n v="18000"/>
    <n v="1"/>
    <n v="0"/>
    <n v="0.90226154595227293"/>
    <n v="9.7738454047727019E-2"/>
    <x v="7"/>
  </r>
  <r>
    <n v="8"/>
    <n v="61"/>
    <n v="2"/>
    <n v="1"/>
    <n v="0"/>
    <n v="10"/>
    <n v="2"/>
    <n v="1000"/>
    <n v="1"/>
    <n v="0"/>
    <n v="0.90239148060180185"/>
    <n v="9.760851939819816E-2"/>
    <x v="7"/>
  </r>
  <r>
    <n v="5"/>
    <n v="51"/>
    <n v="5"/>
    <n v="0"/>
    <n v="3"/>
    <n v="3"/>
    <n v="3"/>
    <n v="0.01"/>
    <n v="5"/>
    <n v="1"/>
    <n v="0.90240688967352878"/>
    <n v="9.759311032647118E-2"/>
    <x v="7"/>
  </r>
  <r>
    <n v="6"/>
    <n v="58"/>
    <n v="3"/>
    <n v="0"/>
    <n v="0"/>
    <n v="4"/>
    <n v="2"/>
    <n v="480"/>
    <n v="5"/>
    <n v="0"/>
    <n v="0.90243548299027765"/>
    <n v="9.7564517009722365E-2"/>
    <x v="7"/>
  </r>
  <r>
    <n v="6"/>
    <n v="55"/>
    <n v="3"/>
    <n v="0"/>
    <n v="4"/>
    <n v="9"/>
    <n v="3"/>
    <n v="0.01"/>
    <n v="8"/>
    <n v="1"/>
    <n v="0.90257229538409267"/>
    <n v="9.7427704615907385E-2"/>
    <x v="7"/>
  </r>
  <r>
    <n v="11"/>
    <n v="70"/>
    <n v="2"/>
    <n v="2"/>
    <n v="2"/>
    <n v="1"/>
    <n v="0"/>
    <n v="7088.14"/>
    <n v="11"/>
    <n v="0"/>
    <n v="0.90262470584117516"/>
    <n v="9.7375294158824829E-2"/>
    <x v="7"/>
  </r>
  <r>
    <n v="10"/>
    <n v="76"/>
    <n v="0"/>
    <n v="0"/>
    <n v="3"/>
    <n v="3"/>
    <n v="0"/>
    <n v="13000"/>
    <n v="4"/>
    <n v="0"/>
    <n v="0.90263139108010715"/>
    <n v="9.7368608919892866E-2"/>
    <x v="7"/>
  </r>
  <r>
    <n v="7"/>
    <n v="51"/>
    <n v="3"/>
    <n v="2"/>
    <n v="3"/>
    <n v="3"/>
    <n v="2"/>
    <n v="100"/>
    <n v="8"/>
    <n v="0"/>
    <n v="0.90266071302844586"/>
    <n v="9.7339286971554112E-2"/>
    <x v="7"/>
  </r>
  <r>
    <n v="5"/>
    <n v="53"/>
    <n v="1"/>
    <n v="0"/>
    <n v="3"/>
    <n v="8"/>
    <n v="2"/>
    <n v="100"/>
    <n v="1"/>
    <n v="0"/>
    <n v="0.90271929384296845"/>
    <n v="9.7280706157031493E-2"/>
    <x v="7"/>
  </r>
  <r>
    <n v="9"/>
    <n v="73"/>
    <n v="1"/>
    <n v="0"/>
    <n v="0"/>
    <n v="2"/>
    <n v="0"/>
    <n v="6000"/>
    <n v="9"/>
    <n v="0"/>
    <n v="0.90294624603565454"/>
    <n v="9.7053753964345513E-2"/>
    <x v="7"/>
  </r>
  <r>
    <n v="5"/>
    <n v="53"/>
    <n v="2"/>
    <n v="0"/>
    <n v="1"/>
    <n v="7"/>
    <n v="3"/>
    <n v="0.01"/>
    <n v="4"/>
    <n v="0"/>
    <n v="0.90309458273222576"/>
    <n v="9.6905417267774269E-2"/>
    <x v="7"/>
  </r>
  <r>
    <n v="6"/>
    <n v="52"/>
    <n v="3"/>
    <n v="1"/>
    <n v="1"/>
    <n v="12"/>
    <n v="2"/>
    <n v="0.02"/>
    <n v="5"/>
    <n v="0"/>
    <n v="0.90309797156985516"/>
    <n v="9.6902028430144824E-2"/>
    <x v="7"/>
  </r>
  <r>
    <n v="8"/>
    <n v="67"/>
    <n v="1"/>
    <n v="0"/>
    <n v="3"/>
    <n v="3"/>
    <n v="1"/>
    <n v="20322.09"/>
    <n v="3"/>
    <n v="1"/>
    <n v="0.90312867667714181"/>
    <n v="9.6871323322858194E-2"/>
    <x v="7"/>
  </r>
  <r>
    <n v="4"/>
    <n v="50"/>
    <n v="2"/>
    <n v="0"/>
    <n v="1"/>
    <n v="5"/>
    <n v="2"/>
    <n v="200"/>
    <n v="8"/>
    <n v="0"/>
    <n v="0.90333433490366666"/>
    <n v="9.66656650963333E-2"/>
    <x v="7"/>
  </r>
  <r>
    <n v="4"/>
    <n v="49"/>
    <n v="5"/>
    <n v="0"/>
    <n v="3"/>
    <n v="8"/>
    <n v="0"/>
    <n v="6000"/>
    <n v="2"/>
    <n v="0"/>
    <n v="0.90354318150267954"/>
    <n v="9.6456818497320518E-2"/>
    <x v="7"/>
  </r>
  <r>
    <n v="9"/>
    <n v="71"/>
    <n v="2"/>
    <n v="0"/>
    <n v="3"/>
    <n v="3"/>
    <n v="0"/>
    <n v="6000"/>
    <n v="1"/>
    <n v="0"/>
    <n v="0.90355789931233133"/>
    <n v="9.6442100687668675E-2"/>
    <x v="7"/>
  </r>
  <r>
    <n v="8"/>
    <n v="67"/>
    <n v="3"/>
    <n v="0"/>
    <n v="3"/>
    <n v="3"/>
    <n v="0"/>
    <n v="12000"/>
    <n v="13"/>
    <n v="0"/>
    <n v="0.9039264009097514"/>
    <n v="9.6073599090248651E-2"/>
    <x v="7"/>
  </r>
  <r>
    <n v="6"/>
    <n v="51"/>
    <n v="4"/>
    <n v="1"/>
    <n v="1"/>
    <n v="12"/>
    <n v="3"/>
    <n v="0.01"/>
    <n v="5"/>
    <n v="0"/>
    <n v="0.90398174553025656"/>
    <n v="9.601825446974345E-2"/>
    <x v="7"/>
  </r>
  <r>
    <n v="7"/>
    <n v="62"/>
    <n v="1"/>
    <n v="0"/>
    <n v="3"/>
    <n v="3"/>
    <n v="2"/>
    <n v="500"/>
    <n v="9"/>
    <n v="0"/>
    <n v="0.90409435123140136"/>
    <n v="9.5905648768598611E-2"/>
    <x v="7"/>
  </r>
  <r>
    <n v="4"/>
    <n v="52"/>
    <n v="1"/>
    <n v="0"/>
    <n v="1"/>
    <n v="7"/>
    <n v="0"/>
    <n v="6107.64"/>
    <n v="7"/>
    <n v="0"/>
    <n v="0.90409720775848346"/>
    <n v="9.5902792241516543E-2"/>
    <x v="7"/>
  </r>
  <r>
    <n v="9"/>
    <n v="60"/>
    <n v="2"/>
    <n v="2"/>
    <n v="1"/>
    <n v="12"/>
    <n v="2"/>
    <n v="2000"/>
    <n v="7"/>
    <n v="0"/>
    <n v="0.90428340259889417"/>
    <n v="9.571659740110583E-2"/>
    <x v="7"/>
  </r>
  <r>
    <n v="10"/>
    <n v="64"/>
    <n v="5"/>
    <n v="2"/>
    <n v="0"/>
    <n v="2"/>
    <n v="2"/>
    <n v="480"/>
    <n v="1"/>
    <n v="0"/>
    <n v="0.90451908133133374"/>
    <n v="9.5480918668666245E-2"/>
    <x v="7"/>
  </r>
  <r>
    <n v="6"/>
    <n v="58"/>
    <n v="5"/>
    <n v="0"/>
    <n v="1"/>
    <n v="12"/>
    <n v="0"/>
    <n v="8000"/>
    <n v="5"/>
    <n v="0"/>
    <n v="0.90459784714590474"/>
    <n v="9.5402152854095257E-2"/>
    <x v="7"/>
  </r>
  <r>
    <n v="5"/>
    <n v="54"/>
    <n v="1"/>
    <n v="0"/>
    <n v="3"/>
    <n v="3"/>
    <n v="2"/>
    <n v="4000"/>
    <n v="4"/>
    <n v="0"/>
    <n v="0.90468488381405487"/>
    <n v="9.5315116185945084E-2"/>
    <x v="7"/>
  </r>
  <r>
    <n v="8"/>
    <n v="61"/>
    <n v="3"/>
    <n v="1"/>
    <n v="1"/>
    <n v="7"/>
    <n v="2"/>
    <n v="3000"/>
    <n v="7"/>
    <n v="0"/>
    <n v="0.90477205750952827"/>
    <n v="9.522794249047177E-2"/>
    <x v="7"/>
  </r>
  <r>
    <n v="5"/>
    <n v="57"/>
    <n v="1"/>
    <n v="0"/>
    <n v="0"/>
    <n v="2"/>
    <n v="0"/>
    <n v="6000"/>
    <n v="2"/>
    <n v="0"/>
    <n v="0.90477815585568888"/>
    <n v="9.5221844144311119E-2"/>
    <x v="7"/>
  </r>
  <r>
    <n v="6"/>
    <n v="53"/>
    <n v="1"/>
    <n v="1"/>
    <n v="2"/>
    <n v="1"/>
    <n v="3"/>
    <n v="0.01"/>
    <n v="5"/>
    <n v="0"/>
    <n v="0.90480149546260102"/>
    <n v="9.519850453739899E-2"/>
    <x v="7"/>
  </r>
  <r>
    <n v="10"/>
    <n v="67"/>
    <n v="0"/>
    <n v="2"/>
    <n v="3"/>
    <n v="3"/>
    <n v="0"/>
    <n v="10000"/>
    <n v="26"/>
    <n v="0"/>
    <n v="0.90488840375319146"/>
    <n v="9.5111596246808525E-2"/>
    <x v="7"/>
  </r>
  <r>
    <n v="10"/>
    <n v="74"/>
    <n v="4"/>
    <n v="0"/>
    <n v="3"/>
    <n v="8"/>
    <n v="0"/>
    <n v="6000"/>
    <n v="2"/>
    <n v="1"/>
    <n v="0.90490634183123142"/>
    <n v="9.509365816876858E-2"/>
    <x v="7"/>
  </r>
  <r>
    <n v="5"/>
    <n v="51"/>
    <n v="5"/>
    <n v="0"/>
    <n v="3"/>
    <n v="8"/>
    <n v="3"/>
    <n v="0.01"/>
    <n v="4"/>
    <n v="0"/>
    <n v="0.90490821574652236"/>
    <n v="9.5091784253477613E-2"/>
    <x v="7"/>
  </r>
  <r>
    <n v="9"/>
    <n v="72"/>
    <n v="1"/>
    <n v="0"/>
    <n v="3"/>
    <n v="3"/>
    <n v="0"/>
    <n v="10937.59"/>
    <n v="8"/>
    <n v="0"/>
    <n v="0.90502229579026006"/>
    <n v="9.497770420973993E-2"/>
    <x v="7"/>
  </r>
  <r>
    <n v="8"/>
    <n v="65"/>
    <n v="4"/>
    <n v="0"/>
    <n v="3"/>
    <n v="3"/>
    <n v="2"/>
    <n v="5000"/>
    <n v="5"/>
    <n v="0"/>
    <n v="0.90526726137939129"/>
    <n v="9.473273862060877E-2"/>
    <x v="7"/>
  </r>
  <r>
    <n v="10"/>
    <n v="74"/>
    <n v="2"/>
    <n v="0"/>
    <n v="3"/>
    <n v="3"/>
    <n v="2"/>
    <n v="4000.01"/>
    <n v="7"/>
    <n v="0"/>
    <n v="0.90531581405488781"/>
    <n v="9.4684185945112201E-2"/>
    <x v="7"/>
  </r>
  <r>
    <n v="7"/>
    <n v="51"/>
    <n v="4"/>
    <n v="2"/>
    <n v="2"/>
    <n v="0"/>
    <n v="3"/>
    <n v="0.01"/>
    <n v="4"/>
    <n v="0"/>
    <n v="0.90532690004811855"/>
    <n v="9.4673099951881459E-2"/>
    <x v="7"/>
  </r>
  <r>
    <n v="9"/>
    <n v="65"/>
    <n v="2"/>
    <n v="1"/>
    <n v="3"/>
    <n v="3"/>
    <n v="2"/>
    <n v="4000"/>
    <n v="5"/>
    <n v="0"/>
    <n v="0.90533287417760988"/>
    <n v="9.4667125822390077E-2"/>
    <x v="7"/>
  </r>
  <r>
    <n v="8"/>
    <n v="66"/>
    <n v="3"/>
    <n v="0"/>
    <n v="4"/>
    <n v="9"/>
    <n v="0"/>
    <n v="6000"/>
    <n v="8"/>
    <n v="0"/>
    <n v="0.90541666733841619"/>
    <n v="9.4583332661583822E-2"/>
    <x v="7"/>
  </r>
  <r>
    <n v="6"/>
    <n v="57"/>
    <n v="1"/>
    <n v="0"/>
    <n v="3"/>
    <n v="8"/>
    <n v="3"/>
    <n v="0.01"/>
    <n v="8"/>
    <n v="0"/>
    <n v="0.90550674588173219"/>
    <n v="9.4493254118267797E-2"/>
    <x v="7"/>
  </r>
  <r>
    <n v="11"/>
    <n v="77"/>
    <n v="2"/>
    <n v="0"/>
    <n v="4"/>
    <n v="9"/>
    <n v="2"/>
    <n v="2000"/>
    <n v="5"/>
    <n v="1"/>
    <n v="0.90565460702418421"/>
    <n v="9.4345392975815845E-2"/>
    <x v="7"/>
  </r>
  <r>
    <n v="6"/>
    <n v="57"/>
    <n v="4"/>
    <n v="0"/>
    <n v="3"/>
    <n v="3"/>
    <n v="2"/>
    <n v="4551.9799999999996"/>
    <n v="5"/>
    <n v="0"/>
    <n v="0.90584585839389553"/>
    <n v="9.4154141606104483E-2"/>
    <x v="7"/>
  </r>
  <r>
    <n v="5"/>
    <n v="48"/>
    <n v="4"/>
    <n v="1"/>
    <n v="3"/>
    <n v="3"/>
    <n v="2"/>
    <n v="2700"/>
    <n v="5"/>
    <n v="0"/>
    <n v="0.90589811840274748"/>
    <n v="9.4101881597252579E-2"/>
    <x v="7"/>
  </r>
  <r>
    <n v="7"/>
    <n v="58"/>
    <n v="1"/>
    <n v="1"/>
    <n v="1"/>
    <n v="7"/>
    <n v="2"/>
    <n v="50.01"/>
    <n v="8"/>
    <n v="0"/>
    <n v="0.90597645729659149"/>
    <n v="9.4023542703408486E-2"/>
    <x v="7"/>
  </r>
  <r>
    <n v="8"/>
    <n v="66"/>
    <n v="3"/>
    <n v="0"/>
    <n v="3"/>
    <n v="3"/>
    <n v="2"/>
    <n v="3400.01"/>
    <n v="26"/>
    <n v="0"/>
    <n v="0.90607567308018744"/>
    <n v="9.3924326919812576E-2"/>
    <x v="7"/>
  </r>
  <r>
    <n v="7"/>
    <n v="66"/>
    <n v="0"/>
    <n v="0"/>
    <n v="0"/>
    <n v="2"/>
    <n v="0"/>
    <n v="9000"/>
    <n v="8"/>
    <n v="0"/>
    <n v="0.90608678448097302"/>
    <n v="9.3913215519026927E-2"/>
    <x v="7"/>
  </r>
  <r>
    <n v="10"/>
    <n v="76"/>
    <n v="1"/>
    <n v="0"/>
    <n v="3"/>
    <n v="3"/>
    <n v="0"/>
    <n v="6000"/>
    <n v="2"/>
    <n v="1"/>
    <n v="0.90610360718012095"/>
    <n v="9.3896392819879076E-2"/>
    <x v="7"/>
  </r>
  <r>
    <n v="8"/>
    <n v="62"/>
    <n v="2"/>
    <n v="1"/>
    <n v="2"/>
    <n v="1"/>
    <n v="2"/>
    <n v="2679.2"/>
    <n v="18"/>
    <n v="0"/>
    <n v="0.90611962468505092"/>
    <n v="9.3880375314949055E-2"/>
    <x v="7"/>
  </r>
  <r>
    <n v="6"/>
    <n v="57"/>
    <n v="5"/>
    <n v="0"/>
    <n v="1"/>
    <n v="7"/>
    <n v="2"/>
    <n v="200"/>
    <n v="1"/>
    <n v="0"/>
    <n v="0.90614932251365288"/>
    <n v="9.385067748634715E-2"/>
    <x v="7"/>
  </r>
  <r>
    <n v="9"/>
    <n v="71"/>
    <n v="0"/>
    <n v="0"/>
    <n v="3"/>
    <n v="3"/>
    <n v="2"/>
    <n v="3000"/>
    <n v="8"/>
    <n v="0"/>
    <n v="0.9062474432566"/>
    <n v="9.3752556743400023E-2"/>
    <x v="7"/>
  </r>
  <r>
    <n v="9"/>
    <n v="68"/>
    <n v="4"/>
    <n v="0"/>
    <n v="3"/>
    <n v="8"/>
    <n v="3"/>
    <n v="0.01"/>
    <n v="8"/>
    <n v="0"/>
    <n v="0.90633079512962089"/>
    <n v="9.366920487037915E-2"/>
    <x v="7"/>
  </r>
  <r>
    <n v="7"/>
    <n v="57"/>
    <n v="1"/>
    <n v="1"/>
    <n v="1"/>
    <n v="12"/>
    <n v="3"/>
    <n v="0.01"/>
    <n v="13"/>
    <n v="0"/>
    <n v="0.90639644370641836"/>
    <n v="9.3603556293581663E-2"/>
    <x v="7"/>
  </r>
  <r>
    <n v="4"/>
    <n v="51"/>
    <n v="5"/>
    <n v="0"/>
    <n v="0"/>
    <n v="11"/>
    <n v="0"/>
    <n v="12000"/>
    <n v="8"/>
    <n v="0"/>
    <n v="0.90647986865243091"/>
    <n v="9.3520131347569091E-2"/>
    <x v="7"/>
  </r>
  <r>
    <n v="9"/>
    <n v="63"/>
    <n v="2"/>
    <n v="2"/>
    <n v="1"/>
    <n v="5"/>
    <n v="0"/>
    <n v="18000"/>
    <n v="9"/>
    <n v="0"/>
    <n v="0.90648672572973665"/>
    <n v="9.3513274270263375E-2"/>
    <x v="7"/>
  </r>
  <r>
    <n v="4"/>
    <n v="51"/>
    <n v="1"/>
    <n v="0"/>
    <n v="0"/>
    <n v="11"/>
    <n v="2"/>
    <n v="2000"/>
    <n v="7"/>
    <n v="0"/>
    <n v="0.90649769769059252"/>
    <n v="9.3502302309407426E-2"/>
    <x v="7"/>
  </r>
  <r>
    <n v="10"/>
    <n v="74"/>
    <n v="5"/>
    <n v="0"/>
    <n v="3"/>
    <n v="8"/>
    <n v="0"/>
    <n v="8750"/>
    <n v="4"/>
    <n v="1"/>
    <n v="0.90655431615481352"/>
    <n v="9.3445683845186478E-2"/>
    <x v="7"/>
  </r>
  <r>
    <n v="7"/>
    <n v="64"/>
    <n v="1"/>
    <n v="0"/>
    <n v="0"/>
    <n v="2"/>
    <n v="2"/>
    <n v="3000"/>
    <n v="5"/>
    <n v="0"/>
    <n v="0.90672309889321701"/>
    <n v="9.3276901106783022E-2"/>
    <x v="7"/>
  </r>
  <r>
    <n v="9"/>
    <n v="64"/>
    <n v="5"/>
    <n v="1"/>
    <n v="3"/>
    <n v="3"/>
    <n v="2"/>
    <n v="3000"/>
    <n v="8"/>
    <n v="0"/>
    <n v="0.90673672816912554"/>
    <n v="9.326327183087442E-2"/>
    <x v="7"/>
  </r>
  <r>
    <n v="8"/>
    <n v="67"/>
    <n v="4"/>
    <n v="0"/>
    <n v="3"/>
    <n v="3"/>
    <n v="0"/>
    <n v="12053.35"/>
    <n v="7"/>
    <n v="0"/>
    <n v="0.90683262254696073"/>
    <n v="9.3167377453039324E-2"/>
    <x v="7"/>
  </r>
  <r>
    <n v="8"/>
    <n v="68"/>
    <n v="1"/>
    <n v="0"/>
    <n v="0"/>
    <n v="4"/>
    <n v="2"/>
    <n v="1000"/>
    <n v="12"/>
    <n v="0"/>
    <n v="0.90690766910060361"/>
    <n v="9.3092330899396364E-2"/>
    <x v="7"/>
  </r>
  <r>
    <n v="5"/>
    <n v="51"/>
    <n v="1"/>
    <n v="1"/>
    <n v="3"/>
    <n v="3"/>
    <n v="0"/>
    <n v="6000"/>
    <n v="2"/>
    <n v="0"/>
    <n v="0.90692697583296134"/>
    <n v="9.3073024167038665E-2"/>
    <x v="7"/>
  </r>
  <r>
    <n v="8"/>
    <n v="67"/>
    <n v="5"/>
    <n v="0"/>
    <n v="1"/>
    <n v="7"/>
    <n v="0"/>
    <n v="6000.01"/>
    <n v="7"/>
    <n v="0"/>
    <n v="0.90693094225559934"/>
    <n v="9.3069057744400691E-2"/>
    <x v="7"/>
  </r>
  <r>
    <n v="5"/>
    <n v="55"/>
    <n v="3"/>
    <n v="0"/>
    <n v="0"/>
    <n v="4"/>
    <n v="2"/>
    <n v="3000"/>
    <n v="10"/>
    <n v="0"/>
    <n v="0.90697891667745278"/>
    <n v="9.3021083322547216E-2"/>
    <x v="7"/>
  </r>
  <r>
    <n v="6"/>
    <n v="56"/>
    <n v="5"/>
    <n v="0"/>
    <n v="3"/>
    <n v="3"/>
    <n v="3"/>
    <n v="0.01"/>
    <n v="8"/>
    <n v="0"/>
    <n v="0.90700104079515464"/>
    <n v="9.2998959204845341E-2"/>
    <x v="7"/>
  </r>
  <r>
    <n v="6"/>
    <n v="48"/>
    <n v="3"/>
    <n v="2"/>
    <n v="3"/>
    <n v="3"/>
    <n v="2"/>
    <n v="3100"/>
    <n v="14"/>
    <n v="0"/>
    <n v="0.90702128489603839"/>
    <n v="9.2978715103961593E-2"/>
    <x v="7"/>
  </r>
  <r>
    <n v="5"/>
    <n v="55"/>
    <n v="5"/>
    <n v="0"/>
    <n v="0"/>
    <n v="11"/>
    <n v="0"/>
    <n v="6673.5"/>
    <n v="7"/>
    <n v="0"/>
    <n v="0.90705858612608314"/>
    <n v="9.2941413873916856E-2"/>
    <x v="7"/>
  </r>
  <r>
    <n v="11"/>
    <n v="75"/>
    <n v="2"/>
    <n v="1"/>
    <n v="3"/>
    <n v="3"/>
    <n v="0"/>
    <n v="6105.32"/>
    <n v="7"/>
    <n v="0"/>
    <n v="0.90706000912138174"/>
    <n v="9.2939990878618275E-2"/>
    <x v="7"/>
  </r>
  <r>
    <n v="8"/>
    <n v="62"/>
    <n v="4"/>
    <n v="1"/>
    <n v="1"/>
    <n v="12"/>
    <n v="0"/>
    <n v="6000"/>
    <n v="2"/>
    <n v="1"/>
    <n v="0.90711455755773585"/>
    <n v="9.2885442442264196E-2"/>
    <x v="7"/>
  </r>
  <r>
    <n v="7"/>
    <n v="60"/>
    <n v="5"/>
    <n v="0"/>
    <n v="3"/>
    <n v="3"/>
    <n v="3"/>
    <n v="0.01"/>
    <n v="4"/>
    <n v="0"/>
    <n v="0.90717958278923805"/>
    <n v="9.2820417210761966E-2"/>
    <x v="7"/>
  </r>
  <r>
    <n v="3"/>
    <n v="46"/>
    <n v="1"/>
    <n v="0"/>
    <n v="3"/>
    <n v="8"/>
    <n v="2"/>
    <n v="4000.01"/>
    <n v="5"/>
    <n v="0"/>
    <n v="0.90742602080122969"/>
    <n v="9.2573979198770306E-2"/>
    <x v="7"/>
  </r>
  <r>
    <n v="7"/>
    <n v="65"/>
    <n v="2"/>
    <n v="0"/>
    <n v="0"/>
    <n v="4"/>
    <n v="1"/>
    <n v="32437.64"/>
    <n v="3"/>
    <n v="0"/>
    <n v="0.90744645067266594"/>
    <n v="9.2553549327334034E-2"/>
    <x v="7"/>
  </r>
  <r>
    <n v="7"/>
    <n v="65"/>
    <n v="0"/>
    <n v="0"/>
    <n v="3"/>
    <n v="3"/>
    <n v="0"/>
    <n v="18000"/>
    <n v="8"/>
    <n v="0"/>
    <n v="0.90744692029731833"/>
    <n v="9.2553079702681645E-2"/>
    <x v="7"/>
  </r>
  <r>
    <n v="5"/>
    <n v="55"/>
    <n v="0"/>
    <n v="0"/>
    <n v="3"/>
    <n v="3"/>
    <n v="2"/>
    <n v="5000"/>
    <n v="3"/>
    <n v="0"/>
    <n v="0.9075384641289479"/>
    <n v="9.2461535871052061E-2"/>
    <x v="7"/>
  </r>
  <r>
    <n v="7"/>
    <n v="64"/>
    <n v="5"/>
    <n v="0"/>
    <n v="0"/>
    <n v="4"/>
    <n v="0"/>
    <n v="12050"/>
    <n v="8"/>
    <n v="0"/>
    <n v="0.90754270379572921"/>
    <n v="9.2457296204270803E-2"/>
    <x v="7"/>
  </r>
  <r>
    <n v="9"/>
    <n v="70"/>
    <n v="5"/>
    <n v="0"/>
    <n v="2"/>
    <n v="0"/>
    <n v="2"/>
    <n v="1000"/>
    <n v="19"/>
    <n v="1"/>
    <n v="0.90755883090389222"/>
    <n v="9.2441169096107806E-2"/>
    <x v="7"/>
  </r>
  <r>
    <n v="6"/>
    <n v="58"/>
    <n v="4"/>
    <n v="0"/>
    <n v="0"/>
    <n v="2"/>
    <n v="3"/>
    <n v="0.01"/>
    <n v="5"/>
    <n v="0"/>
    <n v="0.9076012464354889"/>
    <n v="9.2398753564511077E-2"/>
    <x v="7"/>
  </r>
  <r>
    <n v="7"/>
    <n v="57"/>
    <n v="4"/>
    <n v="1"/>
    <n v="0"/>
    <n v="4"/>
    <n v="3"/>
    <n v="0.01"/>
    <n v="5"/>
    <n v="0"/>
    <n v="0.90781606985810714"/>
    <n v="9.218393014189287E-2"/>
    <x v="7"/>
  </r>
  <r>
    <n v="5"/>
    <n v="55"/>
    <n v="5"/>
    <n v="0"/>
    <n v="1"/>
    <n v="12"/>
    <n v="0"/>
    <n v="20000"/>
    <n v="9"/>
    <n v="1"/>
    <n v="0.9078874752654813"/>
    <n v="9.2112524734518655E-2"/>
    <x v="7"/>
  </r>
  <r>
    <n v="4"/>
    <n v="52"/>
    <n v="3"/>
    <n v="0"/>
    <n v="0"/>
    <n v="11"/>
    <n v="0"/>
    <n v="11000"/>
    <n v="2"/>
    <n v="0"/>
    <n v="0.90790192868410469"/>
    <n v="9.2098071315895355E-2"/>
    <x v="7"/>
  </r>
  <r>
    <n v="8"/>
    <n v="61"/>
    <n v="3"/>
    <n v="1"/>
    <n v="3"/>
    <n v="3"/>
    <n v="2"/>
    <n v="2000"/>
    <n v="6"/>
    <n v="0"/>
    <n v="0.90797842255170025"/>
    <n v="9.2021577448299779E-2"/>
    <x v="7"/>
  </r>
  <r>
    <n v="8"/>
    <n v="67"/>
    <n v="2"/>
    <n v="0"/>
    <n v="2"/>
    <n v="1"/>
    <n v="2"/>
    <n v="18.829999999999998"/>
    <n v="8"/>
    <n v="0"/>
    <n v="0.90801871897074982"/>
    <n v="9.1981281029250198E-2"/>
    <x v="7"/>
  </r>
  <r>
    <n v="10"/>
    <n v="74"/>
    <n v="3"/>
    <n v="0"/>
    <n v="3"/>
    <n v="3"/>
    <n v="2"/>
    <n v="2000"/>
    <n v="5"/>
    <n v="0"/>
    <n v="0.90803141679473365"/>
    <n v="9.196858320526631E-2"/>
    <x v="7"/>
  </r>
  <r>
    <n v="8"/>
    <n v="62"/>
    <n v="5"/>
    <n v="1"/>
    <n v="3"/>
    <n v="3"/>
    <n v="0"/>
    <n v="15000"/>
    <n v="8"/>
    <n v="0"/>
    <n v="0.90808193822984529"/>
    <n v="9.1918061770154727E-2"/>
    <x v="7"/>
  </r>
  <r>
    <n v="5"/>
    <n v="51"/>
    <n v="2"/>
    <n v="1"/>
    <n v="2"/>
    <n v="6"/>
    <n v="0"/>
    <n v="6000"/>
    <n v="2"/>
    <n v="0"/>
    <n v="0.90813088979197698"/>
    <n v="9.1869110208023047E-2"/>
    <x v="7"/>
  </r>
  <r>
    <n v="6"/>
    <n v="51"/>
    <n v="5"/>
    <n v="1"/>
    <n v="4"/>
    <n v="9"/>
    <n v="2"/>
    <n v="2000"/>
    <n v="1"/>
    <n v="0"/>
    <n v="0.90848583073770262"/>
    <n v="9.1514169262297357E-2"/>
    <x v="7"/>
  </r>
  <r>
    <n v="11"/>
    <n v="74"/>
    <n v="3"/>
    <n v="1"/>
    <n v="0"/>
    <n v="11"/>
    <n v="2"/>
    <n v="5000"/>
    <n v="5"/>
    <n v="0"/>
    <n v="0.90849524856468067"/>
    <n v="9.1504751435319345E-2"/>
    <x v="7"/>
  </r>
  <r>
    <n v="7"/>
    <n v="62"/>
    <n v="3"/>
    <n v="0"/>
    <n v="3"/>
    <n v="3"/>
    <n v="2"/>
    <n v="76.900000000000006"/>
    <n v="10"/>
    <n v="0"/>
    <n v="0.90850951982870443"/>
    <n v="9.1490480171295532E-2"/>
    <x v="7"/>
  </r>
  <r>
    <n v="5"/>
    <n v="45"/>
    <n v="1"/>
    <n v="2"/>
    <n v="3"/>
    <n v="3"/>
    <n v="2"/>
    <n v="600"/>
    <n v="11"/>
    <n v="0"/>
    <n v="0.90856756776591507"/>
    <n v="9.1432432234084926E-2"/>
    <x v="7"/>
  </r>
  <r>
    <n v="6"/>
    <n v="57"/>
    <n v="5"/>
    <n v="0"/>
    <n v="2"/>
    <n v="1"/>
    <n v="3"/>
    <n v="0.01"/>
    <n v="7"/>
    <n v="0"/>
    <n v="0.90884476269374403"/>
    <n v="9.1155237306256007E-2"/>
    <x v="7"/>
  </r>
  <r>
    <n v="6"/>
    <n v="61"/>
    <n v="1"/>
    <n v="0"/>
    <n v="1"/>
    <n v="7"/>
    <n v="0"/>
    <n v="5500.01"/>
    <n v="5"/>
    <n v="0"/>
    <n v="0.90898308109207393"/>
    <n v="9.1016918907926084E-2"/>
    <x v="7"/>
  </r>
  <r>
    <n v="11"/>
    <n v="79"/>
    <n v="5"/>
    <n v="0"/>
    <n v="0"/>
    <n v="2"/>
    <n v="2"/>
    <n v="3000"/>
    <n v="9"/>
    <n v="0"/>
    <n v="0.90904863612580655"/>
    <n v="9.0951363874193461E-2"/>
    <x v="7"/>
  </r>
  <r>
    <n v="9"/>
    <n v="72"/>
    <n v="1"/>
    <n v="0"/>
    <n v="1"/>
    <n v="5"/>
    <n v="2"/>
    <n v="1500"/>
    <n v="15"/>
    <n v="0"/>
    <n v="0.90909879023140028"/>
    <n v="9.0901209768599667E-2"/>
    <x v="7"/>
  </r>
  <r>
    <n v="7"/>
    <n v="64"/>
    <n v="2"/>
    <n v="0"/>
    <n v="0"/>
    <n v="2"/>
    <n v="2"/>
    <n v="4000"/>
    <n v="2"/>
    <n v="0"/>
    <n v="0.90910957893462863"/>
    <n v="9.0890421065371388E-2"/>
    <x v="7"/>
  </r>
  <r>
    <n v="6"/>
    <n v="53"/>
    <n v="5"/>
    <n v="1"/>
    <n v="2"/>
    <n v="1"/>
    <n v="2"/>
    <n v="3000"/>
    <n v="9"/>
    <n v="0"/>
    <n v="0.90912320297511362"/>
    <n v="9.087679702488638E-2"/>
    <x v="7"/>
  </r>
  <r>
    <n v="3"/>
    <n v="46"/>
    <n v="1"/>
    <n v="0"/>
    <n v="3"/>
    <n v="3"/>
    <n v="3"/>
    <n v="0.01"/>
    <n v="7"/>
    <n v="0"/>
    <n v="0.90912873635239577"/>
    <n v="9.0871263647604242E-2"/>
    <x v="7"/>
  </r>
  <r>
    <n v="4"/>
    <n v="51"/>
    <n v="1"/>
    <n v="0"/>
    <n v="3"/>
    <n v="3"/>
    <n v="2"/>
    <n v="2550"/>
    <n v="14"/>
    <n v="0"/>
    <n v="0.90913174527882101"/>
    <n v="9.0868254721179029E-2"/>
    <x v="7"/>
  </r>
  <r>
    <n v="6"/>
    <n v="54"/>
    <n v="1"/>
    <n v="1"/>
    <n v="1"/>
    <n v="5"/>
    <n v="3"/>
    <n v="0.01"/>
    <n v="5"/>
    <n v="0"/>
    <n v="0.90932806502429819"/>
    <n v="9.0671934975701821E-2"/>
    <x v="7"/>
  </r>
  <r>
    <n v="8"/>
    <n v="69"/>
    <n v="3"/>
    <n v="0"/>
    <n v="0"/>
    <n v="4"/>
    <n v="0"/>
    <n v="6000"/>
    <n v="1"/>
    <n v="0"/>
    <n v="0.90947851134743962"/>
    <n v="9.052148865256035E-2"/>
    <x v="7"/>
  </r>
  <r>
    <n v="9"/>
    <n v="68"/>
    <n v="4"/>
    <n v="0"/>
    <n v="4"/>
    <n v="9"/>
    <n v="3"/>
    <n v="0.01"/>
    <n v="5"/>
    <n v="0"/>
    <n v="0.90948839935632653"/>
    <n v="9.0511600643673432E-2"/>
    <x v="7"/>
  </r>
  <r>
    <n v="5"/>
    <n v="50"/>
    <n v="4"/>
    <n v="1"/>
    <n v="1"/>
    <n v="12"/>
    <n v="1"/>
    <n v="20435.71"/>
    <n v="3"/>
    <n v="0"/>
    <n v="0.90949084331243768"/>
    <n v="9.0509156687562348E-2"/>
    <x v="7"/>
  </r>
  <r>
    <n v="4"/>
    <n v="51"/>
    <n v="5"/>
    <n v="0"/>
    <n v="1"/>
    <n v="12"/>
    <n v="0"/>
    <n v="8994.89"/>
    <n v="10"/>
    <n v="0"/>
    <n v="0.90950271224925028"/>
    <n v="9.0497287750749736E-2"/>
    <x v="7"/>
  </r>
  <r>
    <n v="3"/>
    <n v="41"/>
    <n v="3"/>
    <n v="1"/>
    <n v="2"/>
    <n v="1"/>
    <n v="3"/>
    <n v="0.01"/>
    <n v="8"/>
    <n v="0"/>
    <n v="0.90966622476104952"/>
    <n v="9.0333775238950462E-2"/>
    <x v="7"/>
  </r>
  <r>
    <n v="7"/>
    <n v="54"/>
    <n v="3"/>
    <n v="2"/>
    <n v="3"/>
    <n v="3"/>
    <n v="0"/>
    <n v="6000"/>
    <n v="8"/>
    <n v="0"/>
    <n v="0.90971301076495159"/>
    <n v="9.0286989235048382E-2"/>
    <x v="7"/>
  </r>
  <r>
    <n v="9"/>
    <n v="67"/>
    <n v="1"/>
    <n v="1"/>
    <n v="0"/>
    <n v="11"/>
    <n v="2"/>
    <n v="4000"/>
    <n v="5"/>
    <n v="0"/>
    <n v="0.90975294731331702"/>
    <n v="9.0247052686682927E-2"/>
    <x v="7"/>
  </r>
  <r>
    <n v="11"/>
    <n v="69"/>
    <n v="2"/>
    <n v="2"/>
    <n v="0"/>
    <n v="11"/>
    <n v="3"/>
    <n v="0.01"/>
    <n v="9"/>
    <n v="0"/>
    <n v="0.90975365624370985"/>
    <n v="9.0246343756290162E-2"/>
    <x v="7"/>
  </r>
  <r>
    <n v="11"/>
    <n v="78"/>
    <n v="5"/>
    <n v="0"/>
    <n v="4"/>
    <n v="9"/>
    <n v="0"/>
    <n v="6000"/>
    <n v="1"/>
    <n v="1"/>
    <n v="0.90982082159966959"/>
    <n v="9.0179178400330379E-2"/>
    <x v="7"/>
  </r>
  <r>
    <n v="4"/>
    <n v="51"/>
    <n v="1"/>
    <n v="0"/>
    <n v="3"/>
    <n v="3"/>
    <n v="2"/>
    <n v="2500"/>
    <n v="6"/>
    <n v="0"/>
    <n v="0.90998406313609614"/>
    <n v="9.0015936863903828E-2"/>
    <x v="7"/>
  </r>
  <r>
    <n v="8"/>
    <n v="57"/>
    <n v="2"/>
    <n v="2"/>
    <n v="3"/>
    <n v="3"/>
    <n v="2"/>
    <n v="3000"/>
    <n v="8"/>
    <n v="0"/>
    <n v="0.90998849471980603"/>
    <n v="9.0011505280193985E-2"/>
    <x v="7"/>
  </r>
  <r>
    <n v="7"/>
    <n v="63"/>
    <n v="1"/>
    <n v="0"/>
    <n v="3"/>
    <n v="3"/>
    <n v="2"/>
    <n v="100"/>
    <n v="1"/>
    <n v="0"/>
    <n v="0.91008452541301632"/>
    <n v="8.9915474586983637E-2"/>
    <x v="7"/>
  </r>
  <r>
    <n v="9"/>
    <n v="74"/>
    <n v="2"/>
    <n v="0"/>
    <n v="0"/>
    <n v="4"/>
    <n v="0"/>
    <n v="11605.32"/>
    <n v="12"/>
    <n v="0"/>
    <n v="0.9101089799126213"/>
    <n v="8.989102008737869E-2"/>
    <x v="7"/>
  </r>
  <r>
    <n v="3"/>
    <n v="44"/>
    <n v="5"/>
    <n v="0"/>
    <n v="3"/>
    <n v="8"/>
    <n v="3"/>
    <n v="0.01"/>
    <n v="7"/>
    <n v="0"/>
    <n v="0.91014059791514157"/>
    <n v="8.9859402084858445E-2"/>
    <x v="7"/>
  </r>
  <r>
    <n v="4"/>
    <n v="51"/>
    <n v="1"/>
    <n v="0"/>
    <n v="1"/>
    <n v="5"/>
    <n v="3"/>
    <n v="0.01"/>
    <n v="5"/>
    <n v="0"/>
    <n v="0.91026659152657952"/>
    <n v="8.9733408473420442E-2"/>
    <x v="7"/>
  </r>
  <r>
    <n v="8"/>
    <n v="66"/>
    <n v="0"/>
    <n v="1"/>
    <n v="0"/>
    <n v="2"/>
    <n v="0"/>
    <n v="12500"/>
    <n v="4"/>
    <n v="0"/>
    <n v="0.91035880976387773"/>
    <n v="8.9641190236122215E-2"/>
    <x v="7"/>
  </r>
  <r>
    <n v="6"/>
    <n v="55"/>
    <n v="1"/>
    <n v="1"/>
    <n v="1"/>
    <n v="5"/>
    <n v="2"/>
    <n v="2000"/>
    <n v="5"/>
    <n v="0"/>
    <n v="0.91038931983971794"/>
    <n v="8.9610680160282022E-2"/>
    <x v="7"/>
  </r>
  <r>
    <n v="7"/>
    <n v="57"/>
    <n v="3"/>
    <n v="1"/>
    <n v="3"/>
    <n v="8"/>
    <n v="2"/>
    <n v="1000"/>
    <n v="8"/>
    <n v="0"/>
    <n v="0.91041459321154761"/>
    <n v="8.9585406788452365E-2"/>
    <x v="7"/>
  </r>
  <r>
    <n v="8"/>
    <n v="58"/>
    <n v="1"/>
    <n v="2"/>
    <n v="1"/>
    <n v="7"/>
    <n v="2"/>
    <n v="3000"/>
    <n v="3"/>
    <n v="0"/>
    <n v="0.91043022181663713"/>
    <n v="8.9569778183362869E-2"/>
    <x v="7"/>
  </r>
  <r>
    <n v="8"/>
    <n v="69"/>
    <n v="3"/>
    <n v="0"/>
    <n v="2"/>
    <n v="0"/>
    <n v="0"/>
    <n v="14060.1"/>
    <n v="8"/>
    <n v="0"/>
    <n v="0.91053570469903544"/>
    <n v="8.9464295300964516E-2"/>
    <x v="7"/>
  </r>
  <r>
    <n v="5"/>
    <n v="57"/>
    <n v="2"/>
    <n v="0"/>
    <n v="1"/>
    <n v="5"/>
    <n v="0"/>
    <n v="6000"/>
    <n v="3"/>
    <n v="0"/>
    <n v="0.91063319632590456"/>
    <n v="8.9366803674095413E-2"/>
    <x v="7"/>
  </r>
  <r>
    <n v="5"/>
    <n v="45"/>
    <n v="3"/>
    <n v="2"/>
    <n v="0"/>
    <n v="4"/>
    <n v="3"/>
    <n v="0.01"/>
    <n v="5"/>
    <n v="0"/>
    <n v="0.91066467354397418"/>
    <n v="8.9335326456025863E-2"/>
    <x v="7"/>
  </r>
  <r>
    <n v="3"/>
    <n v="41"/>
    <n v="2"/>
    <n v="1"/>
    <n v="3"/>
    <n v="3"/>
    <n v="3"/>
    <n v="0.01"/>
    <n v="8"/>
    <n v="0"/>
    <n v="0.91073703007293272"/>
    <n v="8.9262969927067309E-2"/>
    <x v="7"/>
  </r>
  <r>
    <n v="9"/>
    <n v="67"/>
    <n v="4"/>
    <n v="1"/>
    <n v="3"/>
    <n v="3"/>
    <n v="0"/>
    <n v="16000"/>
    <n v="5"/>
    <n v="0"/>
    <n v="0.91080715742039076"/>
    <n v="8.9192842579609216E-2"/>
    <x v="7"/>
  </r>
  <r>
    <n v="10"/>
    <n v="67"/>
    <n v="5"/>
    <n v="2"/>
    <n v="0"/>
    <n v="4"/>
    <n v="0"/>
    <n v="12000"/>
    <n v="7"/>
    <n v="0"/>
    <n v="0.91098180039532062"/>
    <n v="8.9018199604679341E-2"/>
    <x v="7"/>
  </r>
  <r>
    <n v="8"/>
    <n v="68"/>
    <n v="1"/>
    <n v="0"/>
    <n v="4"/>
    <n v="9"/>
    <n v="0"/>
    <n v="10193.870000000001"/>
    <n v="3"/>
    <n v="0"/>
    <n v="0.9110338577476943"/>
    <n v="8.8966142252305702E-2"/>
    <x v="7"/>
  </r>
  <r>
    <n v="4"/>
    <n v="51"/>
    <n v="2"/>
    <n v="0"/>
    <n v="1"/>
    <n v="12"/>
    <n v="2"/>
    <n v="3000"/>
    <n v="10"/>
    <n v="0"/>
    <n v="0.91103616348827576"/>
    <n v="8.8963836511724223E-2"/>
    <x v="7"/>
  </r>
  <r>
    <n v="7"/>
    <n v="64"/>
    <n v="2"/>
    <n v="0"/>
    <n v="2"/>
    <n v="1"/>
    <n v="2"/>
    <n v="3500"/>
    <n v="24"/>
    <n v="0"/>
    <n v="0.91106473995746673"/>
    <n v="8.8935260042533298E-2"/>
    <x v="7"/>
  </r>
  <r>
    <n v="3"/>
    <n v="46"/>
    <n v="2"/>
    <n v="0"/>
    <n v="3"/>
    <n v="3"/>
    <n v="3"/>
    <n v="0.01"/>
    <n v="9"/>
    <n v="0"/>
    <n v="0.91107040911416626"/>
    <n v="8.892959088583377E-2"/>
    <x v="7"/>
  </r>
  <r>
    <n v="8"/>
    <n v="68"/>
    <n v="3"/>
    <n v="0"/>
    <n v="3"/>
    <n v="3"/>
    <n v="0"/>
    <n v="6000"/>
    <n v="1"/>
    <n v="1"/>
    <n v="0.91108012524240078"/>
    <n v="8.8919874757599257E-2"/>
    <x v="7"/>
  </r>
  <r>
    <n v="8"/>
    <n v="63"/>
    <n v="2"/>
    <n v="1"/>
    <n v="3"/>
    <n v="8"/>
    <n v="1"/>
    <n v="24130.32"/>
    <n v="8"/>
    <n v="0"/>
    <n v="0.91120606567688167"/>
    <n v="8.8793934323118343E-2"/>
    <x v="7"/>
  </r>
  <r>
    <n v="6"/>
    <n v="60"/>
    <n v="1"/>
    <n v="0"/>
    <n v="2"/>
    <n v="1"/>
    <n v="2"/>
    <n v="3000"/>
    <n v="5"/>
    <n v="0"/>
    <n v="0.91122188838869156"/>
    <n v="8.8778111611308413E-2"/>
    <x v="7"/>
  </r>
  <r>
    <n v="9"/>
    <n v="73"/>
    <n v="5"/>
    <n v="0"/>
    <n v="0"/>
    <n v="4"/>
    <n v="0"/>
    <n v="17606.7"/>
    <n v="8"/>
    <n v="0"/>
    <n v="0.91126429922832008"/>
    <n v="8.8735700771679887E-2"/>
    <x v="7"/>
  </r>
  <r>
    <n v="7"/>
    <n v="62"/>
    <n v="4"/>
    <n v="0"/>
    <n v="0"/>
    <n v="11"/>
    <n v="3"/>
    <n v="0.01"/>
    <n v="6"/>
    <n v="0"/>
    <n v="0.91131435954734252"/>
    <n v="8.8685640452657533E-2"/>
    <x v="7"/>
  </r>
  <r>
    <n v="5"/>
    <n v="58"/>
    <n v="0"/>
    <n v="0"/>
    <n v="2"/>
    <n v="1"/>
    <n v="0"/>
    <n v="6105.32"/>
    <n v="7"/>
    <n v="0"/>
    <n v="0.91134075017185578"/>
    <n v="8.8659249828144174E-2"/>
    <x v="7"/>
  </r>
  <r>
    <n v="8"/>
    <n v="70"/>
    <n v="0"/>
    <n v="0"/>
    <n v="3"/>
    <n v="3"/>
    <n v="1"/>
    <n v="46105.32"/>
    <n v="12"/>
    <n v="1"/>
    <n v="0.91162110561309084"/>
    <n v="8.8378894386909157E-2"/>
    <x v="7"/>
  </r>
  <r>
    <n v="9"/>
    <n v="73"/>
    <n v="1"/>
    <n v="0"/>
    <n v="0"/>
    <n v="4"/>
    <n v="2"/>
    <n v="3000"/>
    <n v="9"/>
    <n v="0"/>
    <n v="0.91167282780180936"/>
    <n v="8.8327172198190584E-2"/>
    <x v="7"/>
  </r>
  <r>
    <n v="5"/>
    <n v="57"/>
    <n v="3"/>
    <n v="0"/>
    <n v="0"/>
    <n v="4"/>
    <n v="1"/>
    <n v="20391.150000000001"/>
    <n v="3"/>
    <n v="0"/>
    <n v="0.91170258026041417"/>
    <n v="8.8297419739585797E-2"/>
    <x v="7"/>
  </r>
  <r>
    <n v="4"/>
    <n v="51"/>
    <n v="3"/>
    <n v="0"/>
    <n v="0"/>
    <n v="4"/>
    <n v="3"/>
    <n v="0.01"/>
    <n v="5"/>
    <n v="0"/>
    <n v="0.91178161782201594"/>
    <n v="8.8218382177984042E-2"/>
    <x v="7"/>
  </r>
  <r>
    <n v="10"/>
    <n v="76"/>
    <n v="4"/>
    <n v="0"/>
    <n v="3"/>
    <n v="3"/>
    <n v="0"/>
    <n v="10530.53"/>
    <n v="4"/>
    <n v="0"/>
    <n v="0.9118149162089989"/>
    <n v="8.8185083791001054E-2"/>
    <x v="7"/>
  </r>
  <r>
    <n v="7"/>
    <n v="60"/>
    <n v="2"/>
    <n v="1"/>
    <n v="1"/>
    <n v="7"/>
    <n v="1"/>
    <n v="25000"/>
    <n v="1"/>
    <n v="0"/>
    <n v="0.91188743092716906"/>
    <n v="8.811256907283091E-2"/>
    <x v="7"/>
  </r>
  <r>
    <n v="9"/>
    <n v="70"/>
    <n v="2"/>
    <n v="0"/>
    <n v="3"/>
    <n v="8"/>
    <n v="3"/>
    <n v="0.01"/>
    <n v="8"/>
    <n v="0"/>
    <n v="0.9119256513220485"/>
    <n v="8.8074348677951539E-2"/>
    <x v="7"/>
  </r>
  <r>
    <n v="11"/>
    <n v="71"/>
    <n v="2"/>
    <n v="2"/>
    <n v="0"/>
    <n v="2"/>
    <n v="2"/>
    <n v="2500"/>
    <n v="5"/>
    <n v="0"/>
    <n v="0.91202973025357648"/>
    <n v="8.7970269746423579E-2"/>
    <x v="7"/>
  </r>
  <r>
    <n v="5"/>
    <n v="50"/>
    <n v="2"/>
    <n v="1"/>
    <n v="0"/>
    <n v="11"/>
    <n v="3"/>
    <n v="0.01"/>
    <n v="5"/>
    <n v="0"/>
    <n v="0.91207950970926976"/>
    <n v="8.7920490290730208E-2"/>
    <x v="7"/>
  </r>
  <r>
    <n v="5"/>
    <n v="50"/>
    <n v="2"/>
    <n v="1"/>
    <n v="0"/>
    <n v="11"/>
    <n v="3"/>
    <n v="0.01"/>
    <n v="5"/>
    <n v="0"/>
    <n v="0.91207950970926976"/>
    <n v="8.7920490290730208E-2"/>
    <x v="7"/>
  </r>
  <r>
    <n v="10"/>
    <n v="77"/>
    <n v="1"/>
    <n v="0"/>
    <n v="0"/>
    <n v="4"/>
    <n v="2"/>
    <n v="1000"/>
    <n v="4"/>
    <n v="0"/>
    <n v="0.91220494006847286"/>
    <n v="8.7795059931527128E-2"/>
    <x v="7"/>
  </r>
  <r>
    <n v="7"/>
    <n v="58"/>
    <n v="1"/>
    <n v="1"/>
    <n v="1"/>
    <n v="12"/>
    <n v="3"/>
    <n v="0.01"/>
    <n v="5"/>
    <n v="0"/>
    <n v="0.91220518398302208"/>
    <n v="8.7794816016977972E-2"/>
    <x v="7"/>
  </r>
  <r>
    <n v="9"/>
    <n v="67"/>
    <n v="2"/>
    <n v="1"/>
    <n v="0"/>
    <n v="4"/>
    <n v="3"/>
    <n v="0.01"/>
    <n v="11"/>
    <n v="0"/>
    <n v="0.91223576412344665"/>
    <n v="8.7764235876553298E-2"/>
    <x v="7"/>
  </r>
  <r>
    <n v="10"/>
    <n v="77"/>
    <n v="3"/>
    <n v="0"/>
    <n v="0"/>
    <n v="11"/>
    <n v="1"/>
    <n v="24078.35"/>
    <n v="11"/>
    <n v="0"/>
    <n v="0.91227215099029102"/>
    <n v="8.7727849009709008E-2"/>
    <x v="7"/>
  </r>
  <r>
    <n v="5"/>
    <n v="52"/>
    <n v="2"/>
    <n v="1"/>
    <n v="3"/>
    <n v="3"/>
    <n v="0"/>
    <n v="20000"/>
    <n v="1"/>
    <n v="0"/>
    <n v="0.91228674140461741"/>
    <n v="8.7713258595382565E-2"/>
    <x v="7"/>
  </r>
  <r>
    <n v="8"/>
    <n v="63"/>
    <n v="4"/>
    <n v="1"/>
    <n v="3"/>
    <n v="3"/>
    <n v="0"/>
    <n v="6000"/>
    <n v="3"/>
    <n v="1"/>
    <n v="0.91255470850252918"/>
    <n v="8.7445291497470851E-2"/>
    <x v="7"/>
  </r>
  <r>
    <n v="8"/>
    <n v="63"/>
    <n v="4"/>
    <n v="1"/>
    <n v="0"/>
    <n v="2"/>
    <n v="2"/>
    <n v="4500"/>
    <n v="2"/>
    <n v="0"/>
    <n v="0.91263137133107597"/>
    <n v="8.7368628668924059E-2"/>
    <x v="7"/>
  </r>
  <r>
    <n v="10"/>
    <n v="75"/>
    <n v="2"/>
    <n v="0"/>
    <n v="3"/>
    <n v="8"/>
    <n v="2"/>
    <n v="3000"/>
    <n v="7"/>
    <n v="0"/>
    <n v="0.9126930042639122"/>
    <n v="8.7306995736087772E-2"/>
    <x v="7"/>
  </r>
  <r>
    <n v="6"/>
    <n v="53"/>
    <n v="4"/>
    <n v="1"/>
    <n v="3"/>
    <n v="8"/>
    <n v="2"/>
    <n v="3000"/>
    <n v="6"/>
    <n v="1"/>
    <n v="0.91272571092650501"/>
    <n v="8.7274289073494979E-2"/>
    <x v="7"/>
  </r>
  <r>
    <n v="6"/>
    <n v="56"/>
    <n v="1"/>
    <n v="1"/>
    <n v="0"/>
    <n v="4"/>
    <n v="2"/>
    <n v="3000"/>
    <n v="1"/>
    <n v="0"/>
    <n v="0.91278995392113982"/>
    <n v="8.7210046078860223E-2"/>
    <x v="7"/>
  </r>
  <r>
    <n v="7"/>
    <n v="61"/>
    <n v="3"/>
    <n v="1"/>
    <n v="0"/>
    <n v="4"/>
    <n v="0"/>
    <n v="9715.77"/>
    <n v="9"/>
    <n v="0"/>
    <n v="0.91284031904527174"/>
    <n v="8.7159680954728286E-2"/>
    <x v="7"/>
  </r>
  <r>
    <n v="9"/>
    <n v="74"/>
    <n v="1"/>
    <n v="0"/>
    <n v="0"/>
    <n v="11"/>
    <n v="0"/>
    <n v="6000"/>
    <n v="2"/>
    <n v="0"/>
    <n v="0.9128524930342079"/>
    <n v="8.7147506965792043E-2"/>
    <x v="7"/>
  </r>
  <r>
    <n v="9"/>
    <n v="68"/>
    <n v="0"/>
    <n v="1"/>
    <n v="1"/>
    <n v="7"/>
    <n v="2"/>
    <n v="2500"/>
    <n v="8"/>
    <n v="0"/>
    <n v="0.91289621325500103"/>
    <n v="8.7103786744998954E-2"/>
    <x v="7"/>
  </r>
  <r>
    <n v="6"/>
    <n v="55"/>
    <n v="1"/>
    <n v="1"/>
    <n v="3"/>
    <n v="3"/>
    <n v="2"/>
    <n v="2000"/>
    <n v="16"/>
    <n v="0"/>
    <n v="0.91294477151527276"/>
    <n v="8.7055228484727201E-2"/>
    <x v="7"/>
  </r>
  <r>
    <n v="9"/>
    <n v="68"/>
    <n v="2"/>
    <n v="1"/>
    <n v="0"/>
    <n v="2"/>
    <n v="2"/>
    <n v="1500"/>
    <n v="6"/>
    <n v="0"/>
    <n v="0.91296889047055918"/>
    <n v="8.7031109529440862E-2"/>
    <x v="7"/>
  </r>
  <r>
    <n v="4"/>
    <n v="47"/>
    <n v="3"/>
    <n v="1"/>
    <n v="0"/>
    <n v="4"/>
    <n v="2"/>
    <n v="100"/>
    <n v="1"/>
    <n v="0"/>
    <n v="0.9130401774866086"/>
    <n v="8.6959822513391377E-2"/>
    <x v="7"/>
  </r>
  <r>
    <n v="4"/>
    <n v="51"/>
    <n v="2"/>
    <n v="0"/>
    <n v="1"/>
    <n v="7"/>
    <n v="3"/>
    <n v="0.01"/>
    <n v="7"/>
    <n v="0"/>
    <n v="0.91306176664548511"/>
    <n v="8.6938233354514907E-2"/>
    <x v="7"/>
  </r>
  <r>
    <n v="11"/>
    <n v="72"/>
    <n v="0"/>
    <n v="2"/>
    <n v="0"/>
    <n v="4"/>
    <n v="2"/>
    <n v="3000"/>
    <n v="8"/>
    <n v="1"/>
    <n v="0.91313752975012152"/>
    <n v="8.6862470249878462E-2"/>
    <x v="7"/>
  </r>
  <r>
    <n v="6"/>
    <n v="61"/>
    <n v="2"/>
    <n v="0"/>
    <n v="3"/>
    <n v="3"/>
    <n v="0"/>
    <n v="6000"/>
    <n v="10"/>
    <n v="0"/>
    <n v="0.9133501651772018"/>
    <n v="8.6649834822798213E-2"/>
    <x v="7"/>
  </r>
  <r>
    <n v="9"/>
    <n v="73"/>
    <n v="4"/>
    <n v="0"/>
    <n v="0"/>
    <n v="11"/>
    <n v="0"/>
    <n v="8900"/>
    <n v="8"/>
    <n v="0"/>
    <n v="0.91335639798284174"/>
    <n v="8.6643602017158247E-2"/>
    <x v="7"/>
  </r>
  <r>
    <n v="6"/>
    <n v="61"/>
    <n v="3"/>
    <n v="0"/>
    <n v="1"/>
    <n v="7"/>
    <n v="0"/>
    <n v="5044.45"/>
    <n v="4"/>
    <n v="0"/>
    <n v="0.91340245246737783"/>
    <n v="8.6597547532622179E-2"/>
    <x v="7"/>
  </r>
  <r>
    <n v="7"/>
    <n v="65"/>
    <n v="0"/>
    <n v="0"/>
    <n v="1"/>
    <n v="5"/>
    <n v="2"/>
    <n v="3800"/>
    <n v="1"/>
    <n v="0"/>
    <n v="0.91347953932155024"/>
    <n v="8.6520460678449748E-2"/>
    <x v="7"/>
  </r>
  <r>
    <n v="9"/>
    <n v="70"/>
    <n v="3"/>
    <n v="0"/>
    <n v="4"/>
    <n v="9"/>
    <n v="2"/>
    <n v="1000"/>
    <n v="3"/>
    <n v="0"/>
    <n v="0.91359931421611096"/>
    <n v="8.640068578388907E-2"/>
    <x v="7"/>
  </r>
  <r>
    <n v="6"/>
    <n v="59"/>
    <n v="2"/>
    <n v="0"/>
    <n v="3"/>
    <n v="8"/>
    <n v="2"/>
    <n v="3260"/>
    <n v="7"/>
    <n v="0"/>
    <n v="0.9136182993023495"/>
    <n v="8.6381700697650485E-2"/>
    <x v="7"/>
  </r>
  <r>
    <n v="10"/>
    <n v="77"/>
    <n v="3"/>
    <n v="0"/>
    <n v="3"/>
    <n v="3"/>
    <n v="0"/>
    <n v="8105.32"/>
    <n v="14"/>
    <n v="0"/>
    <n v="0.91379887924642189"/>
    <n v="8.6201120753578081E-2"/>
    <x v="7"/>
  </r>
  <r>
    <n v="7"/>
    <n v="59"/>
    <n v="5"/>
    <n v="1"/>
    <n v="1"/>
    <n v="7"/>
    <n v="1"/>
    <n v="20113.23"/>
    <n v="3"/>
    <n v="0"/>
    <n v="0.91379978517429328"/>
    <n v="8.6200214825706695E-2"/>
    <x v="7"/>
  </r>
  <r>
    <n v="8"/>
    <n v="57"/>
    <n v="2"/>
    <n v="2"/>
    <n v="3"/>
    <n v="3"/>
    <n v="3"/>
    <n v="0.01"/>
    <n v="8"/>
    <n v="0"/>
    <n v="0.91391005476084508"/>
    <n v="8.6089945239154905E-2"/>
    <x v="7"/>
  </r>
  <r>
    <n v="10"/>
    <n v="76"/>
    <n v="1"/>
    <n v="0"/>
    <n v="3"/>
    <n v="3"/>
    <n v="2"/>
    <n v="2000"/>
    <n v="1"/>
    <n v="0"/>
    <n v="0.91393954767117658"/>
    <n v="8.606045232882345E-2"/>
    <x v="7"/>
  </r>
  <r>
    <n v="7"/>
    <n v="64"/>
    <n v="1"/>
    <n v="0"/>
    <n v="3"/>
    <n v="3"/>
    <n v="2"/>
    <n v="5000"/>
    <n v="4"/>
    <n v="0"/>
    <n v="0.91396914121409356"/>
    <n v="8.6030858785906467E-2"/>
    <x v="7"/>
  </r>
  <r>
    <n v="4"/>
    <n v="53"/>
    <n v="2"/>
    <n v="0"/>
    <n v="1"/>
    <n v="12"/>
    <n v="0"/>
    <n v="6000"/>
    <n v="2"/>
    <n v="0"/>
    <n v="0.91405033940516911"/>
    <n v="8.5949660594830918E-2"/>
    <x v="7"/>
  </r>
  <r>
    <n v="10"/>
    <n v="71"/>
    <n v="5"/>
    <n v="1"/>
    <n v="3"/>
    <n v="3"/>
    <n v="0"/>
    <n v="6000"/>
    <n v="4"/>
    <n v="0"/>
    <n v="0.9140569973755176"/>
    <n v="8.5943002624482415E-2"/>
    <x v="7"/>
  </r>
  <r>
    <n v="9"/>
    <n v="73"/>
    <n v="4"/>
    <n v="0"/>
    <n v="1"/>
    <n v="12"/>
    <n v="0"/>
    <n v="9053.35"/>
    <n v="27"/>
    <n v="1"/>
    <n v="0.91408569003181828"/>
    <n v="8.5914309968181751E-2"/>
    <x v="7"/>
  </r>
  <r>
    <n v="5"/>
    <n v="58"/>
    <n v="0"/>
    <n v="0"/>
    <n v="2"/>
    <n v="6"/>
    <n v="0"/>
    <n v="6000"/>
    <n v="1"/>
    <n v="0"/>
    <n v="0.91415398205061416"/>
    <n v="8.5846017949385886E-2"/>
    <x v="7"/>
  </r>
  <r>
    <n v="2"/>
    <n v="43"/>
    <n v="1"/>
    <n v="0"/>
    <n v="3"/>
    <n v="3"/>
    <n v="3"/>
    <n v="0.01"/>
    <n v="7"/>
    <n v="0"/>
    <n v="0.91421630342576565"/>
    <n v="8.5783696574234389E-2"/>
    <x v="7"/>
  </r>
  <r>
    <n v="10"/>
    <n v="69"/>
    <n v="2"/>
    <n v="1"/>
    <n v="4"/>
    <n v="9"/>
    <n v="3"/>
    <n v="0.01"/>
    <n v="5"/>
    <n v="1"/>
    <n v="0.91425501170042323"/>
    <n v="8.5744988299576747E-2"/>
    <x v="7"/>
  </r>
  <r>
    <n v="6"/>
    <n v="59"/>
    <n v="1"/>
    <n v="0"/>
    <n v="4"/>
    <n v="9"/>
    <n v="2"/>
    <n v="300.01"/>
    <n v="10"/>
    <n v="0"/>
    <n v="0.91428878363842181"/>
    <n v="8.5711216361578163E-2"/>
    <x v="7"/>
  </r>
  <r>
    <n v="6"/>
    <n v="55"/>
    <n v="4"/>
    <n v="1"/>
    <n v="3"/>
    <n v="3"/>
    <n v="1"/>
    <n v="24000"/>
    <n v="2"/>
    <n v="0"/>
    <n v="0.91432086369887511"/>
    <n v="8.5679136301124864E-2"/>
    <x v="7"/>
  </r>
  <r>
    <n v="6"/>
    <n v="52"/>
    <n v="2"/>
    <n v="2"/>
    <n v="1"/>
    <n v="7"/>
    <n v="0"/>
    <n v="6120"/>
    <n v="11"/>
    <n v="0"/>
    <n v="0.91437489650724391"/>
    <n v="8.5625103492756136E-2"/>
    <x v="7"/>
  </r>
  <r>
    <n v="8"/>
    <n v="63"/>
    <n v="3"/>
    <n v="1"/>
    <n v="0"/>
    <n v="11"/>
    <n v="2"/>
    <n v="300.01"/>
    <n v="8"/>
    <n v="0"/>
    <n v="0.91438218255302484"/>
    <n v="8.5617817446975164E-2"/>
    <x v="7"/>
  </r>
  <r>
    <n v="4"/>
    <n v="46"/>
    <n v="3"/>
    <n v="1"/>
    <n v="0"/>
    <n v="11"/>
    <n v="3"/>
    <n v="0.01"/>
    <n v="5"/>
    <n v="0"/>
    <n v="0.91440279130516366"/>
    <n v="8.5597208694836335E-2"/>
    <x v="7"/>
  </r>
  <r>
    <n v="6"/>
    <n v="54"/>
    <n v="3"/>
    <n v="1"/>
    <n v="1"/>
    <n v="7"/>
    <n v="3"/>
    <n v="0.01"/>
    <n v="5"/>
    <n v="0"/>
    <n v="0.91443592613866043"/>
    <n v="8.5564073861339573E-2"/>
    <x v="7"/>
  </r>
  <r>
    <n v="11"/>
    <n v="77"/>
    <n v="3"/>
    <n v="1"/>
    <n v="1"/>
    <n v="7"/>
    <n v="0"/>
    <n v="6000"/>
    <n v="23"/>
    <n v="0"/>
    <n v="0.91448125603282027"/>
    <n v="8.5518743967179775E-2"/>
    <x v="7"/>
  </r>
  <r>
    <n v="9"/>
    <n v="71"/>
    <n v="1"/>
    <n v="0"/>
    <n v="3"/>
    <n v="8"/>
    <n v="3"/>
    <n v="0.01"/>
    <n v="9"/>
    <n v="0"/>
    <n v="0.91450798375831532"/>
    <n v="8.5492016241684662E-2"/>
    <x v="7"/>
  </r>
  <r>
    <n v="4"/>
    <n v="52"/>
    <n v="2"/>
    <n v="0"/>
    <n v="1"/>
    <n v="7"/>
    <n v="2"/>
    <n v="480"/>
    <n v="4"/>
    <n v="0"/>
    <n v="0.91457726435672204"/>
    <n v="8.5422735643277944E-2"/>
    <x v="7"/>
  </r>
  <r>
    <n v="5"/>
    <n v="58"/>
    <n v="0"/>
    <n v="0"/>
    <n v="3"/>
    <n v="3"/>
    <n v="0"/>
    <n v="6000"/>
    <n v="6"/>
    <n v="0"/>
    <n v="0.91458704565888194"/>
    <n v="8.5412954341118064E-2"/>
    <x v="7"/>
  </r>
  <r>
    <n v="10"/>
    <n v="76"/>
    <n v="1"/>
    <n v="0"/>
    <n v="3"/>
    <n v="8"/>
    <n v="2"/>
    <n v="5000"/>
    <n v="12"/>
    <n v="1"/>
    <n v="0.91460403121572909"/>
    <n v="8.5395968784270901E-2"/>
    <x v="7"/>
  </r>
  <r>
    <n v="8"/>
    <n v="68"/>
    <n v="3"/>
    <n v="0"/>
    <n v="2"/>
    <n v="1"/>
    <n v="2"/>
    <n v="3647.2"/>
    <n v="7"/>
    <n v="0"/>
    <n v="0.91463546491051018"/>
    <n v="8.5364535089489865E-2"/>
    <x v="7"/>
  </r>
  <r>
    <n v="7"/>
    <n v="66"/>
    <n v="2"/>
    <n v="0"/>
    <n v="1"/>
    <n v="5"/>
    <n v="0"/>
    <n v="6000"/>
    <n v="5"/>
    <n v="1"/>
    <n v="0.91474128132602506"/>
    <n v="8.5258718673974915E-2"/>
    <x v="7"/>
  </r>
  <r>
    <n v="7"/>
    <n v="63"/>
    <n v="2"/>
    <n v="0"/>
    <n v="1"/>
    <n v="12"/>
    <n v="3"/>
    <n v="0.01"/>
    <n v="4"/>
    <n v="0"/>
    <n v="0.91481081994400004"/>
    <n v="8.5189180055999972E-2"/>
    <x v="7"/>
  </r>
  <r>
    <n v="7"/>
    <n v="61"/>
    <n v="0"/>
    <n v="1"/>
    <n v="3"/>
    <n v="3"/>
    <n v="1"/>
    <n v="28780.41"/>
    <n v="0"/>
    <n v="0"/>
    <n v="0.91486634240121245"/>
    <n v="8.5133657598787493E-2"/>
    <x v="7"/>
  </r>
  <r>
    <n v="5"/>
    <n v="54"/>
    <n v="3"/>
    <n v="0"/>
    <n v="3"/>
    <n v="8"/>
    <n v="3"/>
    <n v="0.01"/>
    <n v="8"/>
    <n v="0"/>
    <n v="0.91496061832006714"/>
    <n v="8.5039381679932857E-2"/>
    <x v="7"/>
  </r>
  <r>
    <n v="8"/>
    <n v="63"/>
    <n v="5"/>
    <n v="1"/>
    <n v="0"/>
    <n v="4"/>
    <n v="2"/>
    <n v="500"/>
    <n v="13"/>
    <n v="0"/>
    <n v="0.91496216580972001"/>
    <n v="8.5037834190280007E-2"/>
    <x v="7"/>
  </r>
  <r>
    <n v="7"/>
    <n v="58"/>
    <n v="4"/>
    <n v="1"/>
    <n v="3"/>
    <n v="3"/>
    <n v="2"/>
    <n v="200.01"/>
    <n v="10"/>
    <n v="0"/>
    <n v="0.91501419346778134"/>
    <n v="8.4985806532218613E-2"/>
    <x v="7"/>
  </r>
  <r>
    <n v="7"/>
    <n v="61"/>
    <n v="4"/>
    <n v="1"/>
    <n v="0"/>
    <n v="2"/>
    <n v="0"/>
    <n v="6000"/>
    <n v="4"/>
    <n v="1"/>
    <n v="0.91502194410017712"/>
    <n v="8.4978055899822907E-2"/>
    <x v="7"/>
  </r>
  <r>
    <n v="4"/>
    <n v="53"/>
    <n v="0"/>
    <n v="0"/>
    <n v="0"/>
    <n v="4"/>
    <n v="3"/>
    <n v="0.01"/>
    <n v="5"/>
    <n v="0"/>
    <n v="0.91505847861591572"/>
    <n v="8.494152138408434E-2"/>
    <x v="7"/>
  </r>
  <r>
    <n v="6"/>
    <n v="57"/>
    <n v="2"/>
    <n v="1"/>
    <n v="1"/>
    <n v="7"/>
    <n v="0"/>
    <n v="6000"/>
    <n v="8"/>
    <n v="0"/>
    <n v="0.91511120745747521"/>
    <n v="8.4888792542524766E-2"/>
    <x v="7"/>
  </r>
  <r>
    <n v="9"/>
    <n v="71"/>
    <n v="3"/>
    <n v="0"/>
    <n v="3"/>
    <n v="8"/>
    <n v="2"/>
    <n v="3500"/>
    <n v="5"/>
    <n v="1"/>
    <n v="0.91513871633118438"/>
    <n v="8.4861283668815568E-2"/>
    <x v="7"/>
  </r>
  <r>
    <n v="9"/>
    <n v="74"/>
    <n v="1"/>
    <n v="0"/>
    <n v="3"/>
    <n v="8"/>
    <n v="0"/>
    <n v="18000"/>
    <n v="17"/>
    <n v="0"/>
    <n v="0.91522483165701662"/>
    <n v="8.4775168342983431E-2"/>
    <x v="7"/>
  </r>
  <r>
    <n v="6"/>
    <n v="59"/>
    <n v="2"/>
    <n v="0"/>
    <n v="3"/>
    <n v="3"/>
    <n v="3"/>
    <n v="0.01"/>
    <n v="8"/>
    <n v="0"/>
    <n v="0.9152249561105702"/>
    <n v="8.4775043889429844E-2"/>
    <x v="7"/>
  </r>
  <r>
    <n v="7"/>
    <n v="59"/>
    <n v="3"/>
    <n v="1"/>
    <n v="1"/>
    <n v="7"/>
    <n v="2"/>
    <n v="2500"/>
    <n v="4"/>
    <n v="0"/>
    <n v="0.91524595592775893"/>
    <n v="8.4754044072241033E-2"/>
    <x v="7"/>
  </r>
  <r>
    <n v="7"/>
    <n v="65"/>
    <n v="5"/>
    <n v="0"/>
    <n v="1"/>
    <n v="7"/>
    <n v="0"/>
    <n v="6000"/>
    <n v="23"/>
    <n v="0"/>
    <n v="0.91525318167849523"/>
    <n v="8.4746818321504727E-2"/>
    <x v="7"/>
  </r>
  <r>
    <n v="5"/>
    <n v="50"/>
    <n v="2"/>
    <n v="1"/>
    <n v="3"/>
    <n v="3"/>
    <n v="3"/>
    <n v="0.01"/>
    <n v="5"/>
    <n v="0"/>
    <n v="0.91534003262485286"/>
    <n v="8.4659967375147194E-2"/>
    <x v="7"/>
  </r>
  <r>
    <n v="7"/>
    <n v="61"/>
    <n v="3"/>
    <n v="1"/>
    <n v="0"/>
    <n v="4"/>
    <n v="1"/>
    <n v="20520.14"/>
    <n v="3"/>
    <n v="0"/>
    <n v="0.9155319870756915"/>
    <n v="8.4468012924308528E-2"/>
    <x v="7"/>
  </r>
  <r>
    <n v="10"/>
    <n v="75"/>
    <n v="5"/>
    <n v="0"/>
    <n v="1"/>
    <n v="12"/>
    <n v="2"/>
    <n v="3000"/>
    <n v="12"/>
    <n v="0"/>
    <n v="0.91564228468620756"/>
    <n v="8.4357715313792395E-2"/>
    <x v="7"/>
  </r>
  <r>
    <n v="6"/>
    <n v="58"/>
    <n v="5"/>
    <n v="0"/>
    <n v="3"/>
    <n v="8"/>
    <n v="2"/>
    <n v="2100"/>
    <n v="2"/>
    <n v="0"/>
    <n v="0.91572764917909644"/>
    <n v="8.4272350820903563E-2"/>
    <x v="7"/>
  </r>
  <r>
    <n v="9"/>
    <n v="68"/>
    <n v="0"/>
    <n v="1"/>
    <n v="3"/>
    <n v="3"/>
    <n v="2"/>
    <n v="4250"/>
    <n v="4"/>
    <n v="0"/>
    <n v="0.9158100948933785"/>
    <n v="8.4189905106621485E-2"/>
    <x v="7"/>
  </r>
  <r>
    <n v="6"/>
    <n v="56"/>
    <n v="3"/>
    <n v="1"/>
    <n v="0"/>
    <n v="2"/>
    <n v="2"/>
    <n v="2200"/>
    <n v="2"/>
    <n v="0"/>
    <n v="0.91604743639628805"/>
    <n v="8.3952563603711977E-2"/>
    <x v="7"/>
  </r>
  <r>
    <n v="5"/>
    <n v="58"/>
    <n v="1"/>
    <n v="0"/>
    <n v="2"/>
    <n v="6"/>
    <n v="0"/>
    <n v="6000"/>
    <n v="2"/>
    <n v="0"/>
    <n v="0.91609702701574602"/>
    <n v="8.3902972984254018E-2"/>
    <x v="7"/>
  </r>
  <r>
    <n v="5"/>
    <n v="58"/>
    <n v="2"/>
    <n v="0"/>
    <n v="2"/>
    <n v="6"/>
    <n v="0"/>
    <n v="6000"/>
    <n v="22"/>
    <n v="0"/>
    <n v="0.91614323062946612"/>
    <n v="8.3856769370533851E-2"/>
    <x v="7"/>
  </r>
  <r>
    <n v="4"/>
    <n v="52"/>
    <n v="5"/>
    <n v="0"/>
    <n v="0"/>
    <n v="2"/>
    <n v="2"/>
    <n v="3000"/>
    <n v="3"/>
    <n v="0"/>
    <n v="0.91614686666046163"/>
    <n v="8.385313333953838E-2"/>
    <x v="7"/>
  </r>
  <r>
    <n v="10"/>
    <n v="79"/>
    <n v="2"/>
    <n v="0"/>
    <n v="0"/>
    <n v="4"/>
    <n v="0"/>
    <n v="6053.34"/>
    <n v="4"/>
    <n v="1"/>
    <n v="0.91616487199749552"/>
    <n v="8.383512800250445E-2"/>
    <x v="7"/>
  </r>
  <r>
    <n v="6"/>
    <n v="50"/>
    <n v="2"/>
    <n v="2"/>
    <n v="1"/>
    <n v="7"/>
    <n v="3"/>
    <n v="0.01"/>
    <n v="8"/>
    <n v="0"/>
    <n v="0.91634295195696702"/>
    <n v="8.365704804303295E-2"/>
    <x v="7"/>
  </r>
  <r>
    <n v="8"/>
    <n v="67"/>
    <n v="3"/>
    <n v="0"/>
    <n v="1"/>
    <n v="12"/>
    <n v="3"/>
    <n v="0.01"/>
    <n v="5"/>
    <n v="0"/>
    <n v="0.91650941970993438"/>
    <n v="8.3490580290065633E-2"/>
    <x v="7"/>
  </r>
  <r>
    <n v="6"/>
    <n v="62"/>
    <n v="0"/>
    <n v="0"/>
    <n v="1"/>
    <n v="7"/>
    <n v="2"/>
    <n v="3000"/>
    <n v="29"/>
    <n v="0"/>
    <n v="0.91654943646898113"/>
    <n v="8.3450563531018845E-2"/>
    <x v="7"/>
  </r>
  <r>
    <n v="10"/>
    <n v="76"/>
    <n v="4"/>
    <n v="0"/>
    <n v="0"/>
    <n v="11"/>
    <n v="2"/>
    <n v="1200"/>
    <n v="4"/>
    <n v="1"/>
    <n v="0.91665153379640929"/>
    <n v="8.334846620359071E-2"/>
    <x v="7"/>
  </r>
  <r>
    <n v="8"/>
    <n v="69"/>
    <n v="5"/>
    <n v="0"/>
    <n v="2"/>
    <n v="1"/>
    <n v="0"/>
    <n v="6000"/>
    <n v="2"/>
    <n v="1"/>
    <n v="0.91674987462429713"/>
    <n v="8.325012537570288E-2"/>
    <x v="7"/>
  </r>
  <r>
    <n v="4"/>
    <n v="53"/>
    <n v="1"/>
    <n v="0"/>
    <n v="1"/>
    <n v="7"/>
    <n v="2"/>
    <n v="5000"/>
    <n v="1"/>
    <n v="0"/>
    <n v="0.9169258599541571"/>
    <n v="8.3074140045842931E-2"/>
    <x v="7"/>
  </r>
  <r>
    <n v="5"/>
    <n v="54"/>
    <n v="5"/>
    <n v="0"/>
    <n v="3"/>
    <n v="3"/>
    <n v="3"/>
    <n v="0.01"/>
    <n v="6"/>
    <n v="0"/>
    <n v="0.91709337775929778"/>
    <n v="8.2906622240702221E-2"/>
    <x v="7"/>
  </r>
  <r>
    <n v="6"/>
    <n v="63"/>
    <n v="2"/>
    <n v="0"/>
    <n v="0"/>
    <n v="4"/>
    <n v="0"/>
    <n v="5425.13"/>
    <n v="4"/>
    <n v="0"/>
    <n v="0.91716550689890619"/>
    <n v="8.2834493101093781E-2"/>
    <x v="7"/>
  </r>
  <r>
    <n v="5"/>
    <n v="57"/>
    <n v="4"/>
    <n v="0"/>
    <n v="1"/>
    <n v="7"/>
    <n v="1"/>
    <n v="20119.73"/>
    <n v="3"/>
    <n v="1"/>
    <n v="0.91730157964399628"/>
    <n v="8.269842035600368E-2"/>
    <x v="7"/>
  </r>
  <r>
    <n v="5"/>
    <n v="56"/>
    <n v="2"/>
    <n v="0"/>
    <n v="1"/>
    <n v="7"/>
    <n v="3"/>
    <n v="0.01"/>
    <n v="8"/>
    <n v="0"/>
    <n v="0.91739534147276902"/>
    <n v="8.2604658527230979E-2"/>
    <x v="7"/>
  </r>
  <r>
    <n v="8"/>
    <n v="69"/>
    <n v="2"/>
    <n v="0"/>
    <n v="2"/>
    <n v="1"/>
    <n v="2"/>
    <n v="1952.2"/>
    <n v="6"/>
    <n v="0"/>
    <n v="0.91754750892013714"/>
    <n v="8.2452491079862827E-2"/>
    <x v="7"/>
  </r>
  <r>
    <n v="10"/>
    <n v="79"/>
    <n v="3"/>
    <n v="0"/>
    <n v="0"/>
    <n v="2"/>
    <n v="0"/>
    <n v="6000"/>
    <n v="1"/>
    <n v="0"/>
    <n v="0.91763271750962194"/>
    <n v="8.2367282490378016E-2"/>
    <x v="7"/>
  </r>
  <r>
    <n v="5"/>
    <n v="57"/>
    <n v="0"/>
    <n v="0"/>
    <n v="3"/>
    <n v="3"/>
    <n v="2"/>
    <n v="1000"/>
    <n v="3"/>
    <n v="0"/>
    <n v="0.91764227601850901"/>
    <n v="8.2357723981491049E-2"/>
    <x v="7"/>
  </r>
  <r>
    <n v="4"/>
    <n v="53"/>
    <n v="2"/>
    <n v="0"/>
    <n v="1"/>
    <n v="5"/>
    <n v="2"/>
    <n v="3050"/>
    <n v="8"/>
    <n v="0"/>
    <n v="0.91764437921576136"/>
    <n v="8.2355620784238665E-2"/>
    <x v="7"/>
  </r>
  <r>
    <n v="8"/>
    <n v="68"/>
    <n v="2"/>
    <n v="0"/>
    <n v="3"/>
    <n v="8"/>
    <n v="2"/>
    <n v="3000.01"/>
    <n v="8"/>
    <n v="0"/>
    <n v="0.91773032263757415"/>
    <n v="8.2269677362425839E-2"/>
    <x v="7"/>
  </r>
  <r>
    <n v="7"/>
    <n v="67"/>
    <n v="1"/>
    <n v="0"/>
    <n v="1"/>
    <n v="7"/>
    <n v="0"/>
    <n v="6000"/>
    <n v="8"/>
    <n v="0"/>
    <n v="0.91788457329444728"/>
    <n v="8.2115426705552677E-2"/>
    <x v="7"/>
  </r>
  <r>
    <n v="8"/>
    <n v="64"/>
    <n v="1"/>
    <n v="1"/>
    <n v="3"/>
    <n v="3"/>
    <n v="2"/>
    <n v="3000"/>
    <n v="7"/>
    <n v="0"/>
    <n v="0.91790502236525051"/>
    <n v="8.209497763474953E-2"/>
    <x v="7"/>
  </r>
  <r>
    <n v="4"/>
    <n v="49"/>
    <n v="2"/>
    <n v="1"/>
    <n v="3"/>
    <n v="3"/>
    <n v="0"/>
    <n v="10000"/>
    <n v="6"/>
    <n v="0"/>
    <n v="0.9179462067267723"/>
    <n v="8.205379327322769E-2"/>
    <x v="7"/>
  </r>
  <r>
    <n v="7"/>
    <n v="65"/>
    <n v="4"/>
    <n v="0"/>
    <n v="3"/>
    <n v="3"/>
    <n v="0"/>
    <n v="6000"/>
    <n v="2"/>
    <n v="0"/>
    <n v="0.91797212641077452"/>
    <n v="8.2027873589225489E-2"/>
    <x v="7"/>
  </r>
  <r>
    <n v="8"/>
    <n v="71"/>
    <n v="2"/>
    <n v="0"/>
    <n v="0"/>
    <n v="4"/>
    <n v="1"/>
    <n v="23121.23"/>
    <n v="3"/>
    <n v="1"/>
    <n v="0.9179778271060034"/>
    <n v="8.2022172893996589E-2"/>
    <x v="7"/>
  </r>
  <r>
    <n v="2"/>
    <n v="43"/>
    <n v="3"/>
    <n v="0"/>
    <n v="1"/>
    <n v="12"/>
    <n v="3"/>
    <n v="0.01"/>
    <n v="4"/>
    <n v="0"/>
    <n v="0.91798312758346179"/>
    <n v="8.2016872416538253E-2"/>
    <x v="7"/>
  </r>
  <r>
    <n v="9"/>
    <n v="63"/>
    <n v="2"/>
    <n v="2"/>
    <n v="3"/>
    <n v="3"/>
    <n v="2"/>
    <n v="1705.44"/>
    <n v="21"/>
    <n v="0"/>
    <n v="0.9180543209594535"/>
    <n v="8.1945679040546504E-2"/>
    <x v="7"/>
  </r>
  <r>
    <n v="4"/>
    <n v="51"/>
    <n v="3"/>
    <n v="0"/>
    <n v="3"/>
    <n v="3"/>
    <n v="3"/>
    <n v="0.01"/>
    <n v="4"/>
    <n v="0"/>
    <n v="0.91808853593330042"/>
    <n v="8.1911464066699524E-2"/>
    <x v="7"/>
  </r>
  <r>
    <n v="4"/>
    <n v="51"/>
    <n v="5"/>
    <n v="0"/>
    <n v="1"/>
    <n v="12"/>
    <n v="2"/>
    <n v="2000"/>
    <n v="1"/>
    <n v="0"/>
    <n v="0.91822244324549362"/>
    <n v="8.1777556754506361E-2"/>
    <x v="7"/>
  </r>
  <r>
    <n v="6"/>
    <n v="61"/>
    <n v="0"/>
    <n v="0"/>
    <n v="3"/>
    <n v="3"/>
    <n v="3"/>
    <n v="0.01"/>
    <n v="29"/>
    <n v="0"/>
    <n v="0.91833409556294843"/>
    <n v="8.1665904437051573E-2"/>
    <x v="7"/>
  </r>
  <r>
    <n v="5"/>
    <n v="60"/>
    <n v="1"/>
    <n v="0"/>
    <n v="0"/>
    <n v="2"/>
    <n v="0"/>
    <n v="12000"/>
    <n v="3"/>
    <n v="1"/>
    <n v="0.91841835373305214"/>
    <n v="8.1581646266947846E-2"/>
    <x v="7"/>
  </r>
  <r>
    <n v="9"/>
    <n v="70"/>
    <n v="5"/>
    <n v="0"/>
    <n v="3"/>
    <n v="8"/>
    <n v="3"/>
    <n v="0.01"/>
    <n v="4"/>
    <n v="0"/>
    <n v="0.91844652847147368"/>
    <n v="8.155347152852635E-2"/>
    <x v="7"/>
  </r>
  <r>
    <n v="9"/>
    <n v="62"/>
    <n v="3"/>
    <n v="2"/>
    <n v="3"/>
    <n v="8"/>
    <n v="2"/>
    <n v="3000"/>
    <n v="10"/>
    <n v="1"/>
    <n v="0.91847657045149977"/>
    <n v="8.152342954850024E-2"/>
    <x v="7"/>
  </r>
  <r>
    <n v="6"/>
    <n v="55"/>
    <n v="5"/>
    <n v="1"/>
    <n v="0"/>
    <n v="2"/>
    <n v="3"/>
    <n v="0.01"/>
    <n v="8"/>
    <n v="0"/>
    <n v="0.91849658696224823"/>
    <n v="8.1503413037751743E-2"/>
    <x v="7"/>
  </r>
  <r>
    <n v="8"/>
    <n v="71"/>
    <n v="1"/>
    <n v="0"/>
    <n v="3"/>
    <n v="3"/>
    <n v="0"/>
    <n v="6000"/>
    <n v="26"/>
    <n v="0"/>
    <n v="0.91854083544234488"/>
    <n v="8.1459164557655159E-2"/>
    <x v="7"/>
  </r>
  <r>
    <n v="7"/>
    <n v="64"/>
    <n v="4"/>
    <n v="0"/>
    <n v="3"/>
    <n v="3"/>
    <n v="2"/>
    <n v="750"/>
    <n v="24"/>
    <n v="0"/>
    <n v="0.91857526446481752"/>
    <n v="8.1424735535182438E-2"/>
    <x v="7"/>
  </r>
  <r>
    <n v="9"/>
    <n v="67"/>
    <n v="2"/>
    <n v="1"/>
    <n v="3"/>
    <n v="3"/>
    <n v="3"/>
    <n v="0.01"/>
    <n v="8"/>
    <n v="0"/>
    <n v="0.91870527448123873"/>
    <n v="8.1294725518761241E-2"/>
    <x v="7"/>
  </r>
  <r>
    <n v="7"/>
    <n v="59"/>
    <n v="5"/>
    <n v="1"/>
    <n v="0"/>
    <n v="11"/>
    <n v="2"/>
    <n v="1000"/>
    <n v="6"/>
    <n v="0"/>
    <n v="0.91874559087279972"/>
    <n v="8.125440912720025E-2"/>
    <x v="7"/>
  </r>
  <r>
    <n v="4"/>
    <n v="51"/>
    <n v="5"/>
    <n v="0"/>
    <n v="0"/>
    <n v="11"/>
    <n v="3"/>
    <n v="0.01"/>
    <n v="5"/>
    <n v="0"/>
    <n v="0.91883453953127281"/>
    <n v="8.1165460468727177E-2"/>
    <x v="7"/>
  </r>
  <r>
    <n v="7"/>
    <n v="54"/>
    <n v="2"/>
    <n v="2"/>
    <n v="3"/>
    <n v="3"/>
    <n v="3"/>
    <n v="0.01"/>
    <n v="7"/>
    <n v="0"/>
    <n v="0.91884972699438683"/>
    <n v="8.115027300561313E-2"/>
    <x v="7"/>
  </r>
  <r>
    <n v="8"/>
    <n v="62"/>
    <n v="5"/>
    <n v="1"/>
    <n v="3"/>
    <n v="8"/>
    <n v="2"/>
    <n v="4000"/>
    <n v="5"/>
    <n v="0"/>
    <n v="0.91889937193161864"/>
    <n v="8.1100628068381378E-2"/>
    <x v="7"/>
  </r>
  <r>
    <n v="5"/>
    <n v="51"/>
    <n v="2"/>
    <n v="1"/>
    <n v="1"/>
    <n v="12"/>
    <n v="3"/>
    <n v="0.01"/>
    <n v="9"/>
    <n v="0"/>
    <n v="0.91895568517804649"/>
    <n v="8.104431482195347E-2"/>
    <x v="7"/>
  </r>
  <r>
    <n v="8"/>
    <n v="63"/>
    <n v="5"/>
    <n v="1"/>
    <n v="1"/>
    <n v="7"/>
    <n v="2"/>
    <n v="4000"/>
    <n v="2"/>
    <n v="0"/>
    <n v="0.91902522105533302"/>
    <n v="8.0974778944667022E-2"/>
    <x v="7"/>
  </r>
  <r>
    <n v="4"/>
    <n v="53"/>
    <n v="2"/>
    <n v="0"/>
    <n v="3"/>
    <n v="3"/>
    <n v="2"/>
    <n v="3000"/>
    <n v="29"/>
    <n v="0"/>
    <n v="0.91906630414898927"/>
    <n v="8.093369585101079E-2"/>
    <x v="7"/>
  </r>
  <r>
    <n v="7"/>
    <n v="66"/>
    <n v="3"/>
    <n v="0"/>
    <n v="3"/>
    <n v="3"/>
    <n v="0"/>
    <n v="12158.67"/>
    <n v="7"/>
    <n v="0"/>
    <n v="0.91928194809250696"/>
    <n v="8.0718051907493038E-2"/>
    <x v="7"/>
  </r>
  <r>
    <n v="6"/>
    <n v="57"/>
    <n v="2"/>
    <n v="1"/>
    <n v="0"/>
    <n v="4"/>
    <n v="2"/>
    <n v="1000"/>
    <n v="5"/>
    <n v="0"/>
    <n v="0.91929040260571349"/>
    <n v="8.0709597394286542E-2"/>
    <x v="7"/>
  </r>
  <r>
    <n v="6"/>
    <n v="60"/>
    <n v="5"/>
    <n v="0"/>
    <n v="1"/>
    <n v="7"/>
    <n v="2"/>
    <n v="3050"/>
    <n v="8"/>
    <n v="0"/>
    <n v="0.91941554771972422"/>
    <n v="8.0584452280275762E-2"/>
    <x v="7"/>
  </r>
  <r>
    <n v="4"/>
    <n v="50"/>
    <n v="5"/>
    <n v="0"/>
    <n v="3"/>
    <n v="8"/>
    <n v="3"/>
    <n v="0.01"/>
    <n v="5"/>
    <n v="0"/>
    <n v="0.91947598201373693"/>
    <n v="8.0524017986263074E-2"/>
    <x v="7"/>
  </r>
  <r>
    <n v="5"/>
    <n v="60"/>
    <n v="0"/>
    <n v="0"/>
    <n v="1"/>
    <n v="7"/>
    <n v="0"/>
    <n v="20000"/>
    <n v="4"/>
    <n v="0"/>
    <n v="0.91956439876594243"/>
    <n v="8.0435601234057547E-2"/>
    <x v="7"/>
  </r>
  <r>
    <n v="3"/>
    <n v="48"/>
    <n v="5"/>
    <n v="0"/>
    <n v="0"/>
    <n v="2"/>
    <n v="3"/>
    <n v="0.01"/>
    <n v="8"/>
    <n v="0"/>
    <n v="0.91957239743801655"/>
    <n v="8.0427602561983502E-2"/>
    <x v="7"/>
  </r>
  <r>
    <n v="8"/>
    <n v="66"/>
    <n v="2"/>
    <n v="1"/>
    <n v="2"/>
    <n v="6"/>
    <n v="1"/>
    <n v="35042.92"/>
    <n v="19"/>
    <n v="0"/>
    <n v="0.91966834871783631"/>
    <n v="8.0331651282163644E-2"/>
    <x v="7"/>
  </r>
  <r>
    <n v="2"/>
    <n v="46"/>
    <n v="1"/>
    <n v="0"/>
    <n v="3"/>
    <n v="8"/>
    <n v="0"/>
    <n v="6000"/>
    <n v="2"/>
    <n v="0"/>
    <n v="0.9197481497753287"/>
    <n v="8.0251850224671337E-2"/>
    <x v="8"/>
  </r>
  <r>
    <n v="7"/>
    <n v="63"/>
    <n v="5"/>
    <n v="0"/>
    <n v="3"/>
    <n v="8"/>
    <n v="2"/>
    <n v="1621.6"/>
    <n v="5"/>
    <n v="0"/>
    <n v="0.91980737110587218"/>
    <n v="8.0192628894127801E-2"/>
    <x v="8"/>
  </r>
  <r>
    <n v="5"/>
    <n v="56"/>
    <n v="5"/>
    <n v="0"/>
    <n v="0"/>
    <n v="4"/>
    <n v="3"/>
    <n v="0.01"/>
    <n v="9"/>
    <n v="0"/>
    <n v="0.91984196196261192"/>
    <n v="8.0158038037388135E-2"/>
    <x v="8"/>
  </r>
  <r>
    <n v="7"/>
    <n v="61"/>
    <n v="1"/>
    <n v="1"/>
    <n v="1"/>
    <n v="5"/>
    <n v="2"/>
    <n v="2300"/>
    <n v="1"/>
    <n v="0"/>
    <n v="0.91985511765610661"/>
    <n v="8.0144882343893387E-2"/>
    <x v="8"/>
  </r>
  <r>
    <n v="4"/>
    <n v="55"/>
    <n v="0"/>
    <n v="0"/>
    <n v="3"/>
    <n v="3"/>
    <n v="0"/>
    <n v="6000"/>
    <n v="1"/>
    <n v="0"/>
    <n v="0.9198709927266413"/>
    <n v="8.0129007273358741E-2"/>
    <x v="8"/>
  </r>
  <r>
    <n v="8"/>
    <n v="70"/>
    <n v="5"/>
    <n v="0"/>
    <n v="1"/>
    <n v="7"/>
    <n v="0"/>
    <n v="16053.35"/>
    <n v="7"/>
    <n v="0"/>
    <n v="0.91990426266974934"/>
    <n v="8.0095737330250702E-2"/>
    <x v="8"/>
  </r>
  <r>
    <n v="3"/>
    <n v="45"/>
    <n v="4"/>
    <n v="1"/>
    <n v="0"/>
    <n v="11"/>
    <n v="0"/>
    <n v="6000"/>
    <n v="1"/>
    <n v="0"/>
    <n v="0.91996725470822382"/>
    <n v="8.0032745291776161E-2"/>
    <x v="8"/>
  </r>
  <r>
    <n v="9"/>
    <n v="62"/>
    <n v="3"/>
    <n v="2"/>
    <n v="3"/>
    <n v="3"/>
    <n v="3"/>
    <n v="0.01"/>
    <n v="11"/>
    <n v="0"/>
    <n v="0.91996994026201262"/>
    <n v="8.0030059737987339E-2"/>
    <x v="8"/>
  </r>
  <r>
    <n v="7"/>
    <n v="65"/>
    <n v="5"/>
    <n v="0"/>
    <n v="0"/>
    <n v="4"/>
    <n v="2"/>
    <n v="4100"/>
    <n v="10"/>
    <n v="0"/>
    <n v="0.9200060568819588"/>
    <n v="7.9993943118041241E-2"/>
    <x v="8"/>
  </r>
  <r>
    <n v="6"/>
    <n v="56"/>
    <n v="3"/>
    <n v="1"/>
    <n v="1"/>
    <n v="7"/>
    <n v="2"/>
    <n v="1500"/>
    <n v="5"/>
    <n v="0"/>
    <n v="0.92004516817827198"/>
    <n v="7.9954831821728023E-2"/>
    <x v="8"/>
  </r>
  <r>
    <n v="5"/>
    <n v="57"/>
    <n v="2"/>
    <n v="0"/>
    <n v="3"/>
    <n v="3"/>
    <n v="2"/>
    <n v="3000"/>
    <n v="16"/>
    <n v="0"/>
    <n v="0.92007835101168844"/>
    <n v="7.9921648988311569E-2"/>
    <x v="8"/>
  </r>
  <r>
    <n v="7"/>
    <n v="65"/>
    <n v="3"/>
    <n v="0"/>
    <n v="1"/>
    <n v="12"/>
    <n v="2"/>
    <n v="2134"/>
    <n v="27"/>
    <n v="0"/>
    <n v="0.92008381730906363"/>
    <n v="7.9916182690936408E-2"/>
    <x v="8"/>
  </r>
  <r>
    <n v="8"/>
    <n v="59"/>
    <n v="4"/>
    <n v="2"/>
    <n v="2"/>
    <n v="0"/>
    <n v="2"/>
    <n v="2500"/>
    <n v="7"/>
    <n v="0"/>
    <n v="0.92009542044888204"/>
    <n v="7.9904579551117974E-2"/>
    <x v="8"/>
  </r>
  <r>
    <n v="5"/>
    <n v="51"/>
    <n v="4"/>
    <n v="1"/>
    <n v="1"/>
    <n v="5"/>
    <n v="3"/>
    <n v="0.01"/>
    <n v="8"/>
    <n v="1"/>
    <n v="0.9200999351907807"/>
    <n v="7.9900064809219296E-2"/>
    <x v="8"/>
  </r>
  <r>
    <n v="6"/>
    <n v="60"/>
    <n v="1"/>
    <n v="0"/>
    <n v="3"/>
    <n v="8"/>
    <n v="3"/>
    <n v="0.01"/>
    <n v="5"/>
    <n v="0"/>
    <n v="0.92014672563237787"/>
    <n v="7.9853274367622157E-2"/>
    <x v="8"/>
  </r>
  <r>
    <n v="6"/>
    <n v="63"/>
    <n v="0"/>
    <n v="0"/>
    <n v="0"/>
    <n v="4"/>
    <n v="2"/>
    <n v="1000"/>
    <n v="6"/>
    <n v="0"/>
    <n v="0.92015251158991884"/>
    <n v="7.9847488410081144E-2"/>
    <x v="8"/>
  </r>
  <r>
    <n v="10"/>
    <n v="77"/>
    <n v="2"/>
    <n v="0"/>
    <n v="3"/>
    <n v="3"/>
    <n v="2"/>
    <n v="3000"/>
    <n v="2"/>
    <n v="0"/>
    <n v="0.92029003114069696"/>
    <n v="7.9709968859302996E-2"/>
    <x v="8"/>
  </r>
  <r>
    <n v="8"/>
    <n v="65"/>
    <n v="4"/>
    <n v="1"/>
    <n v="1"/>
    <n v="12"/>
    <n v="0"/>
    <n v="9000"/>
    <n v="8"/>
    <n v="0"/>
    <n v="0.92033288349668685"/>
    <n v="7.9667116503313165E-2"/>
    <x v="8"/>
  </r>
  <r>
    <n v="7"/>
    <n v="64"/>
    <n v="4"/>
    <n v="0"/>
    <n v="0"/>
    <n v="11"/>
    <n v="3"/>
    <n v="0.01"/>
    <n v="8"/>
    <n v="1"/>
    <n v="0.92038334814091249"/>
    <n v="7.9616651859087464E-2"/>
    <x v="8"/>
  </r>
  <r>
    <n v="6"/>
    <n v="62"/>
    <n v="4"/>
    <n v="0"/>
    <n v="0"/>
    <n v="11"/>
    <n v="1"/>
    <n v="21000.01"/>
    <n v="9"/>
    <n v="0"/>
    <n v="0.92039983830201155"/>
    <n v="7.9600161697988503E-2"/>
    <x v="8"/>
  </r>
  <r>
    <n v="9"/>
    <n v="74"/>
    <n v="3"/>
    <n v="0"/>
    <n v="0"/>
    <n v="4"/>
    <n v="2"/>
    <n v="3000"/>
    <n v="8"/>
    <n v="0"/>
    <n v="0.9204368245304777"/>
    <n v="7.9563175469522351E-2"/>
    <x v="8"/>
  </r>
  <r>
    <n v="6"/>
    <n v="62"/>
    <n v="3"/>
    <n v="0"/>
    <n v="0"/>
    <n v="2"/>
    <n v="2"/>
    <n v="5000"/>
    <n v="4"/>
    <n v="0"/>
    <n v="0.92043712224629637"/>
    <n v="7.9562877753703673E-2"/>
    <x v="8"/>
  </r>
  <r>
    <n v="10"/>
    <n v="75"/>
    <n v="2"/>
    <n v="1"/>
    <n v="1"/>
    <n v="7"/>
    <n v="0"/>
    <n v="12158.67"/>
    <n v="29"/>
    <n v="0"/>
    <n v="0.92049227246101872"/>
    <n v="7.9507727538981277E-2"/>
    <x v="8"/>
  </r>
  <r>
    <n v="4"/>
    <n v="55"/>
    <n v="0"/>
    <n v="0"/>
    <n v="3"/>
    <n v="8"/>
    <n v="0"/>
    <n v="12088.81"/>
    <n v="8"/>
    <n v="0"/>
    <n v="0.92050562193646779"/>
    <n v="7.9494378063532184E-2"/>
    <x v="8"/>
  </r>
  <r>
    <n v="10"/>
    <n v="68"/>
    <n v="4"/>
    <n v="2"/>
    <n v="0"/>
    <n v="4"/>
    <n v="2"/>
    <n v="600"/>
    <n v="19"/>
    <n v="0"/>
    <n v="0.9205997161257089"/>
    <n v="7.9400283874291155E-2"/>
    <x v="8"/>
  </r>
  <r>
    <n v="4"/>
    <n v="53"/>
    <n v="3"/>
    <n v="0"/>
    <n v="1"/>
    <n v="7"/>
    <n v="2"/>
    <n v="600"/>
    <n v="9"/>
    <n v="0"/>
    <n v="0.92061314298987651"/>
    <n v="7.9386857010123477E-2"/>
    <x v="8"/>
  </r>
  <r>
    <n v="10"/>
    <n v="79"/>
    <n v="1"/>
    <n v="0"/>
    <n v="0"/>
    <n v="4"/>
    <n v="2"/>
    <n v="1000"/>
    <n v="11"/>
    <n v="1"/>
    <n v="0.92072300303016708"/>
    <n v="7.9276996969832939E-2"/>
    <x v="8"/>
  </r>
  <r>
    <n v="8"/>
    <n v="70"/>
    <n v="0"/>
    <n v="0"/>
    <n v="3"/>
    <n v="3"/>
    <n v="2"/>
    <n v="2000"/>
    <n v="9"/>
    <n v="0"/>
    <n v="0.92074569667687822"/>
    <n v="7.9254303323121819E-2"/>
    <x v="8"/>
  </r>
  <r>
    <n v="5"/>
    <n v="57"/>
    <n v="2"/>
    <n v="0"/>
    <n v="3"/>
    <n v="3"/>
    <n v="2"/>
    <n v="3000"/>
    <n v="8"/>
    <n v="0"/>
    <n v="0.92083106056509867"/>
    <n v="7.9168939434901275E-2"/>
    <x v="8"/>
  </r>
  <r>
    <n v="6"/>
    <n v="63"/>
    <n v="1"/>
    <n v="0"/>
    <n v="3"/>
    <n v="3"/>
    <n v="0"/>
    <n v="10000"/>
    <n v="1"/>
    <n v="0"/>
    <n v="0.92088331393437972"/>
    <n v="7.9116686065620237E-2"/>
    <x v="8"/>
  </r>
  <r>
    <n v="3"/>
    <n v="51"/>
    <n v="0"/>
    <n v="0"/>
    <n v="3"/>
    <n v="3"/>
    <n v="1"/>
    <n v="21008.63"/>
    <n v="8"/>
    <n v="0"/>
    <n v="0.92088630946275352"/>
    <n v="7.9113690537246442E-2"/>
    <x v="8"/>
  </r>
  <r>
    <n v="8"/>
    <n v="63"/>
    <n v="2"/>
    <n v="1"/>
    <n v="3"/>
    <n v="8"/>
    <n v="3"/>
    <n v="0.01"/>
    <n v="8"/>
    <n v="0"/>
    <n v="0.92095204246440621"/>
    <n v="7.9047957535593835E-2"/>
    <x v="8"/>
  </r>
  <r>
    <n v="8"/>
    <n v="69"/>
    <n v="1"/>
    <n v="0"/>
    <n v="2"/>
    <n v="6"/>
    <n v="3"/>
    <n v="0.01"/>
    <n v="7"/>
    <n v="0"/>
    <n v="0.9210353876119427"/>
    <n v="7.896461238805727E-2"/>
    <x v="8"/>
  </r>
  <r>
    <n v="10"/>
    <n v="69"/>
    <n v="2"/>
    <n v="2"/>
    <n v="3"/>
    <n v="3"/>
    <n v="0"/>
    <n v="6000"/>
    <n v="5"/>
    <n v="0"/>
    <n v="0.92122757516382658"/>
    <n v="7.8772424836173374E-2"/>
    <x v="8"/>
  </r>
  <r>
    <n v="6"/>
    <n v="63"/>
    <n v="0"/>
    <n v="0"/>
    <n v="3"/>
    <n v="8"/>
    <n v="0"/>
    <n v="6025"/>
    <n v="3"/>
    <n v="0"/>
    <n v="0.9212453372946412"/>
    <n v="7.8754662705358816E-2"/>
    <x v="8"/>
  </r>
  <r>
    <n v="9"/>
    <n v="71"/>
    <n v="1"/>
    <n v="1"/>
    <n v="2"/>
    <n v="1"/>
    <n v="0"/>
    <n v="6000"/>
    <n v="7"/>
    <n v="0"/>
    <n v="0.92125021107012883"/>
    <n v="7.8749788929871153E-2"/>
    <x v="8"/>
  </r>
  <r>
    <n v="5"/>
    <n v="57"/>
    <n v="2"/>
    <n v="0"/>
    <n v="0"/>
    <n v="10"/>
    <n v="3"/>
    <n v="0.01"/>
    <n v="5"/>
    <n v="0"/>
    <n v="0.92125665228108"/>
    <n v="7.874334771891997E-2"/>
    <x v="8"/>
  </r>
  <r>
    <n v="8"/>
    <n v="70"/>
    <n v="4"/>
    <n v="0"/>
    <n v="3"/>
    <n v="3"/>
    <n v="0"/>
    <n v="9000"/>
    <n v="8"/>
    <n v="0"/>
    <n v="0.92126904343048366"/>
    <n v="7.8730956569516328E-2"/>
    <x v="8"/>
  </r>
  <r>
    <n v="9"/>
    <n v="75"/>
    <n v="1"/>
    <n v="0"/>
    <n v="0"/>
    <n v="4"/>
    <n v="2"/>
    <n v="3000"/>
    <n v="5"/>
    <n v="0"/>
    <n v="0.92126941711840371"/>
    <n v="7.8730582881596234E-2"/>
    <x v="8"/>
  </r>
  <r>
    <n v="10"/>
    <n v="70"/>
    <n v="0"/>
    <n v="2"/>
    <n v="3"/>
    <n v="3"/>
    <n v="0"/>
    <n v="6053.35"/>
    <n v="7"/>
    <n v="0"/>
    <n v="0.92158333091706912"/>
    <n v="7.8416669082930851E-2"/>
    <x v="8"/>
  </r>
  <r>
    <n v="5"/>
    <n v="58"/>
    <n v="0"/>
    <n v="0"/>
    <n v="3"/>
    <n v="3"/>
    <n v="2"/>
    <n v="2500"/>
    <n v="5"/>
    <n v="0"/>
    <n v="0.92171802725154728"/>
    <n v="7.8281972748452749E-2"/>
    <x v="8"/>
  </r>
  <r>
    <n v="6"/>
    <n v="63"/>
    <n v="4"/>
    <n v="0"/>
    <n v="0"/>
    <n v="2"/>
    <n v="1"/>
    <n v="20504.650000000001"/>
    <n v="3"/>
    <n v="1"/>
    <n v="0.92180075323666422"/>
    <n v="7.8199246763335797E-2"/>
    <x v="8"/>
  </r>
  <r>
    <n v="7"/>
    <n v="67"/>
    <n v="1"/>
    <n v="0"/>
    <n v="3"/>
    <n v="8"/>
    <n v="0"/>
    <n v="10800"/>
    <n v="8"/>
    <n v="0"/>
    <n v="0.92190748369840136"/>
    <n v="7.8092516301598622E-2"/>
    <x v="8"/>
  </r>
  <r>
    <n v="6"/>
    <n v="63"/>
    <n v="2"/>
    <n v="0"/>
    <n v="2"/>
    <n v="6"/>
    <n v="0"/>
    <n v="10000"/>
    <n v="1"/>
    <n v="0"/>
    <n v="0.92192224218767593"/>
    <n v="7.8077757812324067E-2"/>
    <x v="8"/>
  </r>
  <r>
    <n v="7"/>
    <n v="61"/>
    <n v="2"/>
    <n v="1"/>
    <n v="0"/>
    <n v="4"/>
    <n v="3"/>
    <n v="0.01"/>
    <n v="8"/>
    <n v="0"/>
    <n v="0.92211885532477467"/>
    <n v="7.7881144675225292E-2"/>
    <x v="8"/>
  </r>
  <r>
    <n v="7"/>
    <n v="68"/>
    <n v="1"/>
    <n v="0"/>
    <n v="2"/>
    <n v="1"/>
    <n v="0"/>
    <n v="6000"/>
    <n v="5"/>
    <n v="0"/>
    <n v="0.92226037677965733"/>
    <n v="7.7739623220342641E-2"/>
    <x v="8"/>
  </r>
  <r>
    <n v="8"/>
    <n v="62"/>
    <n v="2"/>
    <n v="2"/>
    <n v="1"/>
    <n v="7"/>
    <n v="0"/>
    <n v="14331.72"/>
    <n v="7"/>
    <n v="0"/>
    <n v="0.9223329406999734"/>
    <n v="7.7667059300026597E-2"/>
    <x v="8"/>
  </r>
  <r>
    <n v="8"/>
    <n v="72"/>
    <n v="1"/>
    <n v="0"/>
    <n v="1"/>
    <n v="7"/>
    <n v="0"/>
    <n v="6000"/>
    <n v="5"/>
    <n v="0"/>
    <n v="0.92236715681824089"/>
    <n v="7.7632843181759073E-2"/>
    <x v="8"/>
  </r>
  <r>
    <n v="4"/>
    <n v="55"/>
    <n v="1"/>
    <n v="0"/>
    <n v="0"/>
    <n v="4"/>
    <n v="2"/>
    <n v="0.02"/>
    <n v="7"/>
    <n v="0"/>
    <n v="0.92252027809146453"/>
    <n v="7.7479721908535512E-2"/>
    <x v="8"/>
  </r>
  <r>
    <n v="9"/>
    <n v="75"/>
    <n v="2"/>
    <n v="0"/>
    <n v="3"/>
    <n v="3"/>
    <n v="0"/>
    <n v="6000"/>
    <n v="1"/>
    <n v="0"/>
    <n v="0.92259162797440553"/>
    <n v="7.7408372025594502E-2"/>
    <x v="8"/>
  </r>
  <r>
    <n v="3"/>
    <n v="50"/>
    <n v="2"/>
    <n v="0"/>
    <n v="0"/>
    <n v="11"/>
    <n v="2"/>
    <n v="2000.01"/>
    <n v="8"/>
    <n v="0"/>
    <n v="0.92273937384959948"/>
    <n v="7.7260626150400469E-2"/>
    <x v="8"/>
  </r>
  <r>
    <n v="7"/>
    <n v="60"/>
    <n v="5"/>
    <n v="1"/>
    <n v="0"/>
    <n v="2"/>
    <n v="3"/>
    <n v="0.01"/>
    <n v="7"/>
    <n v="0"/>
    <n v="0.92276559423502968"/>
    <n v="7.723440576497026E-2"/>
    <x v="8"/>
  </r>
  <r>
    <n v="9"/>
    <n v="64"/>
    <n v="1"/>
    <n v="2"/>
    <n v="1"/>
    <n v="7"/>
    <n v="3"/>
    <n v="0.01"/>
    <n v="5"/>
    <n v="0"/>
    <n v="0.92290584195870473"/>
    <n v="7.7094158041295255E-2"/>
    <x v="8"/>
  </r>
  <r>
    <n v="5"/>
    <n v="58"/>
    <n v="4"/>
    <n v="0"/>
    <n v="3"/>
    <n v="3"/>
    <n v="0"/>
    <n v="6000"/>
    <n v="1"/>
    <n v="0"/>
    <n v="0.92291369261738121"/>
    <n v="7.7086307382618749E-2"/>
    <x v="8"/>
  </r>
  <r>
    <n v="6"/>
    <n v="54"/>
    <n v="0"/>
    <n v="2"/>
    <n v="3"/>
    <n v="3"/>
    <n v="0"/>
    <n v="6000"/>
    <n v="2"/>
    <n v="0"/>
    <n v="0.92291688302093622"/>
    <n v="7.7083116979063768E-2"/>
    <x v="8"/>
  </r>
  <r>
    <n v="9"/>
    <n v="71"/>
    <n v="1"/>
    <n v="1"/>
    <n v="2"/>
    <n v="6"/>
    <n v="0"/>
    <n v="10600"/>
    <n v="4"/>
    <n v="0"/>
    <n v="0.92296609204641633"/>
    <n v="7.7033907953583711E-2"/>
    <x v="8"/>
  </r>
  <r>
    <n v="8"/>
    <n v="58"/>
    <n v="5"/>
    <n v="2"/>
    <n v="3"/>
    <n v="8"/>
    <n v="2"/>
    <n v="3000"/>
    <n v="4"/>
    <n v="0"/>
    <n v="0.92309512210281852"/>
    <n v="7.6904877897181423E-2"/>
    <x v="8"/>
  </r>
  <r>
    <n v="8"/>
    <n v="69"/>
    <n v="5"/>
    <n v="0"/>
    <n v="0"/>
    <n v="11"/>
    <n v="2"/>
    <n v="2200"/>
    <n v="5"/>
    <n v="0"/>
    <n v="0.92324814096696439"/>
    <n v="7.6751859033035594E-2"/>
    <x v="8"/>
  </r>
  <r>
    <n v="7"/>
    <n v="62"/>
    <n v="2"/>
    <n v="1"/>
    <n v="0"/>
    <n v="4"/>
    <n v="2"/>
    <n v="1500"/>
    <n v="5"/>
    <n v="0"/>
    <n v="0.92337349819554959"/>
    <n v="7.6626501804450381E-2"/>
    <x v="8"/>
  </r>
  <r>
    <n v="8"/>
    <n v="67"/>
    <n v="1"/>
    <n v="1"/>
    <n v="3"/>
    <n v="3"/>
    <n v="0"/>
    <n v="12106"/>
    <n v="8"/>
    <n v="0"/>
    <n v="0.92349138482004756"/>
    <n v="7.6508615179952472E-2"/>
    <x v="8"/>
  </r>
  <r>
    <n v="6"/>
    <n v="62"/>
    <n v="3"/>
    <n v="0"/>
    <n v="0"/>
    <n v="2"/>
    <n v="3"/>
    <n v="0.01"/>
    <n v="11"/>
    <n v="0"/>
    <n v="0.92353483236846168"/>
    <n v="7.6465167631538364E-2"/>
    <x v="8"/>
  </r>
  <r>
    <n v="7"/>
    <n v="65"/>
    <n v="4"/>
    <n v="0"/>
    <n v="1"/>
    <n v="12"/>
    <n v="2"/>
    <n v="180"/>
    <n v="12"/>
    <n v="0"/>
    <n v="0.92359412646311856"/>
    <n v="7.6405873536881455E-2"/>
    <x v="8"/>
  </r>
  <r>
    <n v="10"/>
    <n v="78"/>
    <n v="3"/>
    <n v="0"/>
    <n v="1"/>
    <n v="7"/>
    <n v="2"/>
    <n v="2500"/>
    <n v="7"/>
    <n v="1"/>
    <n v="0.92359736287994543"/>
    <n v="7.6402637120054587E-2"/>
    <x v="8"/>
  </r>
  <r>
    <n v="7"/>
    <n v="67"/>
    <n v="2"/>
    <n v="0"/>
    <n v="3"/>
    <n v="8"/>
    <n v="1"/>
    <n v="42000"/>
    <n v="5"/>
    <n v="0"/>
    <n v="0.92361076127587216"/>
    <n v="7.6389238724127825E-2"/>
    <x v="8"/>
  </r>
  <r>
    <n v="6"/>
    <n v="51"/>
    <n v="2"/>
    <n v="2"/>
    <n v="3"/>
    <n v="3"/>
    <n v="3"/>
    <n v="0.01"/>
    <n v="5"/>
    <n v="0"/>
    <n v="0.92362039100193505"/>
    <n v="7.6379608998064938E-2"/>
    <x v="8"/>
  </r>
  <r>
    <n v="6"/>
    <n v="52"/>
    <n v="5"/>
    <n v="2"/>
    <n v="0"/>
    <n v="2"/>
    <n v="2"/>
    <n v="840"/>
    <n v="5"/>
    <n v="0"/>
    <n v="0.92382842774461604"/>
    <n v="7.6171572255383971E-2"/>
    <x v="8"/>
  </r>
  <r>
    <n v="5"/>
    <n v="58"/>
    <n v="3"/>
    <n v="0"/>
    <n v="2"/>
    <n v="1"/>
    <n v="2"/>
    <n v="3050"/>
    <n v="11"/>
    <n v="0"/>
    <n v="0.92391924028641881"/>
    <n v="7.6080759713581192E-2"/>
    <x v="8"/>
  </r>
  <r>
    <n v="7"/>
    <n v="65"/>
    <n v="5"/>
    <n v="0"/>
    <n v="1"/>
    <n v="7"/>
    <n v="2"/>
    <n v="473.89"/>
    <n v="7"/>
    <n v="0"/>
    <n v="0.92393265526485258"/>
    <n v="7.6067344735147424E-2"/>
    <x v="8"/>
  </r>
  <r>
    <n v="7"/>
    <n v="69"/>
    <n v="2"/>
    <n v="0"/>
    <n v="0"/>
    <n v="2"/>
    <n v="0"/>
    <n v="13025"/>
    <n v="4"/>
    <n v="0"/>
    <n v="0.92403973547014695"/>
    <n v="7.5960264529853092E-2"/>
    <x v="8"/>
  </r>
  <r>
    <n v="8"/>
    <n v="71"/>
    <n v="4"/>
    <n v="0"/>
    <n v="1"/>
    <n v="7"/>
    <n v="0"/>
    <n v="6000"/>
    <n v="1"/>
    <n v="0"/>
    <n v="0.92405953629905213"/>
    <n v="7.5940463700947883E-2"/>
    <x v="8"/>
  </r>
  <r>
    <n v="4"/>
    <n v="48"/>
    <n v="2"/>
    <n v="1"/>
    <n v="3"/>
    <n v="3"/>
    <n v="3"/>
    <n v="0.01"/>
    <n v="8"/>
    <n v="0"/>
    <n v="0.92415349316756834"/>
    <n v="7.5846506832431618E-2"/>
    <x v="8"/>
  </r>
  <r>
    <n v="5"/>
    <n v="61"/>
    <n v="1"/>
    <n v="0"/>
    <n v="0"/>
    <n v="4"/>
    <n v="0"/>
    <n v="6000"/>
    <n v="4"/>
    <n v="0"/>
    <n v="0.92418272226205245"/>
    <n v="7.581727773794758E-2"/>
    <x v="8"/>
  </r>
  <r>
    <n v="5"/>
    <n v="54"/>
    <n v="2"/>
    <n v="1"/>
    <n v="3"/>
    <n v="8"/>
    <n v="1"/>
    <n v="40000"/>
    <n v="1"/>
    <n v="0"/>
    <n v="0.92424426662684322"/>
    <n v="7.5755733373156817E-2"/>
    <x v="8"/>
  </r>
  <r>
    <n v="8"/>
    <n v="71"/>
    <n v="2"/>
    <n v="0"/>
    <n v="3"/>
    <n v="8"/>
    <n v="0"/>
    <n v="6000"/>
    <n v="6"/>
    <n v="0"/>
    <n v="0.92429138826856572"/>
    <n v="7.5708611731434297E-2"/>
    <x v="8"/>
  </r>
  <r>
    <n v="10"/>
    <n v="78"/>
    <n v="2"/>
    <n v="0"/>
    <n v="0"/>
    <n v="11"/>
    <n v="3"/>
    <n v="0.01"/>
    <n v="9"/>
    <n v="1"/>
    <n v="0.92448873268569132"/>
    <n v="7.5511267314308669E-2"/>
    <x v="8"/>
  </r>
  <r>
    <n v="9"/>
    <n v="76"/>
    <n v="1"/>
    <n v="0"/>
    <n v="3"/>
    <n v="3"/>
    <n v="0"/>
    <n v="6053"/>
    <n v="5"/>
    <n v="1"/>
    <n v="0.92461277854755064"/>
    <n v="7.5387221452449318E-2"/>
    <x v="8"/>
  </r>
  <r>
    <n v="2"/>
    <n v="45"/>
    <n v="3"/>
    <n v="0"/>
    <n v="1"/>
    <n v="7"/>
    <n v="3"/>
    <n v="0.01"/>
    <n v="5"/>
    <n v="0"/>
    <n v="0.92462195434634908"/>
    <n v="7.537804565365093E-2"/>
    <x v="8"/>
  </r>
  <r>
    <n v="8"/>
    <n v="71"/>
    <n v="3"/>
    <n v="0"/>
    <n v="3"/>
    <n v="3"/>
    <n v="0"/>
    <n v="6000"/>
    <n v="1"/>
    <n v="0"/>
    <n v="0.92466007425973562"/>
    <n v="7.5339925740264352E-2"/>
    <x v="8"/>
  </r>
  <r>
    <n v="7"/>
    <n v="62"/>
    <n v="1"/>
    <n v="1"/>
    <n v="0"/>
    <n v="4"/>
    <n v="3"/>
    <n v="0.01"/>
    <n v="5"/>
    <n v="0"/>
    <n v="0.92478541444535256"/>
    <n v="7.5214585554647467E-2"/>
    <x v="8"/>
  </r>
  <r>
    <n v="5"/>
    <n v="58"/>
    <n v="0"/>
    <n v="0"/>
    <n v="3"/>
    <n v="3"/>
    <n v="3"/>
    <n v="0.01"/>
    <n v="5"/>
    <n v="0"/>
    <n v="0.92511479287674847"/>
    <n v="7.4885207123251502E-2"/>
    <x v="8"/>
  </r>
  <r>
    <n v="8"/>
    <n v="71"/>
    <n v="2"/>
    <n v="0"/>
    <n v="0"/>
    <n v="2"/>
    <n v="3"/>
    <n v="0.01"/>
    <n v="15"/>
    <n v="0"/>
    <n v="0.92512166171611609"/>
    <n v="7.4878338283883919E-2"/>
    <x v="8"/>
  </r>
  <r>
    <n v="6"/>
    <n v="59"/>
    <n v="3"/>
    <n v="1"/>
    <n v="1"/>
    <n v="7"/>
    <n v="0"/>
    <n v="17000"/>
    <n v="2"/>
    <n v="0"/>
    <n v="0.92514100491577911"/>
    <n v="7.4858995084220947E-2"/>
    <x v="8"/>
  </r>
  <r>
    <n v="6"/>
    <n v="59"/>
    <n v="1"/>
    <n v="1"/>
    <n v="3"/>
    <n v="3"/>
    <n v="0"/>
    <n v="6000"/>
    <n v="2"/>
    <n v="0"/>
    <n v="0.92514171964666259"/>
    <n v="7.4858280353337442E-2"/>
    <x v="8"/>
  </r>
  <r>
    <n v="5"/>
    <n v="51"/>
    <n v="4"/>
    <n v="1"/>
    <n v="3"/>
    <n v="8"/>
    <n v="3"/>
    <n v="0.01"/>
    <n v="10"/>
    <n v="0"/>
    <n v="0.92514885742442232"/>
    <n v="7.4851142575577692E-2"/>
    <x v="8"/>
  </r>
  <r>
    <n v="8"/>
    <n v="59"/>
    <n v="4"/>
    <n v="2"/>
    <n v="3"/>
    <n v="8"/>
    <n v="2"/>
    <n v="5000"/>
    <n v="5"/>
    <n v="0"/>
    <n v="0.92515393237706445"/>
    <n v="7.4846067622935594E-2"/>
    <x v="8"/>
  </r>
  <r>
    <n v="7"/>
    <n v="68"/>
    <n v="4"/>
    <n v="0"/>
    <n v="0"/>
    <n v="4"/>
    <n v="0"/>
    <n v="6000"/>
    <n v="1"/>
    <n v="1"/>
    <n v="0.92533394443887218"/>
    <n v="7.4666055561127806E-2"/>
    <x v="8"/>
  </r>
  <r>
    <n v="9"/>
    <n v="74"/>
    <n v="2"/>
    <n v="0"/>
    <n v="3"/>
    <n v="8"/>
    <n v="2"/>
    <n v="2000"/>
    <n v="16"/>
    <n v="0"/>
    <n v="0.92557045065473476"/>
    <n v="7.4429549345265217E-2"/>
    <x v="8"/>
  </r>
  <r>
    <n v="4"/>
    <n v="51"/>
    <n v="4"/>
    <n v="1"/>
    <n v="0"/>
    <n v="4"/>
    <n v="0"/>
    <n v="6000"/>
    <n v="1"/>
    <n v="0"/>
    <n v="0.92558727702531529"/>
    <n v="7.4412722974684764E-2"/>
    <x v="8"/>
  </r>
  <r>
    <n v="7"/>
    <n v="56"/>
    <n v="4"/>
    <n v="2"/>
    <n v="0"/>
    <n v="4"/>
    <n v="3"/>
    <n v="0.01"/>
    <n v="5"/>
    <n v="0"/>
    <n v="0.92570813469634072"/>
    <n v="7.4291865303659305E-2"/>
    <x v="8"/>
  </r>
  <r>
    <n v="5"/>
    <n v="57"/>
    <n v="3"/>
    <n v="0"/>
    <n v="1"/>
    <n v="12"/>
    <n v="3"/>
    <n v="0.01"/>
    <n v="7"/>
    <n v="0"/>
    <n v="0.92571661336594324"/>
    <n v="7.4283386634056786E-2"/>
    <x v="8"/>
  </r>
  <r>
    <n v="6"/>
    <n v="53"/>
    <n v="2"/>
    <n v="2"/>
    <n v="0"/>
    <n v="11"/>
    <n v="2"/>
    <n v="500"/>
    <n v="8"/>
    <n v="0"/>
    <n v="0.92573181800131854"/>
    <n v="7.4268181998681487E-2"/>
    <x v="8"/>
  </r>
  <r>
    <n v="8"/>
    <n v="66"/>
    <n v="4"/>
    <n v="1"/>
    <n v="0"/>
    <n v="2"/>
    <n v="2"/>
    <n v="1200"/>
    <n v="9"/>
    <n v="0"/>
    <n v="0.92574118752877399"/>
    <n v="7.4258812471225982E-2"/>
    <x v="8"/>
  </r>
  <r>
    <n v="10"/>
    <n v="73"/>
    <n v="3"/>
    <n v="1"/>
    <n v="3"/>
    <n v="3"/>
    <n v="2"/>
    <n v="2500"/>
    <n v="5"/>
    <n v="0"/>
    <n v="0.92582979486204164"/>
    <n v="7.4170205137958328E-2"/>
    <x v="8"/>
  </r>
  <r>
    <n v="6"/>
    <n v="57"/>
    <n v="2"/>
    <n v="1"/>
    <n v="1"/>
    <n v="7"/>
    <n v="3"/>
    <n v="0.01"/>
    <n v="4"/>
    <n v="0"/>
    <n v="0.92584472239029847"/>
    <n v="7.4155277609701573E-2"/>
    <x v="8"/>
  </r>
  <r>
    <n v="5"/>
    <n v="57"/>
    <n v="3"/>
    <n v="0"/>
    <n v="3"/>
    <n v="3"/>
    <n v="3"/>
    <n v="0.01"/>
    <n v="11"/>
    <n v="0"/>
    <n v="0.92587489932204026"/>
    <n v="7.4125100677959799E-2"/>
    <x v="8"/>
  </r>
  <r>
    <n v="8"/>
    <n v="72"/>
    <n v="1"/>
    <n v="0"/>
    <n v="0"/>
    <n v="4"/>
    <n v="2"/>
    <n v="2400"/>
    <n v="4"/>
    <n v="0"/>
    <n v="0.92588746268472255"/>
    <n v="7.4112537315277408E-2"/>
    <x v="8"/>
  </r>
  <r>
    <n v="6"/>
    <n v="63"/>
    <n v="0"/>
    <n v="0"/>
    <n v="0"/>
    <n v="11"/>
    <n v="3"/>
    <n v="0.01"/>
    <n v="7"/>
    <n v="0"/>
    <n v="0.92602573175538772"/>
    <n v="7.3974268244612229E-2"/>
    <x v="8"/>
  </r>
  <r>
    <n v="6"/>
    <n v="57"/>
    <n v="3"/>
    <n v="1"/>
    <n v="1"/>
    <n v="12"/>
    <n v="2"/>
    <n v="1200"/>
    <n v="8"/>
    <n v="0"/>
    <n v="0.92602746045323037"/>
    <n v="7.3972539546769661E-2"/>
    <x v="8"/>
  </r>
  <r>
    <n v="10"/>
    <n v="69"/>
    <n v="2"/>
    <n v="2"/>
    <n v="2"/>
    <n v="6"/>
    <n v="2"/>
    <n v="2000"/>
    <n v="16"/>
    <n v="0"/>
    <n v="0.92604868218040071"/>
    <n v="7.3951317819599266E-2"/>
    <x v="8"/>
  </r>
  <r>
    <n v="7"/>
    <n v="64"/>
    <n v="5"/>
    <n v="0"/>
    <n v="4"/>
    <n v="9"/>
    <n v="2"/>
    <n v="3000"/>
    <n v="8"/>
    <n v="0"/>
    <n v="0.92606405586467877"/>
    <n v="7.3935944135321202E-2"/>
    <x v="8"/>
  </r>
  <r>
    <n v="6"/>
    <n v="63"/>
    <n v="2"/>
    <n v="0"/>
    <n v="0"/>
    <n v="2"/>
    <n v="3"/>
    <n v="0.01"/>
    <n v="8"/>
    <n v="0"/>
    <n v="0.926156792480894"/>
    <n v="7.3843207519106044E-2"/>
    <x v="8"/>
  </r>
  <r>
    <n v="10"/>
    <n v="79"/>
    <n v="5"/>
    <n v="0"/>
    <n v="3"/>
    <n v="3"/>
    <n v="0"/>
    <n v="15600"/>
    <n v="8"/>
    <n v="0"/>
    <n v="0.926185139808685"/>
    <n v="7.3814860191315043E-2"/>
    <x v="8"/>
  </r>
  <r>
    <n v="6"/>
    <n v="64"/>
    <n v="3"/>
    <n v="0"/>
    <n v="3"/>
    <n v="3"/>
    <n v="0"/>
    <n v="12000"/>
    <n v="27"/>
    <n v="0"/>
    <n v="0.92625620508794881"/>
    <n v="7.3743794912051158E-2"/>
    <x v="8"/>
  </r>
  <r>
    <n v="8"/>
    <n v="71"/>
    <n v="2"/>
    <n v="0"/>
    <n v="0"/>
    <n v="11"/>
    <n v="2"/>
    <n v="1500"/>
    <n v="4"/>
    <n v="0"/>
    <n v="0.9262984838875653"/>
    <n v="7.3701516112434681E-2"/>
    <x v="8"/>
  </r>
  <r>
    <n v="7"/>
    <n v="67"/>
    <n v="2"/>
    <n v="0"/>
    <n v="1"/>
    <n v="7"/>
    <n v="2"/>
    <n v="2000"/>
    <n v="8"/>
    <n v="0"/>
    <n v="0.92653998217233824"/>
    <n v="7.3460017827661761E-2"/>
    <x v="8"/>
  </r>
  <r>
    <n v="7"/>
    <n v="62"/>
    <n v="1"/>
    <n v="1"/>
    <n v="3"/>
    <n v="3"/>
    <n v="2"/>
    <n v="508.87"/>
    <n v="12"/>
    <n v="0"/>
    <n v="0.92657119135271537"/>
    <n v="7.3428808647284655E-2"/>
    <x v="8"/>
  </r>
  <r>
    <n v="3"/>
    <n v="50"/>
    <n v="1"/>
    <n v="0"/>
    <n v="1"/>
    <n v="12"/>
    <n v="3"/>
    <n v="0.01"/>
    <n v="7"/>
    <n v="0"/>
    <n v="0.92664724951524857"/>
    <n v="7.3352750484751456E-2"/>
    <x v="8"/>
  </r>
  <r>
    <n v="5"/>
    <n v="60"/>
    <n v="2"/>
    <n v="0"/>
    <n v="3"/>
    <n v="3"/>
    <n v="0"/>
    <n v="9000"/>
    <n v="8"/>
    <n v="0"/>
    <n v="0.92666289515264089"/>
    <n v="7.3337104847359127E-2"/>
    <x v="8"/>
  </r>
  <r>
    <n v="7"/>
    <n v="59"/>
    <n v="2"/>
    <n v="2"/>
    <n v="0"/>
    <n v="11"/>
    <n v="0"/>
    <n v="12160.99"/>
    <n v="5"/>
    <n v="0"/>
    <n v="0.92671371378200251"/>
    <n v="7.3286286217997515E-2"/>
    <x v="8"/>
  </r>
  <r>
    <n v="8"/>
    <n v="67"/>
    <n v="2"/>
    <n v="1"/>
    <n v="3"/>
    <n v="8"/>
    <n v="0"/>
    <n v="18053.349999999999"/>
    <n v="6"/>
    <n v="0"/>
    <n v="0.92672893692146396"/>
    <n v="7.3271063078536036E-2"/>
    <x v="8"/>
  </r>
  <r>
    <n v="9"/>
    <n v="70"/>
    <n v="0"/>
    <n v="1"/>
    <n v="3"/>
    <n v="8"/>
    <n v="2"/>
    <n v="2000"/>
    <n v="4"/>
    <n v="0"/>
    <n v="0.92677363187948303"/>
    <n v="7.3226368120516985E-2"/>
    <x v="8"/>
  </r>
  <r>
    <n v="7"/>
    <n v="68"/>
    <n v="1"/>
    <n v="0"/>
    <n v="4"/>
    <n v="9"/>
    <n v="0"/>
    <n v="17000"/>
    <n v="19"/>
    <n v="0"/>
    <n v="0.92679800988237282"/>
    <n v="7.3201990117627139E-2"/>
    <x v="8"/>
  </r>
  <r>
    <n v="5"/>
    <n v="54"/>
    <n v="3"/>
    <n v="1"/>
    <n v="3"/>
    <n v="8"/>
    <n v="0"/>
    <n v="6000"/>
    <n v="1"/>
    <n v="0"/>
    <n v="0.92679954162175704"/>
    <n v="7.3200458378242947E-2"/>
    <x v="8"/>
  </r>
  <r>
    <n v="7"/>
    <n v="68"/>
    <n v="0"/>
    <n v="0"/>
    <n v="0"/>
    <n v="11"/>
    <n v="2"/>
    <n v="3000"/>
    <n v="3"/>
    <n v="0"/>
    <n v="0.92694162026219429"/>
    <n v="7.3058379737805657E-2"/>
    <x v="8"/>
  </r>
  <r>
    <n v="11"/>
    <n v="73"/>
    <n v="5"/>
    <n v="2"/>
    <n v="1"/>
    <n v="12"/>
    <n v="1"/>
    <n v="26000"/>
    <n v="4"/>
    <n v="0"/>
    <n v="0.92694333257516781"/>
    <n v="7.3056667424832147E-2"/>
    <x v="8"/>
  </r>
  <r>
    <n v="5"/>
    <n v="58"/>
    <n v="4"/>
    <n v="0"/>
    <n v="1"/>
    <n v="7"/>
    <n v="2"/>
    <n v="420"/>
    <n v="4"/>
    <n v="0"/>
    <n v="0.9269582099395226"/>
    <n v="7.3041790060477368E-2"/>
    <x v="8"/>
  </r>
  <r>
    <n v="4"/>
    <n v="46"/>
    <n v="1"/>
    <n v="2"/>
    <n v="3"/>
    <n v="8"/>
    <n v="0"/>
    <n v="6000"/>
    <n v="3"/>
    <n v="0"/>
    <n v="0.92697759305668037"/>
    <n v="7.3022406943319629E-2"/>
    <x v="8"/>
  </r>
  <r>
    <n v="4"/>
    <n v="49"/>
    <n v="4"/>
    <n v="1"/>
    <n v="4"/>
    <n v="9"/>
    <n v="0"/>
    <n v="5800"/>
    <n v="1"/>
    <n v="0"/>
    <n v="0.92702899222937618"/>
    <n v="7.2971007770623833E-2"/>
    <x v="8"/>
  </r>
  <r>
    <n v="9"/>
    <n v="70"/>
    <n v="3"/>
    <n v="1"/>
    <n v="0"/>
    <n v="2"/>
    <n v="3"/>
    <n v="0.01"/>
    <n v="6"/>
    <n v="0"/>
    <n v="0.92713657281474593"/>
    <n v="7.2863427185254084E-2"/>
    <x v="8"/>
  </r>
  <r>
    <n v="5"/>
    <n v="58"/>
    <n v="2"/>
    <n v="0"/>
    <n v="3"/>
    <n v="8"/>
    <n v="2"/>
    <n v="4000"/>
    <n v="5"/>
    <n v="0"/>
    <n v="0.92713949778933169"/>
    <n v="7.2860502210668338E-2"/>
    <x v="8"/>
  </r>
  <r>
    <n v="7"/>
    <n v="66"/>
    <n v="2"/>
    <n v="0"/>
    <n v="3"/>
    <n v="8"/>
    <n v="2"/>
    <n v="1000"/>
    <n v="4"/>
    <n v="0"/>
    <n v="0.92714458496324581"/>
    <n v="7.285541503675419E-2"/>
    <x v="8"/>
  </r>
  <r>
    <n v="9"/>
    <n v="76"/>
    <n v="4"/>
    <n v="0"/>
    <n v="0"/>
    <n v="11"/>
    <n v="0"/>
    <n v="8053.34"/>
    <n v="3"/>
    <n v="0"/>
    <n v="0.92714462553297772"/>
    <n v="7.2855374467022241E-2"/>
    <x v="8"/>
  </r>
  <r>
    <n v="10"/>
    <n v="76"/>
    <n v="1"/>
    <n v="1"/>
    <n v="0"/>
    <n v="2"/>
    <n v="2"/>
    <n v="2000"/>
    <n v="18"/>
    <n v="0"/>
    <n v="0.92727601443057173"/>
    <n v="7.2723985569428315E-2"/>
    <x v="8"/>
  </r>
  <r>
    <n v="8"/>
    <n v="65"/>
    <n v="5"/>
    <n v="1"/>
    <n v="0"/>
    <n v="4"/>
    <n v="3"/>
    <n v="0.01"/>
    <n v="8"/>
    <n v="0"/>
    <n v="0.92739702880169961"/>
    <n v="7.2602971198300351E-2"/>
    <x v="8"/>
  </r>
  <r>
    <n v="9"/>
    <n v="74"/>
    <n v="5"/>
    <n v="0"/>
    <n v="0"/>
    <n v="11"/>
    <n v="2"/>
    <n v="1000"/>
    <n v="4"/>
    <n v="1"/>
    <n v="0.92741823027647052"/>
    <n v="7.2581769723529491E-2"/>
    <x v="8"/>
  </r>
  <r>
    <n v="7"/>
    <n v="64"/>
    <n v="0"/>
    <n v="1"/>
    <n v="3"/>
    <n v="8"/>
    <n v="0"/>
    <n v="13195.7"/>
    <n v="12"/>
    <n v="0"/>
    <n v="0.92745264689151685"/>
    <n v="7.2547353108483148E-2"/>
    <x v="8"/>
  </r>
  <r>
    <n v="5"/>
    <n v="58"/>
    <n v="3"/>
    <n v="0"/>
    <n v="1"/>
    <n v="5"/>
    <n v="3"/>
    <n v="0.01"/>
    <n v="4"/>
    <n v="0"/>
    <n v="0.92745810937780193"/>
    <n v="7.254189062219811E-2"/>
    <x v="8"/>
  </r>
  <r>
    <n v="5"/>
    <n v="51"/>
    <n v="5"/>
    <n v="1"/>
    <n v="3"/>
    <n v="8"/>
    <n v="3"/>
    <n v="0.01"/>
    <n v="4"/>
    <n v="0"/>
    <n v="0.9274703988550036"/>
    <n v="7.2529601144996389E-2"/>
    <x v="8"/>
  </r>
  <r>
    <n v="4"/>
    <n v="52"/>
    <n v="5"/>
    <n v="0"/>
    <n v="3"/>
    <n v="8"/>
    <n v="3"/>
    <n v="0.01"/>
    <n v="10"/>
    <n v="0"/>
    <n v="0.92751775632818934"/>
    <n v="7.2482243671810609E-2"/>
    <x v="8"/>
  </r>
  <r>
    <n v="7"/>
    <n v="67"/>
    <n v="3"/>
    <n v="0"/>
    <n v="1"/>
    <n v="5"/>
    <n v="2"/>
    <n v="1500"/>
    <n v="8"/>
    <n v="1"/>
    <n v="0.92763026873813015"/>
    <n v="7.2369731261869866E-2"/>
    <x v="8"/>
  </r>
  <r>
    <n v="7"/>
    <n v="64"/>
    <n v="2"/>
    <n v="1"/>
    <n v="0"/>
    <n v="10"/>
    <n v="0"/>
    <n v="6000"/>
    <n v="2"/>
    <n v="0"/>
    <n v="0.92763775350395117"/>
    <n v="7.2362246496048818E-2"/>
    <x v="8"/>
  </r>
  <r>
    <n v="5"/>
    <n v="51"/>
    <n v="4"/>
    <n v="1"/>
    <n v="4"/>
    <n v="9"/>
    <n v="3"/>
    <n v="0.01"/>
    <n v="7"/>
    <n v="1"/>
    <n v="0.92772269009857478"/>
    <n v="7.227730990142521E-2"/>
    <x v="8"/>
  </r>
  <r>
    <n v="9"/>
    <n v="70"/>
    <n v="3"/>
    <n v="1"/>
    <n v="4"/>
    <n v="9"/>
    <n v="0"/>
    <n v="6053.35"/>
    <n v="7"/>
    <n v="0"/>
    <n v="0.9277457450873221"/>
    <n v="7.2254254912677923E-2"/>
    <x v="8"/>
  </r>
  <r>
    <n v="3"/>
    <n v="51"/>
    <n v="1"/>
    <n v="0"/>
    <n v="3"/>
    <n v="3"/>
    <n v="2"/>
    <n v="3000"/>
    <n v="8"/>
    <n v="0"/>
    <n v="0.92782709873182967"/>
    <n v="7.2172901268170372E-2"/>
    <x v="8"/>
  </r>
  <r>
    <n v="3"/>
    <n v="51"/>
    <n v="1"/>
    <n v="0"/>
    <n v="1"/>
    <n v="12"/>
    <n v="2"/>
    <n v="0.02"/>
    <n v="4"/>
    <n v="0"/>
    <n v="0.92799630822620971"/>
    <n v="7.2003691773790332E-2"/>
    <x v="8"/>
  </r>
  <r>
    <n v="9"/>
    <n v="73"/>
    <n v="4"/>
    <n v="0"/>
    <n v="4"/>
    <n v="9"/>
    <n v="2"/>
    <n v="3000.01"/>
    <n v="7"/>
    <n v="1"/>
    <n v="0.92803282583550195"/>
    <n v="7.1967174164498007E-2"/>
    <x v="8"/>
  </r>
  <r>
    <n v="8"/>
    <n v="73"/>
    <n v="4"/>
    <n v="0"/>
    <n v="0"/>
    <n v="4"/>
    <n v="0"/>
    <n v="7448.02"/>
    <n v="11"/>
    <n v="0"/>
    <n v="0.92818230452194406"/>
    <n v="7.1817695478055915E-2"/>
    <x v="8"/>
  </r>
  <r>
    <n v="4"/>
    <n v="55"/>
    <n v="1"/>
    <n v="0"/>
    <n v="0"/>
    <n v="11"/>
    <n v="3"/>
    <n v="0.01"/>
    <n v="7"/>
    <n v="0"/>
    <n v="0.92821118977716421"/>
    <n v="7.1788810222835744E-2"/>
    <x v="8"/>
  </r>
  <r>
    <n v="8"/>
    <n v="68"/>
    <n v="0"/>
    <n v="1"/>
    <n v="0"/>
    <n v="4"/>
    <n v="2"/>
    <n v="500"/>
    <n v="1"/>
    <n v="0"/>
    <n v="0.92827993716986501"/>
    <n v="7.1720062830134948E-2"/>
    <x v="8"/>
  </r>
  <r>
    <n v="4"/>
    <n v="57"/>
    <n v="3"/>
    <n v="0"/>
    <n v="0"/>
    <n v="2"/>
    <n v="1"/>
    <n v="20212.009999999998"/>
    <n v="8"/>
    <n v="0"/>
    <n v="0.92832257972167909"/>
    <n v="7.1677420278320955E-2"/>
    <x v="8"/>
  </r>
  <r>
    <n v="5"/>
    <n v="55"/>
    <n v="3"/>
    <n v="1"/>
    <n v="1"/>
    <n v="12"/>
    <n v="0"/>
    <n v="6000"/>
    <n v="3"/>
    <n v="0"/>
    <n v="0.92832550728143448"/>
    <n v="7.1674492718565561E-2"/>
    <x v="8"/>
  </r>
  <r>
    <n v="8"/>
    <n v="72"/>
    <n v="2"/>
    <n v="0"/>
    <n v="0"/>
    <n v="10"/>
    <n v="2"/>
    <n v="1250"/>
    <n v="23"/>
    <n v="1"/>
    <n v="0.92836518402340618"/>
    <n v="7.1634815976593769E-2"/>
    <x v="8"/>
  </r>
  <r>
    <n v="6"/>
    <n v="53"/>
    <n v="1"/>
    <n v="2"/>
    <n v="3"/>
    <n v="8"/>
    <n v="2"/>
    <n v="2500"/>
    <n v="8"/>
    <n v="0"/>
    <n v="0.92838771166118195"/>
    <n v="7.1612288338818011E-2"/>
    <x v="8"/>
  </r>
  <r>
    <n v="2"/>
    <n v="47"/>
    <n v="1"/>
    <n v="0"/>
    <n v="3"/>
    <n v="3"/>
    <n v="2"/>
    <n v="1000"/>
    <n v="5"/>
    <n v="0"/>
    <n v="0.92850047973144356"/>
    <n v="7.149952026855648E-2"/>
    <x v="8"/>
  </r>
  <r>
    <n v="5"/>
    <n v="60"/>
    <n v="2"/>
    <n v="0"/>
    <n v="0"/>
    <n v="11"/>
    <n v="2"/>
    <n v="3000"/>
    <n v="30"/>
    <n v="0"/>
    <n v="0.92854716095141709"/>
    <n v="7.145283904858292E-2"/>
    <x v="8"/>
  </r>
  <r>
    <n v="9"/>
    <n v="64"/>
    <n v="3"/>
    <n v="2"/>
    <n v="3"/>
    <n v="8"/>
    <n v="3"/>
    <n v="0.01"/>
    <n v="30"/>
    <n v="0"/>
    <n v="0.92859580969490862"/>
    <n v="7.1404190305091389E-2"/>
    <x v="8"/>
  </r>
  <r>
    <n v="7"/>
    <n v="66"/>
    <n v="5"/>
    <n v="0"/>
    <n v="1"/>
    <n v="7"/>
    <n v="2"/>
    <n v="100"/>
    <n v="1"/>
    <n v="0"/>
    <n v="0.92860837385081441"/>
    <n v="7.139162614918558E-2"/>
    <x v="8"/>
  </r>
  <r>
    <n v="6"/>
    <n v="60"/>
    <n v="1"/>
    <n v="1"/>
    <n v="3"/>
    <n v="3"/>
    <n v="0"/>
    <n v="10000"/>
    <n v="4"/>
    <n v="0"/>
    <n v="0.92860851992957427"/>
    <n v="7.139148007042577E-2"/>
    <x v="8"/>
  </r>
  <r>
    <n v="7"/>
    <n v="67"/>
    <n v="0"/>
    <n v="0"/>
    <n v="3"/>
    <n v="3"/>
    <n v="3"/>
    <n v="0.01"/>
    <n v="7"/>
    <n v="0"/>
    <n v="0.92860936502820768"/>
    <n v="7.1390634971792363E-2"/>
    <x v="8"/>
  </r>
  <r>
    <n v="7"/>
    <n v="68"/>
    <n v="3"/>
    <n v="0"/>
    <n v="3"/>
    <n v="3"/>
    <n v="0"/>
    <n v="6053.34"/>
    <n v="4"/>
    <n v="0"/>
    <n v="0.92868548064231371"/>
    <n v="7.1314519357686262E-2"/>
    <x v="8"/>
  </r>
  <r>
    <n v="5"/>
    <n v="59"/>
    <n v="1"/>
    <n v="0"/>
    <n v="1"/>
    <n v="7"/>
    <n v="3"/>
    <n v="0.01"/>
    <n v="4"/>
    <n v="0"/>
    <n v="0.92869613059915235"/>
    <n v="7.1303869400847625E-2"/>
    <x v="8"/>
  </r>
  <r>
    <n v="5"/>
    <n v="54"/>
    <n v="2"/>
    <n v="1"/>
    <n v="3"/>
    <n v="3"/>
    <n v="2"/>
    <n v="4800"/>
    <n v="7"/>
    <n v="0"/>
    <n v="0.92870942218798391"/>
    <n v="7.1290577812016143E-2"/>
    <x v="8"/>
  </r>
  <r>
    <n v="4"/>
    <n v="54"/>
    <n v="5"/>
    <n v="0"/>
    <n v="0"/>
    <n v="4"/>
    <n v="3"/>
    <n v="0.01"/>
    <n v="5"/>
    <n v="0"/>
    <n v="0.92882051636574059"/>
    <n v="7.1179483634259438E-2"/>
    <x v="8"/>
  </r>
  <r>
    <n v="8"/>
    <n v="65"/>
    <n v="3"/>
    <n v="1"/>
    <n v="3"/>
    <n v="3"/>
    <n v="3"/>
    <n v="0.01"/>
    <n v="12"/>
    <n v="0"/>
    <n v="0.92886707927775358"/>
    <n v="7.1132920722246445E-2"/>
    <x v="8"/>
  </r>
  <r>
    <n v="10"/>
    <n v="72"/>
    <n v="1"/>
    <n v="2"/>
    <n v="1"/>
    <n v="7"/>
    <n v="0"/>
    <n v="6000"/>
    <n v="12"/>
    <n v="0"/>
    <n v="0.92887104465689496"/>
    <n v="7.1128955343105024E-2"/>
    <x v="8"/>
  </r>
  <r>
    <n v="10"/>
    <n v="72"/>
    <n v="0"/>
    <n v="2"/>
    <n v="3"/>
    <n v="3"/>
    <n v="0"/>
    <n v="6500"/>
    <n v="18"/>
    <n v="0"/>
    <n v="0.9288758769119001"/>
    <n v="7.11241230880999E-2"/>
    <x v="8"/>
  </r>
  <r>
    <n v="5"/>
    <n v="60"/>
    <n v="1"/>
    <n v="0"/>
    <n v="1"/>
    <n v="7"/>
    <n v="2"/>
    <n v="3000.01"/>
    <n v="9"/>
    <n v="0"/>
    <n v="0.92902013739376421"/>
    <n v="7.0979862606235816E-2"/>
    <x v="8"/>
  </r>
  <r>
    <n v="6"/>
    <n v="63"/>
    <n v="5"/>
    <n v="0"/>
    <n v="0"/>
    <n v="4"/>
    <n v="2"/>
    <n v="5000"/>
    <n v="4"/>
    <n v="0"/>
    <n v="0.92904152010778962"/>
    <n v="7.095847989221038E-2"/>
    <x v="8"/>
  </r>
  <r>
    <n v="9"/>
    <n v="79"/>
    <n v="1"/>
    <n v="0"/>
    <n v="0"/>
    <n v="4"/>
    <n v="0"/>
    <n v="12053.34"/>
    <n v="25"/>
    <n v="0"/>
    <n v="0.929044530296112"/>
    <n v="7.0955469703887955E-2"/>
    <x v="8"/>
  </r>
  <r>
    <n v="9"/>
    <n v="77"/>
    <n v="1"/>
    <n v="0"/>
    <n v="0"/>
    <n v="2"/>
    <n v="2"/>
    <n v="3000"/>
    <n v="1"/>
    <n v="0"/>
    <n v="0.9291844971755242"/>
    <n v="7.0815502824475754E-2"/>
    <x v="8"/>
  </r>
  <r>
    <n v="6"/>
    <n v="64"/>
    <n v="1"/>
    <n v="0"/>
    <n v="4"/>
    <n v="9"/>
    <n v="0"/>
    <n v="6000"/>
    <n v="7"/>
    <n v="0"/>
    <n v="0.92921408816828666"/>
    <n v="7.0785911831713358E-2"/>
    <x v="8"/>
  </r>
  <r>
    <n v="5"/>
    <n v="55"/>
    <n v="0"/>
    <n v="1"/>
    <n v="3"/>
    <n v="3"/>
    <n v="2"/>
    <n v="4000"/>
    <n v="7"/>
    <n v="0"/>
    <n v="0.92929364931896674"/>
    <n v="7.0706350681033203E-2"/>
    <x v="8"/>
  </r>
  <r>
    <n v="7"/>
    <n v="69"/>
    <n v="1"/>
    <n v="0"/>
    <n v="3"/>
    <n v="3"/>
    <n v="0"/>
    <n v="6000"/>
    <n v="2"/>
    <n v="0"/>
    <n v="0.92935969024550391"/>
    <n v="7.0640309754496047E-2"/>
    <x v="8"/>
  </r>
  <r>
    <n v="6"/>
    <n v="64"/>
    <n v="0"/>
    <n v="0"/>
    <n v="3"/>
    <n v="3"/>
    <n v="2"/>
    <n v="3000"/>
    <n v="8"/>
    <n v="0"/>
    <n v="0.92947067425540475"/>
    <n v="7.0529325744595223E-2"/>
    <x v="8"/>
  </r>
  <r>
    <n v="7"/>
    <n v="68"/>
    <n v="1"/>
    <n v="0"/>
    <n v="4"/>
    <n v="9"/>
    <n v="0"/>
    <n v="6000"/>
    <n v="1"/>
    <n v="0"/>
    <n v="0.92952186366249545"/>
    <n v="7.0478136337504535E-2"/>
    <x v="8"/>
  </r>
  <r>
    <n v="7"/>
    <n v="67"/>
    <n v="4"/>
    <n v="0"/>
    <n v="0"/>
    <n v="11"/>
    <n v="2"/>
    <n v="4470.57"/>
    <n v="6"/>
    <n v="0"/>
    <n v="0.9295268168419184"/>
    <n v="7.0473183158081654E-2"/>
    <x v="8"/>
  </r>
  <r>
    <n v="8"/>
    <n v="66"/>
    <n v="5"/>
    <n v="1"/>
    <n v="3"/>
    <n v="8"/>
    <n v="0"/>
    <n v="6000"/>
    <n v="2"/>
    <n v="0"/>
    <n v="0.92961499546878912"/>
    <n v="7.0385004531210868E-2"/>
    <x v="8"/>
  </r>
  <r>
    <n v="8"/>
    <n v="61"/>
    <n v="3"/>
    <n v="2"/>
    <n v="3"/>
    <n v="3"/>
    <n v="2"/>
    <n v="3000"/>
    <n v="7"/>
    <n v="0"/>
    <n v="0.92967949018952234"/>
    <n v="7.0320509810477633E-2"/>
    <x v="8"/>
  </r>
  <r>
    <n v="4"/>
    <n v="51"/>
    <n v="5"/>
    <n v="1"/>
    <n v="1"/>
    <n v="7"/>
    <n v="0"/>
    <n v="9000"/>
    <n v="5"/>
    <n v="0"/>
    <n v="0.92969561494608977"/>
    <n v="7.0304385053910248E-2"/>
    <x v="8"/>
  </r>
  <r>
    <n v="8"/>
    <n v="75"/>
    <n v="0"/>
    <n v="0"/>
    <n v="0"/>
    <n v="4"/>
    <n v="0"/>
    <n v="6000"/>
    <n v="6"/>
    <n v="0"/>
    <n v="0.92975898457056316"/>
    <n v="7.0241015429436837E-2"/>
    <x v="8"/>
  </r>
  <r>
    <n v="4"/>
    <n v="51"/>
    <n v="0"/>
    <n v="1"/>
    <n v="3"/>
    <n v="3"/>
    <n v="2"/>
    <n v="2500"/>
    <n v="5"/>
    <n v="0"/>
    <n v="0.92981807237107883"/>
    <n v="7.018192762892117E-2"/>
    <x v="8"/>
  </r>
  <r>
    <n v="7"/>
    <n v="69"/>
    <n v="3"/>
    <n v="0"/>
    <n v="2"/>
    <n v="1"/>
    <n v="0"/>
    <n v="6053.35"/>
    <n v="6"/>
    <n v="0"/>
    <n v="0.92988147004404931"/>
    <n v="7.0118529955950651E-2"/>
    <x v="8"/>
  </r>
  <r>
    <n v="6"/>
    <n v="57"/>
    <n v="3"/>
    <n v="1"/>
    <n v="3"/>
    <n v="3"/>
    <n v="3"/>
    <n v="0.01"/>
    <n v="4"/>
    <n v="0"/>
    <n v="0.92993813074455323"/>
    <n v="7.0061869255446746E-2"/>
    <x v="8"/>
  </r>
  <r>
    <n v="8"/>
    <n v="74"/>
    <n v="3"/>
    <n v="0"/>
    <n v="0"/>
    <n v="4"/>
    <n v="0"/>
    <n v="6000"/>
    <n v="17"/>
    <n v="1"/>
    <n v="0.93005868415289317"/>
    <n v="6.9941315847106819E-2"/>
    <x v="8"/>
  </r>
  <r>
    <n v="6"/>
    <n v="64"/>
    <n v="2"/>
    <n v="0"/>
    <n v="0"/>
    <n v="10"/>
    <n v="2"/>
    <n v="300"/>
    <n v="8"/>
    <n v="0"/>
    <n v="0.93013039214197735"/>
    <n v="6.9869607858022612E-2"/>
    <x v="8"/>
  </r>
  <r>
    <n v="8"/>
    <n v="68"/>
    <n v="1"/>
    <n v="1"/>
    <n v="3"/>
    <n v="8"/>
    <n v="1"/>
    <n v="36075"/>
    <n v="4"/>
    <n v="0"/>
    <n v="0.93014447373124653"/>
    <n v="6.9855526268753423E-2"/>
    <x v="8"/>
  </r>
  <r>
    <n v="5"/>
    <n v="63"/>
    <n v="1"/>
    <n v="0"/>
    <n v="0"/>
    <n v="2"/>
    <n v="0"/>
    <n v="18958.86"/>
    <n v="3"/>
    <n v="0"/>
    <n v="0.93023839374348483"/>
    <n v="6.9761606256515188E-2"/>
    <x v="8"/>
  </r>
  <r>
    <n v="4"/>
    <n v="49"/>
    <n v="3"/>
    <n v="1"/>
    <n v="3"/>
    <n v="3"/>
    <n v="3"/>
    <n v="0.01"/>
    <n v="5"/>
    <n v="0"/>
    <n v="0.93024752332817795"/>
    <n v="6.9752476671821995E-2"/>
    <x v="8"/>
  </r>
  <r>
    <n v="10"/>
    <n v="79"/>
    <n v="3"/>
    <n v="0"/>
    <n v="0"/>
    <n v="11"/>
    <n v="3"/>
    <n v="0.01"/>
    <n v="9"/>
    <n v="0"/>
    <n v="0.93030831592602947"/>
    <n v="6.9691684073970528E-2"/>
    <x v="8"/>
  </r>
  <r>
    <n v="6"/>
    <n v="58"/>
    <n v="1"/>
    <n v="1"/>
    <n v="3"/>
    <n v="3"/>
    <n v="3"/>
    <n v="0.01"/>
    <n v="5"/>
    <n v="0"/>
    <n v="0.93034642289647174"/>
    <n v="6.9653577103528305E-2"/>
    <x v="8"/>
  </r>
  <r>
    <n v="5"/>
    <n v="49"/>
    <n v="4"/>
    <n v="2"/>
    <n v="0"/>
    <n v="4"/>
    <n v="3"/>
    <n v="0.01"/>
    <n v="1"/>
    <n v="0"/>
    <n v="0.93046892168478434"/>
    <n v="6.9531078315215655E-2"/>
    <x v="8"/>
  </r>
  <r>
    <n v="8"/>
    <n v="72"/>
    <n v="1"/>
    <n v="0"/>
    <n v="1"/>
    <n v="12"/>
    <n v="2"/>
    <n v="1400"/>
    <n v="7"/>
    <n v="0"/>
    <n v="0.93055618065452128"/>
    <n v="6.9443819345478677E-2"/>
    <x v="8"/>
  </r>
  <r>
    <n v="5"/>
    <n v="50"/>
    <n v="2"/>
    <n v="2"/>
    <n v="0"/>
    <n v="4"/>
    <n v="3"/>
    <n v="0.01"/>
    <n v="5"/>
    <n v="0"/>
    <n v="0.93062586762543953"/>
    <n v="6.9374132374560415E-2"/>
    <x v="8"/>
  </r>
  <r>
    <n v="3"/>
    <n v="51"/>
    <n v="5"/>
    <n v="0"/>
    <n v="3"/>
    <n v="8"/>
    <n v="0"/>
    <n v="6053.35"/>
    <n v="5"/>
    <n v="0"/>
    <n v="0.93069087849942189"/>
    <n v="6.9309121500578136E-2"/>
    <x v="8"/>
  </r>
  <r>
    <n v="6"/>
    <n v="65"/>
    <n v="3"/>
    <n v="0"/>
    <n v="1"/>
    <n v="7"/>
    <n v="0"/>
    <n v="6000"/>
    <n v="2"/>
    <n v="0"/>
    <n v="0.93070889388858902"/>
    <n v="6.9291106111410983E-2"/>
    <x v="8"/>
  </r>
  <r>
    <n v="3"/>
    <n v="51"/>
    <n v="1"/>
    <n v="0"/>
    <n v="1"/>
    <n v="12"/>
    <n v="3"/>
    <n v="0.01"/>
    <n v="5"/>
    <n v="0"/>
    <n v="0.93079955645960077"/>
    <n v="6.9200443540399212E-2"/>
    <x v="8"/>
  </r>
  <r>
    <n v="3"/>
    <n v="52"/>
    <n v="2"/>
    <n v="0"/>
    <n v="0"/>
    <n v="2"/>
    <n v="3"/>
    <n v="0.01"/>
    <n v="7"/>
    <n v="0"/>
    <n v="0.93083733783442768"/>
    <n v="6.9162662165572319E-2"/>
    <x v="8"/>
  </r>
  <r>
    <n v="10"/>
    <n v="75"/>
    <n v="2"/>
    <n v="1"/>
    <n v="3"/>
    <n v="3"/>
    <n v="2"/>
    <n v="2000"/>
    <n v="20"/>
    <n v="0"/>
    <n v="0.93085529384195864"/>
    <n v="6.9144706158041344E-2"/>
    <x v="8"/>
  </r>
  <r>
    <n v="6"/>
    <n v="63"/>
    <n v="3"/>
    <n v="0"/>
    <n v="3"/>
    <n v="8"/>
    <n v="2"/>
    <n v="3000"/>
    <n v="27"/>
    <n v="0"/>
    <n v="0.93088420466086685"/>
    <n v="6.911579533913316E-2"/>
    <x v="8"/>
  </r>
  <r>
    <n v="8"/>
    <n v="69"/>
    <n v="1"/>
    <n v="1"/>
    <n v="3"/>
    <n v="3"/>
    <n v="0"/>
    <n v="19105.32"/>
    <n v="7"/>
    <n v="0"/>
    <n v="0.93093316185386643"/>
    <n v="6.9066838146133569E-2"/>
    <x v="8"/>
  </r>
  <r>
    <n v="6"/>
    <n v="66"/>
    <n v="3"/>
    <n v="0"/>
    <n v="0"/>
    <n v="2"/>
    <n v="1"/>
    <n v="32104.65"/>
    <n v="4"/>
    <n v="0"/>
    <n v="0.93094596606738311"/>
    <n v="6.9054033932616901E-2"/>
    <x v="8"/>
  </r>
  <r>
    <n v="8"/>
    <n v="76"/>
    <n v="0"/>
    <n v="0"/>
    <n v="0"/>
    <n v="2"/>
    <n v="0"/>
    <n v="13000"/>
    <n v="21"/>
    <n v="0"/>
    <n v="0.93096660805784581"/>
    <n v="6.9033391942154229E-2"/>
    <x v="8"/>
  </r>
  <r>
    <n v="5"/>
    <n v="59"/>
    <n v="3"/>
    <n v="0"/>
    <n v="3"/>
    <n v="3"/>
    <n v="2"/>
    <n v="960"/>
    <n v="9"/>
    <n v="0"/>
    <n v="0.9310122891136321"/>
    <n v="6.8987710886367903E-2"/>
    <x v="8"/>
  </r>
  <r>
    <n v="7"/>
    <n v="62"/>
    <n v="5"/>
    <n v="1"/>
    <n v="0"/>
    <n v="11"/>
    <n v="2"/>
    <n v="4000"/>
    <n v="5"/>
    <n v="0"/>
    <n v="0.93101564222620548"/>
    <n v="6.8984357773794497E-2"/>
    <x v="8"/>
  </r>
  <r>
    <n v="8"/>
    <n v="64"/>
    <n v="2"/>
    <n v="2"/>
    <n v="0"/>
    <n v="11"/>
    <n v="1"/>
    <n v="24266.31"/>
    <n v="16"/>
    <n v="0"/>
    <n v="0.9311694859867119"/>
    <n v="6.883051401328813E-2"/>
    <x v="8"/>
  </r>
  <r>
    <n v="9"/>
    <n v="65"/>
    <n v="2"/>
    <n v="2"/>
    <n v="3"/>
    <n v="3"/>
    <n v="3"/>
    <n v="0.01"/>
    <n v="4"/>
    <n v="0"/>
    <n v="0.93119244645072929"/>
    <n v="6.8807553549270678E-2"/>
    <x v="8"/>
  </r>
  <r>
    <n v="6"/>
    <n v="58"/>
    <n v="3"/>
    <n v="1"/>
    <n v="2"/>
    <n v="1"/>
    <n v="3"/>
    <n v="0.01"/>
    <n v="5"/>
    <n v="0"/>
    <n v="0.93119704999753183"/>
    <n v="6.8802950002468152E-2"/>
    <x v="8"/>
  </r>
  <r>
    <n v="7"/>
    <n v="69"/>
    <n v="2"/>
    <n v="0"/>
    <n v="0"/>
    <n v="2"/>
    <n v="2"/>
    <n v="2000"/>
    <n v="3"/>
    <n v="0"/>
    <n v="0.93122217089347203"/>
    <n v="6.8777829106527938E-2"/>
    <x v="8"/>
  </r>
  <r>
    <n v="7"/>
    <n v="69"/>
    <n v="3"/>
    <n v="0"/>
    <n v="0"/>
    <n v="2"/>
    <n v="2"/>
    <n v="3000"/>
    <n v="21"/>
    <n v="0"/>
    <n v="0.9313220268543615"/>
    <n v="6.8677973145638505E-2"/>
    <x v="8"/>
  </r>
  <r>
    <n v="5"/>
    <n v="55"/>
    <n v="1"/>
    <n v="1"/>
    <n v="3"/>
    <n v="3"/>
    <n v="2"/>
    <n v="2200"/>
    <n v="5"/>
    <n v="0"/>
    <n v="0.93135308170260478"/>
    <n v="6.8646918297395235E-2"/>
    <x v="8"/>
  </r>
  <r>
    <n v="3"/>
    <n v="52"/>
    <n v="2"/>
    <n v="0"/>
    <n v="1"/>
    <n v="7"/>
    <n v="2"/>
    <n v="4000"/>
    <n v="4"/>
    <n v="0"/>
    <n v="0.93143180802032288"/>
    <n v="6.8568191979677118E-2"/>
    <x v="8"/>
  </r>
  <r>
    <n v="6"/>
    <n v="59"/>
    <n v="4"/>
    <n v="1"/>
    <n v="0"/>
    <n v="4"/>
    <n v="2"/>
    <n v="2000"/>
    <n v="1"/>
    <n v="0"/>
    <n v="0.9314529761065492"/>
    <n v="6.854702389345077E-2"/>
    <x v="8"/>
  </r>
  <r>
    <n v="8"/>
    <n v="62"/>
    <n v="2"/>
    <n v="2"/>
    <n v="1"/>
    <n v="12"/>
    <n v="2"/>
    <n v="1000"/>
    <n v="8"/>
    <n v="0"/>
    <n v="0.9315113678403607"/>
    <n v="6.8488632159639268E-2"/>
    <x v="8"/>
  </r>
  <r>
    <n v="9"/>
    <n v="70"/>
    <n v="1"/>
    <n v="1"/>
    <n v="3"/>
    <n v="8"/>
    <n v="3"/>
    <n v="0.01"/>
    <n v="4"/>
    <n v="0"/>
    <n v="0.9316101537156215"/>
    <n v="6.8389846284378497E-2"/>
    <x v="8"/>
  </r>
  <r>
    <n v="9"/>
    <n v="77"/>
    <n v="2"/>
    <n v="0"/>
    <n v="3"/>
    <n v="8"/>
    <n v="0"/>
    <n v="8400"/>
    <n v="8"/>
    <n v="1"/>
    <n v="0.93169508165968784"/>
    <n v="6.8304918340312118E-2"/>
    <x v="8"/>
  </r>
  <r>
    <n v="6"/>
    <n v="59"/>
    <n v="5"/>
    <n v="1"/>
    <n v="3"/>
    <n v="3"/>
    <n v="0"/>
    <n v="6053.35"/>
    <n v="7"/>
    <n v="0"/>
    <n v="0.93169667310845572"/>
    <n v="6.8303326891544294E-2"/>
    <x v="8"/>
  </r>
  <r>
    <n v="8"/>
    <n v="72"/>
    <n v="5"/>
    <n v="0"/>
    <n v="0"/>
    <n v="2"/>
    <n v="2"/>
    <n v="3052.65"/>
    <n v="8"/>
    <n v="0"/>
    <n v="0.9317067472028947"/>
    <n v="6.8293252797105297E-2"/>
    <x v="8"/>
  </r>
  <r>
    <n v="4"/>
    <n v="45"/>
    <n v="2"/>
    <n v="2"/>
    <n v="3"/>
    <n v="3"/>
    <n v="3"/>
    <n v="0.01"/>
    <n v="8"/>
    <n v="0"/>
    <n v="0.93182841698932395"/>
    <n v="6.8171583010676065E-2"/>
    <x v="8"/>
  </r>
  <r>
    <n v="4"/>
    <n v="54"/>
    <n v="3"/>
    <n v="0"/>
    <n v="3"/>
    <n v="8"/>
    <n v="3"/>
    <n v="0.01"/>
    <n v="10"/>
    <n v="0"/>
    <n v="0.93194214470589731"/>
    <n v="6.8057855294102687E-2"/>
    <x v="8"/>
  </r>
  <r>
    <n v="11"/>
    <n v="78"/>
    <n v="2"/>
    <n v="1"/>
    <n v="4"/>
    <n v="9"/>
    <n v="2"/>
    <n v="5000"/>
    <n v="1"/>
    <n v="1"/>
    <n v="0.93198895477997834"/>
    <n v="6.8011045220021701E-2"/>
    <x v="8"/>
  </r>
  <r>
    <n v="8"/>
    <n v="72"/>
    <n v="3"/>
    <n v="0"/>
    <n v="1"/>
    <n v="7"/>
    <n v="2"/>
    <n v="3000"/>
    <n v="6"/>
    <n v="0"/>
    <n v="0.93208259681972483"/>
    <n v="6.7917403180275226E-2"/>
    <x v="8"/>
  </r>
  <r>
    <n v="5"/>
    <n v="60"/>
    <n v="3"/>
    <n v="0"/>
    <n v="0"/>
    <n v="11"/>
    <n v="2"/>
    <n v="2000"/>
    <n v="9"/>
    <n v="0"/>
    <n v="0.93210502776393578"/>
    <n v="6.7894972236064194E-2"/>
    <x v="8"/>
  </r>
  <r>
    <n v="6"/>
    <n v="67"/>
    <n v="1"/>
    <n v="0"/>
    <n v="0"/>
    <n v="4"/>
    <n v="0"/>
    <n v="6000"/>
    <n v="2"/>
    <n v="1"/>
    <n v="0.93216801165495511"/>
    <n v="6.7831988345044864E-2"/>
    <x v="8"/>
  </r>
  <r>
    <n v="7"/>
    <n v="64"/>
    <n v="1"/>
    <n v="1"/>
    <n v="0"/>
    <n v="11"/>
    <n v="2"/>
    <n v="1000"/>
    <n v="5"/>
    <n v="0"/>
    <n v="0.93228730427731332"/>
    <n v="6.7712695722686636E-2"/>
    <x v="8"/>
  </r>
  <r>
    <n v="8"/>
    <n v="73"/>
    <n v="2"/>
    <n v="0"/>
    <n v="3"/>
    <n v="8"/>
    <n v="0"/>
    <n v="6000"/>
    <n v="5"/>
    <n v="0"/>
    <n v="0.93237565354673324"/>
    <n v="6.7624346453266759E-2"/>
    <x v="8"/>
  </r>
  <r>
    <n v="6"/>
    <n v="65"/>
    <n v="3"/>
    <n v="0"/>
    <n v="0"/>
    <n v="4"/>
    <n v="2"/>
    <n v="3213.27"/>
    <n v="17"/>
    <n v="0"/>
    <n v="0.93251461980059902"/>
    <n v="6.7485380199400938E-2"/>
    <x v="8"/>
  </r>
  <r>
    <n v="10"/>
    <n v="73"/>
    <n v="4"/>
    <n v="1"/>
    <n v="3"/>
    <n v="8"/>
    <n v="3"/>
    <n v="0.01"/>
    <n v="5"/>
    <n v="0"/>
    <n v="0.93252363342702238"/>
    <n v="6.7476366572977564E-2"/>
    <x v="8"/>
  </r>
  <r>
    <n v="8"/>
    <n v="74"/>
    <n v="0"/>
    <n v="0"/>
    <n v="3"/>
    <n v="3"/>
    <n v="1"/>
    <n v="20504.64"/>
    <n v="3"/>
    <n v="0"/>
    <n v="0.93258546211387439"/>
    <n v="6.7414537886125642E-2"/>
    <x v="8"/>
  </r>
  <r>
    <n v="7"/>
    <n v="70"/>
    <n v="3"/>
    <n v="0"/>
    <n v="1"/>
    <n v="7"/>
    <n v="0"/>
    <n v="12000"/>
    <n v="16"/>
    <n v="0"/>
    <n v="0.93258693608026777"/>
    <n v="6.7413063919732216E-2"/>
    <x v="8"/>
  </r>
  <r>
    <n v="9"/>
    <n v="73"/>
    <n v="3"/>
    <n v="1"/>
    <n v="0"/>
    <n v="11"/>
    <n v="0"/>
    <n v="12000"/>
    <n v="2"/>
    <n v="0"/>
    <n v="0.93259244571125011"/>
    <n v="6.7407554288749935E-2"/>
    <x v="8"/>
  </r>
  <r>
    <n v="8"/>
    <n v="67"/>
    <n v="2"/>
    <n v="1"/>
    <n v="3"/>
    <n v="3"/>
    <n v="2"/>
    <n v="3000"/>
    <n v="2"/>
    <n v="0"/>
    <n v="0.93260844056702885"/>
    <n v="6.7391559432971149E-2"/>
    <x v="8"/>
  </r>
  <r>
    <n v="5"/>
    <n v="51"/>
    <n v="5"/>
    <n v="2"/>
    <n v="2"/>
    <n v="1"/>
    <n v="0"/>
    <n v="6000"/>
    <n v="10"/>
    <n v="0"/>
    <n v="0.93262181644088826"/>
    <n v="6.7378183559111751E-2"/>
    <x v="8"/>
  </r>
  <r>
    <n v="6"/>
    <n v="66"/>
    <n v="0"/>
    <n v="0"/>
    <n v="3"/>
    <n v="8"/>
    <n v="0"/>
    <n v="10973.64"/>
    <n v="3"/>
    <n v="0"/>
    <n v="0.93288887358883232"/>
    <n v="6.7111126411167621E-2"/>
    <x v="8"/>
  </r>
  <r>
    <n v="4"/>
    <n v="53"/>
    <n v="4"/>
    <n v="1"/>
    <n v="0"/>
    <n v="4"/>
    <n v="0"/>
    <n v="5300"/>
    <n v="9"/>
    <n v="0"/>
    <n v="0.93289262015540841"/>
    <n v="6.7107379844591641E-2"/>
    <x v="8"/>
  </r>
  <r>
    <n v="6"/>
    <n v="60"/>
    <n v="1"/>
    <n v="1"/>
    <n v="0"/>
    <n v="4"/>
    <n v="3"/>
    <n v="0.01"/>
    <n v="5"/>
    <n v="1"/>
    <n v="0.93292951037875826"/>
    <n v="6.707048962124175E-2"/>
    <x v="8"/>
  </r>
  <r>
    <n v="9"/>
    <n v="76"/>
    <n v="2"/>
    <n v="0"/>
    <n v="3"/>
    <n v="3"/>
    <n v="2"/>
    <n v="1000"/>
    <n v="2"/>
    <n v="0"/>
    <n v="0.93295914727904539"/>
    <n v="6.7040852720954586E-2"/>
    <x v="8"/>
  </r>
  <r>
    <n v="9"/>
    <n v="73"/>
    <n v="4"/>
    <n v="1"/>
    <n v="0"/>
    <n v="4"/>
    <n v="1"/>
    <n v="22035.88"/>
    <n v="9"/>
    <n v="1"/>
    <n v="0.93301378931696421"/>
    <n v="6.6986210683035743E-2"/>
    <x v="8"/>
  </r>
  <r>
    <n v="7"/>
    <n v="65"/>
    <n v="0"/>
    <n v="1"/>
    <n v="0"/>
    <n v="11"/>
    <n v="2"/>
    <n v="3000"/>
    <n v="17"/>
    <n v="0"/>
    <n v="0.93324230260841246"/>
    <n v="6.6757697391587587E-2"/>
    <x v="8"/>
  </r>
  <r>
    <n v="10"/>
    <n v="79"/>
    <n v="4"/>
    <n v="0"/>
    <n v="3"/>
    <n v="8"/>
    <n v="2"/>
    <n v="3600.01"/>
    <n v="8"/>
    <n v="0"/>
    <n v="0.9332685414491747"/>
    <n v="6.6731458550825323E-2"/>
    <x v="8"/>
  </r>
  <r>
    <n v="8"/>
    <n v="65"/>
    <n v="0"/>
    <n v="2"/>
    <n v="2"/>
    <n v="6"/>
    <n v="0"/>
    <n v="5500"/>
    <n v="8"/>
    <n v="0"/>
    <n v="0.93328439799052532"/>
    <n v="6.6715602009474642E-2"/>
    <x v="8"/>
  </r>
  <r>
    <n v="9"/>
    <n v="75"/>
    <n v="5"/>
    <n v="0"/>
    <n v="3"/>
    <n v="3"/>
    <n v="2"/>
    <n v="1000"/>
    <n v="11"/>
    <n v="0"/>
    <n v="0.93340610752414155"/>
    <n v="6.6593892475858396E-2"/>
    <x v="8"/>
  </r>
  <r>
    <n v="8"/>
    <n v="71"/>
    <n v="5"/>
    <n v="0"/>
    <n v="1"/>
    <n v="12"/>
    <n v="2"/>
    <n v="600.01"/>
    <n v="8"/>
    <n v="1"/>
    <n v="0.93341089820366807"/>
    <n v="6.6589101796331887E-2"/>
    <x v="8"/>
  </r>
  <r>
    <n v="5"/>
    <n v="54"/>
    <n v="4"/>
    <n v="1"/>
    <n v="1"/>
    <n v="7"/>
    <n v="3"/>
    <n v="0.01"/>
    <n v="4"/>
    <n v="0"/>
    <n v="0.93341344604770393"/>
    <n v="6.6586553952296096E-2"/>
    <x v="8"/>
  </r>
  <r>
    <n v="8"/>
    <n v="75"/>
    <n v="2"/>
    <n v="0"/>
    <n v="1"/>
    <n v="7"/>
    <n v="0"/>
    <n v="6000"/>
    <n v="36"/>
    <n v="0"/>
    <n v="0.93351242526346967"/>
    <n v="6.6487574736530358E-2"/>
    <x v="8"/>
  </r>
  <r>
    <n v="5"/>
    <n v="61"/>
    <n v="5"/>
    <n v="0"/>
    <n v="1"/>
    <n v="5"/>
    <n v="0"/>
    <n v="6000"/>
    <n v="2"/>
    <n v="0"/>
    <n v="0.93353343635700758"/>
    <n v="6.6466563642992388E-2"/>
    <x v="8"/>
  </r>
  <r>
    <n v="6"/>
    <n v="61"/>
    <n v="5"/>
    <n v="0"/>
    <n v="4"/>
    <n v="9"/>
    <n v="3"/>
    <n v="0.01"/>
    <n v="5"/>
    <n v="0"/>
    <n v="0.93361790571893688"/>
    <n v="6.6382094281063092E-2"/>
    <x v="8"/>
  </r>
  <r>
    <n v="8"/>
    <n v="72"/>
    <n v="6"/>
    <n v="0"/>
    <n v="3"/>
    <n v="3"/>
    <n v="0"/>
    <n v="6000"/>
    <n v="2"/>
    <n v="0"/>
    <n v="0.93371526574470365"/>
    <n v="6.6284734255296296E-2"/>
    <x v="8"/>
  </r>
  <r>
    <n v="9"/>
    <n v="75"/>
    <n v="4"/>
    <n v="0"/>
    <n v="3"/>
    <n v="8"/>
    <n v="2"/>
    <n v="5000"/>
    <n v="2"/>
    <n v="0"/>
    <n v="0.93379450165822153"/>
    <n v="6.620549834177851E-2"/>
    <x v="8"/>
  </r>
  <r>
    <n v="3"/>
    <n v="51"/>
    <n v="4"/>
    <n v="0"/>
    <n v="1"/>
    <n v="7"/>
    <n v="3"/>
    <n v="0.01"/>
    <n v="5"/>
    <n v="0"/>
    <n v="0.93404160559873339"/>
    <n v="6.5958394401266565E-2"/>
    <x v="8"/>
  </r>
  <r>
    <n v="8"/>
    <n v="61"/>
    <n v="4"/>
    <n v="2"/>
    <n v="1"/>
    <n v="12"/>
    <n v="3"/>
    <n v="0.01"/>
    <n v="5"/>
    <n v="0"/>
    <n v="0.93413721218918289"/>
    <n v="6.5862787810817169E-2"/>
    <x v="8"/>
  </r>
  <r>
    <n v="7"/>
    <n v="70"/>
    <n v="1"/>
    <n v="0"/>
    <n v="3"/>
    <n v="8"/>
    <n v="0"/>
    <n v="12000"/>
    <n v="2"/>
    <n v="0"/>
    <n v="0.93430918581685929"/>
    <n v="6.5690814183140683E-2"/>
    <x v="8"/>
  </r>
  <r>
    <n v="8"/>
    <n v="69"/>
    <n v="3"/>
    <n v="1"/>
    <n v="1"/>
    <n v="12"/>
    <n v="0"/>
    <n v="12684.25"/>
    <n v="8"/>
    <n v="0"/>
    <n v="0.93433900297543793"/>
    <n v="6.5660997024562073E-2"/>
    <x v="8"/>
  </r>
  <r>
    <n v="6"/>
    <n v="65"/>
    <n v="2"/>
    <n v="0"/>
    <n v="1"/>
    <n v="7"/>
    <n v="2"/>
    <n v="3500"/>
    <n v="8"/>
    <n v="0"/>
    <n v="0.93435947587521906"/>
    <n v="6.5640524124780913E-2"/>
    <x v="8"/>
  </r>
  <r>
    <n v="4"/>
    <n v="51"/>
    <n v="3"/>
    <n v="1"/>
    <n v="3"/>
    <n v="3"/>
    <n v="2"/>
    <n v="240"/>
    <n v="12"/>
    <n v="0"/>
    <n v="0.9344687775695053"/>
    <n v="6.5531222430494723E-2"/>
    <x v="8"/>
  </r>
  <r>
    <n v="4"/>
    <n v="51"/>
    <n v="1"/>
    <n v="1"/>
    <n v="3"/>
    <n v="3"/>
    <n v="3"/>
    <n v="0.01"/>
    <n v="5"/>
    <n v="0"/>
    <n v="0.93451704795927537"/>
    <n v="6.5482952040724615E-2"/>
    <x v="8"/>
  </r>
  <r>
    <n v="7"/>
    <n v="66"/>
    <n v="3"/>
    <n v="1"/>
    <n v="2"/>
    <n v="1"/>
    <n v="1"/>
    <n v="50000"/>
    <n v="17"/>
    <n v="0"/>
    <n v="0.93455689619652338"/>
    <n v="6.5443103803476579E-2"/>
    <x v="8"/>
  </r>
  <r>
    <n v="4"/>
    <n v="49"/>
    <n v="1"/>
    <n v="2"/>
    <n v="1"/>
    <n v="7"/>
    <n v="0"/>
    <n v="6000"/>
    <n v="3"/>
    <n v="0"/>
    <n v="0.93458463326627728"/>
    <n v="6.5415366733722682E-2"/>
    <x v="8"/>
  </r>
  <r>
    <n v="8"/>
    <n v="72"/>
    <n v="1"/>
    <n v="0"/>
    <n v="4"/>
    <n v="9"/>
    <n v="2"/>
    <n v="4500"/>
    <n v="5"/>
    <n v="1"/>
    <n v="0.93472513113852229"/>
    <n v="6.5274868861477708E-2"/>
    <x v="8"/>
  </r>
  <r>
    <n v="6"/>
    <n v="66"/>
    <n v="2"/>
    <n v="0"/>
    <n v="3"/>
    <n v="3"/>
    <n v="0"/>
    <n v="5500"/>
    <n v="6"/>
    <n v="0"/>
    <n v="0.9347503064796624"/>
    <n v="6.5249693520337576E-2"/>
    <x v="8"/>
  </r>
  <r>
    <n v="6"/>
    <n v="56"/>
    <n v="4"/>
    <n v="2"/>
    <n v="1"/>
    <n v="5"/>
    <n v="0"/>
    <n v="6000"/>
    <n v="2"/>
    <n v="0"/>
    <n v="0.93476758878257482"/>
    <n v="6.5232411217425137E-2"/>
    <x v="8"/>
  </r>
  <r>
    <n v="7"/>
    <n v="59"/>
    <n v="3"/>
    <n v="2"/>
    <n v="0"/>
    <n v="11"/>
    <n v="2"/>
    <n v="2000"/>
    <n v="9"/>
    <n v="0"/>
    <n v="0.93479724693386557"/>
    <n v="6.5202753066134447E-2"/>
    <x v="8"/>
  </r>
  <r>
    <n v="9"/>
    <n v="77"/>
    <n v="1"/>
    <n v="0"/>
    <n v="3"/>
    <n v="3"/>
    <n v="2"/>
    <n v="1500"/>
    <n v="3"/>
    <n v="0"/>
    <n v="0.93491975683510975"/>
    <n v="6.5080243164890195E-2"/>
    <x v="8"/>
  </r>
  <r>
    <n v="2"/>
    <n v="43"/>
    <n v="0"/>
    <n v="1"/>
    <n v="3"/>
    <n v="8"/>
    <n v="3"/>
    <n v="0.01"/>
    <n v="5"/>
    <n v="0"/>
    <n v="0.93495556242313271"/>
    <n v="6.5044437576867328E-2"/>
    <x v="8"/>
  </r>
  <r>
    <n v="5"/>
    <n v="60"/>
    <n v="3"/>
    <n v="0"/>
    <n v="3"/>
    <n v="3"/>
    <n v="2"/>
    <n v="5000"/>
    <n v="1"/>
    <n v="0"/>
    <n v="0.93500786962040972"/>
    <n v="6.4992130379590257E-2"/>
    <x v="8"/>
  </r>
  <r>
    <n v="4"/>
    <n v="51"/>
    <n v="5"/>
    <n v="1"/>
    <n v="2"/>
    <n v="0"/>
    <n v="2"/>
    <n v="4000"/>
    <n v="5"/>
    <n v="0"/>
    <n v="0.93511788142045471"/>
    <n v="6.4882118579545317E-2"/>
    <x v="8"/>
  </r>
  <r>
    <n v="9"/>
    <n v="75"/>
    <n v="4"/>
    <n v="0"/>
    <n v="4"/>
    <n v="9"/>
    <n v="2"/>
    <n v="1000"/>
    <n v="16"/>
    <n v="0"/>
    <n v="0.93516401529249948"/>
    <n v="6.4835984707500557E-2"/>
    <x v="8"/>
  </r>
  <r>
    <n v="3"/>
    <n v="51"/>
    <n v="5"/>
    <n v="0"/>
    <n v="0"/>
    <n v="11"/>
    <n v="3"/>
    <n v="0.01"/>
    <n v="6"/>
    <n v="0"/>
    <n v="0.93517530322176334"/>
    <n v="6.4824696778236601E-2"/>
    <x v="8"/>
  </r>
  <r>
    <n v="9"/>
    <n v="79"/>
    <n v="1"/>
    <n v="0"/>
    <n v="1"/>
    <n v="12"/>
    <n v="0"/>
    <n v="10220.18"/>
    <n v="7"/>
    <n v="0"/>
    <n v="0.93526508267351871"/>
    <n v="6.4734917326481276E-2"/>
    <x v="8"/>
  </r>
  <r>
    <n v="5"/>
    <n v="51"/>
    <n v="0"/>
    <n v="2"/>
    <n v="3"/>
    <n v="8"/>
    <n v="2"/>
    <n v="200"/>
    <n v="2"/>
    <n v="0"/>
    <n v="0.93527332699139487"/>
    <n v="6.4726673008605101E-2"/>
    <x v="8"/>
  </r>
  <r>
    <n v="5"/>
    <n v="51"/>
    <n v="3"/>
    <n v="2"/>
    <n v="0"/>
    <n v="2"/>
    <n v="3"/>
    <n v="0.01"/>
    <n v="4"/>
    <n v="0"/>
    <n v="0.93542209213801431"/>
    <n v="6.4577907861985667E-2"/>
    <x v="8"/>
  </r>
  <r>
    <n v="3"/>
    <n v="52"/>
    <n v="3"/>
    <n v="0"/>
    <n v="1"/>
    <n v="5"/>
    <n v="3"/>
    <n v="0.01"/>
    <n v="5"/>
    <n v="0"/>
    <n v="0.93543801103655677"/>
    <n v="6.4561988963443215E-2"/>
    <x v="8"/>
  </r>
  <r>
    <n v="8"/>
    <n v="69"/>
    <n v="2"/>
    <n v="1"/>
    <n v="2"/>
    <n v="1"/>
    <n v="2"/>
    <n v="4000"/>
    <n v="27"/>
    <n v="0"/>
    <n v="0.93551541939776717"/>
    <n v="6.4484580602232819E-2"/>
    <x v="8"/>
  </r>
  <r>
    <n v="5"/>
    <n v="51"/>
    <n v="5"/>
    <n v="2"/>
    <n v="3"/>
    <n v="3"/>
    <n v="0"/>
    <n v="6053.34"/>
    <n v="4"/>
    <n v="0"/>
    <n v="0.9355175329013965"/>
    <n v="6.4482467098603558E-2"/>
    <x v="8"/>
  </r>
  <r>
    <n v="8"/>
    <n v="72"/>
    <n v="5"/>
    <n v="0"/>
    <n v="1"/>
    <n v="7"/>
    <n v="2"/>
    <n v="2000"/>
    <n v="4"/>
    <n v="0"/>
    <n v="0.93559042095995226"/>
    <n v="6.4409579040047737E-2"/>
    <x v="8"/>
  </r>
  <r>
    <n v="9"/>
    <n v="79"/>
    <n v="2"/>
    <n v="0"/>
    <n v="0"/>
    <n v="11"/>
    <n v="0"/>
    <n v="6000"/>
    <n v="1"/>
    <n v="0"/>
    <n v="0.93568149000660494"/>
    <n v="6.4318509993395084E-2"/>
    <x v="8"/>
  </r>
  <r>
    <n v="7"/>
    <n v="70"/>
    <n v="1"/>
    <n v="0"/>
    <n v="2"/>
    <n v="0"/>
    <n v="2"/>
    <n v="2933.39"/>
    <n v="5"/>
    <n v="0"/>
    <n v="0.9359131828933952"/>
    <n v="6.4086817106604813E-2"/>
    <x v="8"/>
  </r>
  <r>
    <n v="4"/>
    <n v="56"/>
    <n v="5"/>
    <n v="0"/>
    <n v="1"/>
    <n v="7"/>
    <n v="2"/>
    <n v="1800"/>
    <n v="8"/>
    <n v="0"/>
    <n v="0.93602707131260776"/>
    <n v="6.3972928687392225E-2"/>
    <x v="8"/>
  </r>
  <r>
    <n v="6"/>
    <n v="61"/>
    <n v="1"/>
    <n v="1"/>
    <n v="1"/>
    <n v="7"/>
    <n v="2"/>
    <n v="3000"/>
    <n v="8"/>
    <n v="0"/>
    <n v="0.93613282906765405"/>
    <n v="6.3867170932345993E-2"/>
    <x v="8"/>
  </r>
  <r>
    <n v="4"/>
    <n v="51"/>
    <n v="1"/>
    <n v="1"/>
    <n v="3"/>
    <n v="8"/>
    <n v="3"/>
    <n v="0.01"/>
    <n v="5"/>
    <n v="0"/>
    <n v="0.93617678306286989"/>
    <n v="6.3823216937130139E-2"/>
    <x v="8"/>
  </r>
  <r>
    <n v="8"/>
    <n v="70"/>
    <n v="3"/>
    <n v="1"/>
    <n v="1"/>
    <n v="5"/>
    <n v="0"/>
    <n v="12000"/>
    <n v="2"/>
    <n v="0"/>
    <n v="0.93618916266364605"/>
    <n v="6.3810837336353912E-2"/>
    <x v="8"/>
  </r>
  <r>
    <n v="6"/>
    <n v="62"/>
    <n v="2"/>
    <n v="1"/>
    <n v="2"/>
    <n v="6"/>
    <n v="0"/>
    <n v="18800"/>
    <n v="4"/>
    <n v="0"/>
    <n v="0.93619684442240925"/>
    <n v="6.3803155577590726E-2"/>
    <x v="8"/>
  </r>
  <r>
    <n v="6"/>
    <n v="63"/>
    <n v="0"/>
    <n v="1"/>
    <n v="1"/>
    <n v="7"/>
    <n v="0"/>
    <n v="6017.78"/>
    <n v="7"/>
    <n v="0"/>
    <n v="0.93627883650860066"/>
    <n v="6.3721163491399307E-2"/>
    <x v="8"/>
  </r>
  <r>
    <n v="6"/>
    <n v="67"/>
    <n v="2"/>
    <n v="0"/>
    <n v="1"/>
    <n v="7"/>
    <n v="0"/>
    <n v="6000"/>
    <n v="5"/>
    <n v="0"/>
    <n v="0.93630406516279496"/>
    <n v="6.3695934837205051E-2"/>
    <x v="8"/>
  </r>
  <r>
    <n v="5"/>
    <n v="61"/>
    <n v="3"/>
    <n v="0"/>
    <n v="2"/>
    <n v="1"/>
    <n v="2"/>
    <n v="480"/>
    <n v="4"/>
    <n v="0"/>
    <n v="0.93646292730669345"/>
    <n v="6.3537072693306523E-2"/>
    <x v="8"/>
  </r>
  <r>
    <n v="9"/>
    <n v="78"/>
    <n v="3"/>
    <n v="0"/>
    <n v="0"/>
    <n v="4"/>
    <n v="2"/>
    <n v="2000"/>
    <n v="8"/>
    <n v="0"/>
    <n v="0.93646984480443618"/>
    <n v="6.3530155195563862E-2"/>
    <x v="8"/>
  </r>
  <r>
    <n v="7"/>
    <n v="69"/>
    <n v="5"/>
    <n v="0"/>
    <n v="1"/>
    <n v="12"/>
    <n v="1"/>
    <n v="20600.41"/>
    <n v="3"/>
    <n v="0"/>
    <n v="0.9366634794233174"/>
    <n v="6.3336520576682584E-2"/>
    <x v="8"/>
  </r>
  <r>
    <n v="5"/>
    <n v="57"/>
    <n v="0"/>
    <n v="1"/>
    <n v="1"/>
    <n v="12"/>
    <n v="2"/>
    <n v="0.02"/>
    <n v="8"/>
    <n v="0"/>
    <n v="0.93666882872294766"/>
    <n v="6.3331171277052289E-2"/>
    <x v="8"/>
  </r>
  <r>
    <n v="5"/>
    <n v="64"/>
    <n v="2"/>
    <n v="0"/>
    <n v="0"/>
    <n v="4"/>
    <n v="0"/>
    <n v="16000"/>
    <n v="1"/>
    <n v="0"/>
    <n v="0.9367398270439693"/>
    <n v="6.3260172956030675E-2"/>
    <x v="8"/>
  </r>
  <r>
    <n v="9"/>
    <n v="74"/>
    <n v="3"/>
    <n v="1"/>
    <n v="0"/>
    <n v="11"/>
    <n v="0"/>
    <n v="6000"/>
    <n v="3"/>
    <n v="0"/>
    <n v="0.93677641272947787"/>
    <n v="6.3223587270522144E-2"/>
    <x v="8"/>
  </r>
  <r>
    <n v="7"/>
    <n v="71"/>
    <n v="1"/>
    <n v="0"/>
    <n v="3"/>
    <n v="8"/>
    <n v="0"/>
    <n v="12900"/>
    <n v="15"/>
    <n v="0"/>
    <n v="0.93684146112643751"/>
    <n v="6.3158538873562445E-2"/>
    <x v="8"/>
  </r>
  <r>
    <n v="7"/>
    <n v="67"/>
    <n v="3"/>
    <n v="1"/>
    <n v="0"/>
    <n v="4"/>
    <n v="0"/>
    <n v="12053.35"/>
    <n v="15"/>
    <n v="0"/>
    <n v="0.93693121710275218"/>
    <n v="6.3068782897247835E-2"/>
    <x v="8"/>
  </r>
  <r>
    <n v="5"/>
    <n v="58"/>
    <n v="3"/>
    <n v="1"/>
    <n v="1"/>
    <n v="5"/>
    <n v="0"/>
    <n v="8000"/>
    <n v="4"/>
    <n v="0"/>
    <n v="0.93695784004574989"/>
    <n v="6.3042159954250152E-2"/>
    <x v="8"/>
  </r>
  <r>
    <n v="7"/>
    <n v="73"/>
    <n v="1"/>
    <n v="0"/>
    <n v="0"/>
    <n v="2"/>
    <n v="0"/>
    <n v="17083.75"/>
    <n v="9"/>
    <n v="0"/>
    <n v="0.93702497420504938"/>
    <n v="6.2975025794950679E-2"/>
    <x v="8"/>
  </r>
  <r>
    <n v="5"/>
    <n v="57"/>
    <n v="3"/>
    <n v="1"/>
    <n v="0"/>
    <n v="4"/>
    <n v="2"/>
    <n v="3000"/>
    <n v="4"/>
    <n v="0"/>
    <n v="0.9370753526553921"/>
    <n v="6.292464734460787E-2"/>
    <x v="8"/>
  </r>
  <r>
    <n v="3"/>
    <n v="48"/>
    <n v="2"/>
    <n v="1"/>
    <n v="3"/>
    <n v="3"/>
    <n v="2"/>
    <n v="1000"/>
    <n v="5"/>
    <n v="0"/>
    <n v="0.93715134491125596"/>
    <n v="6.2848655088744043E-2"/>
    <x v="8"/>
  </r>
  <r>
    <n v="9"/>
    <n v="76"/>
    <n v="5"/>
    <n v="0"/>
    <n v="3"/>
    <n v="3"/>
    <n v="2"/>
    <n v="4000"/>
    <n v="5"/>
    <n v="0"/>
    <n v="0.93721977920349842"/>
    <n v="6.2780220796501598E-2"/>
    <x v="8"/>
  </r>
  <r>
    <n v="7"/>
    <n v="72"/>
    <n v="2"/>
    <n v="0"/>
    <n v="0"/>
    <n v="4"/>
    <n v="0"/>
    <n v="6000"/>
    <n v="2"/>
    <n v="0"/>
    <n v="0.93725835290532189"/>
    <n v="6.2741647094678082E-2"/>
    <x v="8"/>
  </r>
  <r>
    <n v="7"/>
    <n v="69"/>
    <n v="4"/>
    <n v="0"/>
    <n v="0"/>
    <n v="11"/>
    <n v="2"/>
    <n v="1000"/>
    <n v="7"/>
    <n v="0"/>
    <n v="0.93726799377807191"/>
    <n v="6.2732006221928108E-2"/>
    <x v="8"/>
  </r>
  <r>
    <n v="7"/>
    <n v="66"/>
    <n v="2"/>
    <n v="1"/>
    <n v="3"/>
    <n v="3"/>
    <n v="0"/>
    <n v="12000"/>
    <n v="5"/>
    <n v="0"/>
    <n v="0.93729924470818404"/>
    <n v="6.2700755291816013E-2"/>
    <x v="8"/>
  </r>
  <r>
    <n v="5"/>
    <n v="51"/>
    <n v="1"/>
    <n v="2"/>
    <n v="3"/>
    <n v="3"/>
    <n v="3"/>
    <n v="0.01"/>
    <n v="9"/>
    <n v="0"/>
    <n v="0.93731274367184392"/>
    <n v="6.2687256328156096E-2"/>
    <x v="8"/>
  </r>
  <r>
    <n v="7"/>
    <n v="66"/>
    <n v="5"/>
    <n v="1"/>
    <n v="0"/>
    <n v="4"/>
    <n v="0"/>
    <n v="12000"/>
    <n v="4"/>
    <n v="0"/>
    <n v="0.93732320729504015"/>
    <n v="6.2676792704959905E-2"/>
    <x v="8"/>
  </r>
  <r>
    <n v="6"/>
    <n v="66"/>
    <n v="2"/>
    <n v="0"/>
    <n v="0"/>
    <n v="10"/>
    <n v="2"/>
    <n v="50"/>
    <n v="10"/>
    <n v="0"/>
    <n v="0.93743104138765931"/>
    <n v="6.2568958612340728E-2"/>
    <x v="8"/>
  </r>
  <r>
    <n v="5"/>
    <n v="62"/>
    <n v="3"/>
    <n v="0"/>
    <n v="0"/>
    <n v="4"/>
    <n v="2"/>
    <n v="50"/>
    <n v="7"/>
    <n v="0"/>
    <n v="0.93744527338481598"/>
    <n v="6.2554726615184075E-2"/>
    <x v="8"/>
  </r>
  <r>
    <n v="6"/>
    <n v="65"/>
    <n v="2"/>
    <n v="0"/>
    <n v="1"/>
    <n v="7"/>
    <n v="3"/>
    <n v="0.01"/>
    <n v="5"/>
    <n v="0"/>
    <n v="0.93756580756629071"/>
    <n v="6.2434192433709242E-2"/>
    <x v="8"/>
  </r>
  <r>
    <n v="9"/>
    <n v="77"/>
    <n v="3"/>
    <n v="0"/>
    <n v="1"/>
    <n v="12"/>
    <n v="2"/>
    <n v="2500"/>
    <n v="2"/>
    <n v="0"/>
    <n v="0.93759508382857959"/>
    <n v="6.2404916171420431E-2"/>
    <x v="8"/>
  </r>
  <r>
    <n v="8"/>
    <n v="63"/>
    <n v="2"/>
    <n v="2"/>
    <n v="3"/>
    <n v="8"/>
    <n v="2"/>
    <n v="3000"/>
    <n v="2"/>
    <n v="0"/>
    <n v="0.93759622887321847"/>
    <n v="6.2403771126781582E-2"/>
    <x v="8"/>
  </r>
  <r>
    <n v="8"/>
    <n v="75"/>
    <n v="1"/>
    <n v="0"/>
    <n v="3"/>
    <n v="8"/>
    <n v="0"/>
    <n v="6025"/>
    <n v="11"/>
    <n v="1"/>
    <n v="0.93761776394349894"/>
    <n v="6.2382236056501103E-2"/>
    <x v="8"/>
  </r>
  <r>
    <n v="7"/>
    <n v="61"/>
    <n v="2"/>
    <n v="2"/>
    <n v="3"/>
    <n v="3"/>
    <n v="0"/>
    <n v="6000"/>
    <n v="4"/>
    <n v="0"/>
    <n v="0.93762519026478741"/>
    <n v="6.2374809735212623E-2"/>
    <x v="8"/>
  </r>
  <r>
    <n v="7"/>
    <n v="67"/>
    <n v="0"/>
    <n v="1"/>
    <n v="3"/>
    <n v="3"/>
    <n v="0"/>
    <n v="10000"/>
    <n v="9"/>
    <n v="0"/>
    <n v="0.93763052512300582"/>
    <n v="6.2369474876994152E-2"/>
    <x v="8"/>
  </r>
  <r>
    <n v="8"/>
    <n v="66"/>
    <n v="2"/>
    <n v="2"/>
    <n v="0"/>
    <n v="11"/>
    <n v="0"/>
    <n v="12000"/>
    <n v="8"/>
    <n v="0"/>
    <n v="0.93768281208690141"/>
    <n v="6.2317187913098551E-2"/>
    <x v="8"/>
  </r>
  <r>
    <n v="8"/>
    <n v="73"/>
    <n v="2"/>
    <n v="0"/>
    <n v="3"/>
    <n v="8"/>
    <n v="2"/>
    <n v="3000"/>
    <n v="8"/>
    <n v="0"/>
    <n v="0.93777592187777081"/>
    <n v="6.2224078122229243E-2"/>
    <x v="8"/>
  </r>
  <r>
    <n v="6"/>
    <n v="68"/>
    <n v="1"/>
    <n v="0"/>
    <n v="1"/>
    <n v="7"/>
    <n v="0"/>
    <n v="9000"/>
    <n v="8"/>
    <n v="1"/>
    <n v="0.93778950249442716"/>
    <n v="6.2210497505572823E-2"/>
    <x v="8"/>
  </r>
  <r>
    <n v="4"/>
    <n v="59"/>
    <n v="3"/>
    <n v="0"/>
    <n v="1"/>
    <n v="7"/>
    <n v="0"/>
    <n v="5045.68"/>
    <n v="9"/>
    <n v="0"/>
    <n v="0.93799693631588232"/>
    <n v="6.2003063684117697E-2"/>
    <x v="8"/>
  </r>
  <r>
    <n v="2"/>
    <n v="50"/>
    <n v="0"/>
    <n v="0"/>
    <n v="3"/>
    <n v="3"/>
    <n v="2"/>
    <n v="2000"/>
    <n v="2"/>
    <n v="0"/>
    <n v="0.93821638585876377"/>
    <n v="6.1783614141236197E-2"/>
    <x v="8"/>
  </r>
  <r>
    <n v="8"/>
    <n v="74"/>
    <n v="1"/>
    <n v="0"/>
    <n v="3"/>
    <n v="3"/>
    <n v="2"/>
    <n v="50"/>
    <n v="10"/>
    <n v="0"/>
    <n v="0.93827626576588941"/>
    <n v="6.1723734234110622E-2"/>
    <x v="8"/>
  </r>
  <r>
    <n v="7"/>
    <n v="72"/>
    <n v="2"/>
    <n v="0"/>
    <n v="0"/>
    <n v="11"/>
    <n v="0"/>
    <n v="6600"/>
    <n v="15"/>
    <n v="0"/>
    <n v="0.93846775544985916"/>
    <n v="6.1532244550140877E-2"/>
    <x v="8"/>
  </r>
  <r>
    <n v="5"/>
    <n v="60"/>
    <n v="4"/>
    <n v="0"/>
    <n v="2"/>
    <n v="6"/>
    <n v="3"/>
    <n v="0.01"/>
    <n v="7"/>
    <n v="1"/>
    <n v="0.9384853611174947"/>
    <n v="6.1514638882505329E-2"/>
    <x v="8"/>
  </r>
  <r>
    <n v="2"/>
    <n v="49"/>
    <n v="4"/>
    <n v="0"/>
    <n v="1"/>
    <n v="7"/>
    <n v="2"/>
    <n v="2000"/>
    <n v="5"/>
    <n v="0"/>
    <n v="0.93857996270628319"/>
    <n v="6.1420037293716832E-2"/>
    <x v="8"/>
  </r>
  <r>
    <n v="1"/>
    <n v="40"/>
    <n v="3"/>
    <n v="1"/>
    <n v="3"/>
    <n v="3"/>
    <n v="2"/>
    <n v="2400"/>
    <n v="8"/>
    <n v="0"/>
    <n v="0.93867894682138775"/>
    <n v="6.1321053178612257E-2"/>
    <x v="8"/>
  </r>
  <r>
    <n v="6"/>
    <n v="62"/>
    <n v="3"/>
    <n v="1"/>
    <n v="1"/>
    <n v="12"/>
    <n v="0"/>
    <n v="12000"/>
    <n v="2"/>
    <n v="0"/>
    <n v="0.93879476520471439"/>
    <n v="6.1205234795285571E-2"/>
    <x v="8"/>
  </r>
  <r>
    <n v="2"/>
    <n v="44"/>
    <n v="3"/>
    <n v="1"/>
    <n v="3"/>
    <n v="3"/>
    <n v="2"/>
    <n v="2100"/>
    <n v="4"/>
    <n v="0"/>
    <n v="0.93882854196066956"/>
    <n v="6.1171458039330391E-2"/>
    <x v="8"/>
  </r>
  <r>
    <n v="8"/>
    <n v="73"/>
    <n v="4"/>
    <n v="0"/>
    <n v="1"/>
    <n v="12"/>
    <n v="2"/>
    <n v="60.01"/>
    <n v="10"/>
    <n v="0"/>
    <n v="0.9389259332549279"/>
    <n v="6.107406674507207E-2"/>
    <x v="8"/>
  </r>
  <r>
    <n v="7"/>
    <n v="68"/>
    <n v="2"/>
    <n v="1"/>
    <n v="0"/>
    <n v="2"/>
    <n v="0"/>
    <n v="12160.98"/>
    <n v="6"/>
    <n v="0"/>
    <n v="0.93892702475274348"/>
    <n v="6.1072975247256571E-2"/>
    <x v="8"/>
  </r>
  <r>
    <n v="6"/>
    <n v="67"/>
    <n v="2"/>
    <n v="0"/>
    <n v="0"/>
    <n v="2"/>
    <n v="2"/>
    <n v="600"/>
    <n v="1"/>
    <n v="1"/>
    <n v="0.93899253199432853"/>
    <n v="6.1007468005671417E-2"/>
    <x v="8"/>
  </r>
  <r>
    <n v="7"/>
    <n v="60"/>
    <n v="0"/>
    <n v="2"/>
    <n v="3"/>
    <n v="3"/>
    <n v="3"/>
    <n v="0.01"/>
    <n v="8"/>
    <n v="0"/>
    <n v="0.93900171353083184"/>
    <n v="6.0998286469168168E-2"/>
    <x v="8"/>
  </r>
  <r>
    <n v="7"/>
    <n v="67"/>
    <n v="1"/>
    <n v="1"/>
    <n v="3"/>
    <n v="3"/>
    <n v="0"/>
    <n v="12000"/>
    <n v="8"/>
    <n v="0"/>
    <n v="0.93904027963110803"/>
    <n v="6.0959720368892002E-2"/>
    <x v="8"/>
  </r>
  <r>
    <n v="5"/>
    <n v="63"/>
    <n v="2"/>
    <n v="0"/>
    <n v="3"/>
    <n v="3"/>
    <n v="1"/>
    <n v="25000"/>
    <n v="8"/>
    <n v="0"/>
    <n v="0.93907635586553273"/>
    <n v="6.0923644134467318E-2"/>
    <x v="8"/>
  </r>
  <r>
    <n v="8"/>
    <n v="64"/>
    <n v="4"/>
    <n v="2"/>
    <n v="1"/>
    <n v="5"/>
    <n v="2"/>
    <n v="2000"/>
    <n v="14"/>
    <n v="0"/>
    <n v="0.93908033373638111"/>
    <n v="6.091966626361893E-2"/>
    <x v="8"/>
  </r>
  <r>
    <n v="9"/>
    <n v="77"/>
    <n v="1"/>
    <n v="0"/>
    <n v="3"/>
    <n v="8"/>
    <n v="3"/>
    <n v="0.01"/>
    <n v="5"/>
    <n v="0"/>
    <n v="0.93912608827170385"/>
    <n v="6.087391172829619E-2"/>
    <x v="8"/>
  </r>
  <r>
    <n v="7"/>
    <n v="68"/>
    <n v="1"/>
    <n v="1"/>
    <n v="0"/>
    <n v="2"/>
    <n v="1"/>
    <n v="24000"/>
    <n v="2"/>
    <n v="0"/>
    <n v="0.9391430566540937"/>
    <n v="6.08569433459063E-2"/>
    <x v="8"/>
  </r>
  <r>
    <n v="7"/>
    <n v="71"/>
    <n v="2"/>
    <n v="0"/>
    <n v="0"/>
    <n v="4"/>
    <n v="2"/>
    <n v="480"/>
    <n v="5"/>
    <n v="0"/>
    <n v="0.9391647496416381"/>
    <n v="6.0835250358361882E-2"/>
    <x v="8"/>
  </r>
  <r>
    <n v="7"/>
    <n v="65"/>
    <n v="5"/>
    <n v="1"/>
    <n v="3"/>
    <n v="8"/>
    <n v="0"/>
    <n v="6000"/>
    <n v="20"/>
    <n v="0"/>
    <n v="0.9394145293384154"/>
    <n v="6.0585470661584553E-2"/>
    <x v="8"/>
  </r>
  <r>
    <n v="5"/>
    <n v="58"/>
    <n v="1"/>
    <n v="1"/>
    <n v="1"/>
    <n v="5"/>
    <n v="2"/>
    <n v="1000"/>
    <n v="5"/>
    <n v="0"/>
    <n v="0.93958756191393678"/>
    <n v="6.0412438086063211E-2"/>
    <x v="8"/>
  </r>
  <r>
    <n v="6"/>
    <n v="65"/>
    <n v="5"/>
    <n v="0"/>
    <n v="1"/>
    <n v="12"/>
    <n v="2"/>
    <n v="1000"/>
    <n v="24"/>
    <n v="0"/>
    <n v="0.93965812548400329"/>
    <n v="6.0341874515996673E-2"/>
    <x v="8"/>
  </r>
  <r>
    <n v="5"/>
    <n v="62"/>
    <n v="4"/>
    <n v="0"/>
    <n v="3"/>
    <n v="8"/>
    <n v="0"/>
    <n v="6000.01"/>
    <n v="5"/>
    <n v="1"/>
    <n v="0.93966502282381947"/>
    <n v="6.0334977176180478E-2"/>
    <x v="8"/>
  </r>
  <r>
    <n v="11"/>
    <n v="77"/>
    <n v="4"/>
    <n v="2"/>
    <n v="3"/>
    <n v="3"/>
    <n v="0"/>
    <n v="6107.64"/>
    <n v="6"/>
    <n v="0"/>
    <n v="0.93979821665902674"/>
    <n v="6.0201783340973272E-2"/>
    <x v="8"/>
  </r>
  <r>
    <n v="4"/>
    <n v="58"/>
    <n v="3"/>
    <n v="0"/>
    <n v="0"/>
    <n v="11"/>
    <n v="2"/>
    <n v="1000"/>
    <n v="5"/>
    <n v="0"/>
    <n v="0.93989097774993913"/>
    <n v="6.0109022250060928E-2"/>
    <x v="8"/>
  </r>
  <r>
    <n v="8"/>
    <n v="71"/>
    <n v="2"/>
    <n v="1"/>
    <n v="3"/>
    <n v="3"/>
    <n v="0"/>
    <n v="10500"/>
    <n v="16"/>
    <n v="0"/>
    <n v="0.9399168605075412"/>
    <n v="6.0083139492458783E-2"/>
    <x v="8"/>
  </r>
  <r>
    <n v="6"/>
    <n v="68"/>
    <n v="1"/>
    <n v="0"/>
    <n v="3"/>
    <n v="3"/>
    <n v="0"/>
    <n v="12000"/>
    <n v="2"/>
    <n v="0"/>
    <n v="0.93995682106690714"/>
    <n v="6.0043178933092849E-2"/>
    <x v="8"/>
  </r>
  <r>
    <n v="11"/>
    <n v="77"/>
    <n v="3"/>
    <n v="2"/>
    <n v="0"/>
    <n v="2"/>
    <n v="3"/>
    <n v="0.01"/>
    <n v="23"/>
    <n v="1"/>
    <n v="0.93996563205151695"/>
    <n v="6.0034367948482999E-2"/>
    <x v="8"/>
  </r>
  <r>
    <n v="6"/>
    <n v="64"/>
    <n v="1"/>
    <n v="1"/>
    <n v="0"/>
    <n v="11"/>
    <n v="0"/>
    <n v="12000"/>
    <n v="12"/>
    <n v="0"/>
    <n v="0.93998907717580016"/>
    <n v="6.0010922824199862E-2"/>
    <x v="8"/>
  </r>
  <r>
    <n v="5"/>
    <n v="62"/>
    <n v="2"/>
    <n v="0"/>
    <n v="3"/>
    <n v="3"/>
    <n v="2"/>
    <n v="3000"/>
    <n v="9"/>
    <n v="0"/>
    <n v="0.94009807064127848"/>
    <n v="5.9901929358721469E-2"/>
    <x v="8"/>
  </r>
  <r>
    <n v="7"/>
    <n v="66"/>
    <n v="2"/>
    <n v="1"/>
    <n v="4"/>
    <n v="9"/>
    <n v="0"/>
    <n v="20000"/>
    <n v="4"/>
    <n v="0"/>
    <n v="0.94016055753030991"/>
    <n v="5.983944246969012E-2"/>
    <x v="8"/>
  </r>
  <r>
    <n v="6"/>
    <n v="67"/>
    <n v="3"/>
    <n v="0"/>
    <n v="0"/>
    <n v="4"/>
    <n v="2"/>
    <n v="5000"/>
    <n v="7"/>
    <n v="0"/>
    <n v="0.94026776084720431"/>
    <n v="5.9732239152795671E-2"/>
    <x v="8"/>
  </r>
  <r>
    <n v="6"/>
    <n v="65"/>
    <n v="3"/>
    <n v="0"/>
    <n v="2"/>
    <n v="6"/>
    <n v="3"/>
    <n v="0.01"/>
    <n v="5"/>
    <n v="0"/>
    <n v="0.94038665074583849"/>
    <n v="5.9613349254161473E-2"/>
    <x v="8"/>
  </r>
  <r>
    <n v="6"/>
    <n v="67"/>
    <n v="0"/>
    <n v="0"/>
    <n v="3"/>
    <n v="3"/>
    <n v="2"/>
    <n v="420"/>
    <n v="8"/>
    <n v="0"/>
    <n v="0.94065812052190523"/>
    <n v="5.9341879478094807E-2"/>
    <x v="8"/>
  </r>
  <r>
    <n v="5"/>
    <n v="64"/>
    <n v="2"/>
    <n v="0"/>
    <n v="3"/>
    <n v="3"/>
    <n v="1"/>
    <n v="50000"/>
    <n v="1"/>
    <n v="0"/>
    <n v="0.9407082796902595"/>
    <n v="5.9291720309740559E-2"/>
    <x v="8"/>
  </r>
  <r>
    <n v="7"/>
    <n v="67"/>
    <n v="3"/>
    <n v="1"/>
    <n v="0"/>
    <n v="11"/>
    <n v="0"/>
    <n v="6000"/>
    <n v="1"/>
    <n v="1"/>
    <n v="0.94073008308145778"/>
    <n v="5.9269916918542262E-2"/>
    <x v="8"/>
  </r>
  <r>
    <n v="6"/>
    <n v="64"/>
    <n v="1"/>
    <n v="1"/>
    <n v="2"/>
    <n v="0"/>
    <n v="0"/>
    <n v="6000"/>
    <n v="5"/>
    <n v="0"/>
    <n v="0.94083679965761924"/>
    <n v="5.916320034238081E-2"/>
    <x v="8"/>
  </r>
  <r>
    <n v="8"/>
    <n v="74"/>
    <n v="2"/>
    <n v="0"/>
    <n v="3"/>
    <n v="8"/>
    <n v="2"/>
    <n v="3000"/>
    <n v="12"/>
    <n v="1"/>
    <n v="0.94091092128097542"/>
    <n v="5.9089078719024572E-2"/>
    <x v="8"/>
  </r>
  <r>
    <n v="6"/>
    <n v="67"/>
    <n v="0"/>
    <n v="0"/>
    <n v="0"/>
    <n v="11"/>
    <n v="3"/>
    <n v="0.01"/>
    <n v="7"/>
    <n v="0"/>
    <n v="0.94091518876136004"/>
    <n v="5.9084811238639928E-2"/>
    <x v="8"/>
  </r>
  <r>
    <n v="5"/>
    <n v="66"/>
    <n v="0"/>
    <n v="0"/>
    <n v="0"/>
    <n v="2"/>
    <n v="0"/>
    <n v="6000"/>
    <n v="1"/>
    <n v="0"/>
    <n v="0.94092332076809815"/>
    <n v="5.9076679231901873E-2"/>
    <x v="8"/>
  </r>
  <r>
    <n v="3"/>
    <n v="49"/>
    <n v="4"/>
    <n v="1"/>
    <n v="2"/>
    <n v="1"/>
    <n v="2"/>
    <n v="4400"/>
    <n v="5"/>
    <n v="0"/>
    <n v="0.94103365014948215"/>
    <n v="5.89663498505179E-2"/>
    <x v="8"/>
  </r>
  <r>
    <n v="4"/>
    <n v="57"/>
    <n v="4"/>
    <n v="0"/>
    <n v="3"/>
    <n v="8"/>
    <n v="2"/>
    <n v="1000"/>
    <n v="14"/>
    <n v="0"/>
    <n v="0.94119774290551572"/>
    <n v="5.8802257094484313E-2"/>
    <x v="8"/>
  </r>
  <r>
    <n v="4"/>
    <n v="59"/>
    <n v="2"/>
    <n v="0"/>
    <n v="0"/>
    <n v="2"/>
    <n v="3"/>
    <n v="0.01"/>
    <n v="10"/>
    <n v="0"/>
    <n v="0.94121402610763405"/>
    <n v="5.8785973892365902E-2"/>
    <x v="8"/>
  </r>
  <r>
    <n v="8"/>
    <n v="77"/>
    <n v="0"/>
    <n v="0"/>
    <n v="3"/>
    <n v="3"/>
    <n v="1"/>
    <n v="33934.25"/>
    <n v="12"/>
    <n v="1"/>
    <n v="0.94127760878387345"/>
    <n v="5.8722391216126532E-2"/>
    <x v="8"/>
  </r>
  <r>
    <n v="5"/>
    <n v="64"/>
    <n v="1"/>
    <n v="0"/>
    <n v="0"/>
    <n v="4"/>
    <n v="2"/>
    <n v="1000"/>
    <n v="6"/>
    <n v="0"/>
    <n v="0.94128845343490963"/>
    <n v="5.8711546565090353E-2"/>
    <x v="8"/>
  </r>
  <r>
    <n v="8"/>
    <n v="76"/>
    <n v="4"/>
    <n v="0"/>
    <n v="0"/>
    <n v="11"/>
    <n v="0"/>
    <n v="12106.7"/>
    <n v="7"/>
    <n v="0"/>
    <n v="0.94134728225760689"/>
    <n v="5.8652717742393112E-2"/>
    <x v="8"/>
  </r>
  <r>
    <n v="3"/>
    <n v="55"/>
    <n v="4"/>
    <n v="0"/>
    <n v="3"/>
    <n v="3"/>
    <n v="0"/>
    <n v="10500"/>
    <n v="6"/>
    <n v="0"/>
    <n v="0.94135652543048998"/>
    <n v="5.8643474569510051E-2"/>
    <x v="8"/>
  </r>
  <r>
    <n v="8"/>
    <n v="77"/>
    <n v="0"/>
    <n v="0"/>
    <n v="3"/>
    <n v="3"/>
    <n v="0"/>
    <n v="9000"/>
    <n v="7"/>
    <n v="0"/>
    <n v="0.94142055323922647"/>
    <n v="5.8579446760773528E-2"/>
    <x v="8"/>
  </r>
  <r>
    <n v="2"/>
    <n v="47"/>
    <n v="2"/>
    <n v="1"/>
    <n v="3"/>
    <n v="3"/>
    <n v="0"/>
    <n v="12000"/>
    <n v="6"/>
    <n v="0"/>
    <n v="0.94150984393785975"/>
    <n v="5.8490156062140267E-2"/>
    <x v="8"/>
  </r>
  <r>
    <n v="6"/>
    <n v="59"/>
    <n v="0"/>
    <n v="2"/>
    <n v="3"/>
    <n v="3"/>
    <n v="0"/>
    <n v="6000"/>
    <n v="5"/>
    <n v="0"/>
    <n v="0.94156716550552877"/>
    <n v="5.8432834494471252E-2"/>
    <x v="8"/>
  </r>
  <r>
    <n v="5"/>
    <n v="58"/>
    <n v="4"/>
    <n v="1"/>
    <n v="0"/>
    <n v="4"/>
    <n v="2"/>
    <n v="2550.0100000000002"/>
    <n v="10"/>
    <n v="0"/>
    <n v="0.94160285100306762"/>
    <n v="5.8397148996932331E-2"/>
    <x v="8"/>
  </r>
  <r>
    <n v="9"/>
    <n v="76"/>
    <n v="3"/>
    <n v="1"/>
    <n v="0"/>
    <n v="2"/>
    <n v="1"/>
    <n v="22025"/>
    <n v="4"/>
    <n v="0"/>
    <n v="0.94178398512041495"/>
    <n v="5.8216014879585047E-2"/>
    <x v="8"/>
  </r>
  <r>
    <n v="8"/>
    <n v="74"/>
    <n v="5"/>
    <n v="0"/>
    <n v="2"/>
    <n v="0"/>
    <n v="2"/>
    <n v="2000"/>
    <n v="5"/>
    <n v="0"/>
    <n v="0.94185854074344089"/>
    <n v="5.8141459256559107E-2"/>
    <x v="8"/>
  </r>
  <r>
    <n v="5"/>
    <n v="53"/>
    <n v="4"/>
    <n v="2"/>
    <n v="0"/>
    <n v="4"/>
    <n v="2"/>
    <n v="1750"/>
    <n v="1"/>
    <n v="0"/>
    <n v="0.94201179842866811"/>
    <n v="5.7988201571331922E-2"/>
    <x v="8"/>
  </r>
  <r>
    <n v="4"/>
    <n v="61"/>
    <n v="0"/>
    <n v="0"/>
    <n v="3"/>
    <n v="3"/>
    <n v="0"/>
    <n v="6053.34"/>
    <n v="10"/>
    <n v="0"/>
    <n v="0.94213226086122914"/>
    <n v="5.7867739138770843E-2"/>
    <x v="8"/>
  </r>
  <r>
    <n v="7"/>
    <n v="63"/>
    <n v="1"/>
    <n v="2"/>
    <n v="3"/>
    <n v="3"/>
    <n v="0"/>
    <n v="14048.15"/>
    <n v="4"/>
    <n v="0"/>
    <n v="0.94220202579119827"/>
    <n v="5.7797974208801707E-2"/>
    <x v="8"/>
  </r>
  <r>
    <n v="7"/>
    <n v="70"/>
    <n v="5"/>
    <n v="0"/>
    <n v="0"/>
    <n v="11"/>
    <n v="2"/>
    <n v="600"/>
    <n v="5"/>
    <n v="0"/>
    <n v="0.94233922342165677"/>
    <n v="5.7660776578343217E-2"/>
    <x v="8"/>
  </r>
  <r>
    <n v="6"/>
    <n v="69"/>
    <n v="0"/>
    <n v="0"/>
    <n v="3"/>
    <n v="3"/>
    <n v="0"/>
    <n v="6000"/>
    <n v="2"/>
    <n v="0"/>
    <n v="0.94236749400011255"/>
    <n v="5.7632505999887403E-2"/>
    <x v="8"/>
  </r>
  <r>
    <n v="5"/>
    <n v="55"/>
    <n v="1"/>
    <n v="2"/>
    <n v="3"/>
    <n v="3"/>
    <n v="0"/>
    <n v="9000"/>
    <n v="11"/>
    <n v="0"/>
    <n v="0.94248356988726512"/>
    <n v="5.7516430112734891E-2"/>
    <x v="8"/>
  </r>
  <r>
    <n v="9"/>
    <n v="69"/>
    <n v="5"/>
    <n v="2"/>
    <n v="0"/>
    <n v="4"/>
    <n v="2"/>
    <n v="1200"/>
    <n v="5"/>
    <n v="0"/>
    <n v="0.94255355885281511"/>
    <n v="5.7446441147184828E-2"/>
    <x v="8"/>
  </r>
  <r>
    <n v="3"/>
    <n v="45"/>
    <n v="3"/>
    <n v="2"/>
    <n v="1"/>
    <n v="5"/>
    <n v="2"/>
    <n v="1270"/>
    <n v="4"/>
    <n v="0"/>
    <n v="0.94258668326215878"/>
    <n v="5.7413316737841252E-2"/>
    <x v="8"/>
  </r>
  <r>
    <n v="6"/>
    <n v="59"/>
    <n v="2"/>
    <n v="2"/>
    <n v="1"/>
    <n v="7"/>
    <n v="0"/>
    <n v="6000"/>
    <n v="2"/>
    <n v="0"/>
    <n v="0.9427425919456166"/>
    <n v="5.7257408054383389E-2"/>
    <x v="8"/>
  </r>
  <r>
    <n v="9"/>
    <n v="70"/>
    <n v="2"/>
    <n v="2"/>
    <n v="0"/>
    <n v="11"/>
    <n v="2"/>
    <n v="3000"/>
    <n v="14"/>
    <n v="0"/>
    <n v="0.94283590553729268"/>
    <n v="5.7164094462707302E-2"/>
    <x v="8"/>
  </r>
  <r>
    <n v="6"/>
    <n v="58"/>
    <n v="0"/>
    <n v="2"/>
    <n v="3"/>
    <n v="3"/>
    <n v="2"/>
    <n v="1500"/>
    <n v="14"/>
    <n v="0"/>
    <n v="0.94284860346348176"/>
    <n v="5.7151396536518212E-2"/>
    <x v="8"/>
  </r>
  <r>
    <n v="7"/>
    <n v="71"/>
    <n v="4"/>
    <n v="0"/>
    <n v="3"/>
    <n v="8"/>
    <n v="0"/>
    <n v="6000"/>
    <n v="2"/>
    <n v="0"/>
    <n v="0.94286987836237635"/>
    <n v="5.7130121637623703E-2"/>
    <x v="8"/>
  </r>
  <r>
    <n v="6"/>
    <n v="59"/>
    <n v="1"/>
    <n v="2"/>
    <n v="0"/>
    <n v="2"/>
    <n v="2"/>
    <n v="3000.01"/>
    <n v="8"/>
    <n v="0"/>
    <n v="0.94290278690925144"/>
    <n v="5.7097213090748548E-2"/>
    <x v="8"/>
  </r>
  <r>
    <n v="5"/>
    <n v="63"/>
    <n v="5"/>
    <n v="0"/>
    <n v="3"/>
    <n v="3"/>
    <n v="0"/>
    <n v="6053.35"/>
    <n v="5"/>
    <n v="0"/>
    <n v="0.9429214355758847"/>
    <n v="5.7078564424115311E-2"/>
    <x v="8"/>
  </r>
  <r>
    <n v="7"/>
    <n v="64"/>
    <n v="5"/>
    <n v="1"/>
    <n v="3"/>
    <n v="3"/>
    <n v="3"/>
    <n v="0.01"/>
    <n v="11"/>
    <n v="0"/>
    <n v="0.94304475409960897"/>
    <n v="5.6955245900390999E-2"/>
    <x v="8"/>
  </r>
  <r>
    <n v="7"/>
    <n v="69"/>
    <n v="5"/>
    <n v="0"/>
    <n v="1"/>
    <n v="12"/>
    <n v="3"/>
    <n v="0.01"/>
    <n v="9"/>
    <n v="0"/>
    <n v="0.94307260399646886"/>
    <n v="5.6927396003531097E-2"/>
    <x v="8"/>
  </r>
  <r>
    <n v="3"/>
    <n v="49"/>
    <n v="2"/>
    <n v="1"/>
    <n v="3"/>
    <n v="3"/>
    <n v="3"/>
    <n v="0.01"/>
    <n v="5"/>
    <n v="0"/>
    <n v="0.94310184942433772"/>
    <n v="5.6898150575662262E-2"/>
    <x v="8"/>
  </r>
  <r>
    <n v="6"/>
    <n v="64"/>
    <n v="2"/>
    <n v="1"/>
    <n v="1"/>
    <n v="7"/>
    <n v="0"/>
    <n v="6000"/>
    <n v="1"/>
    <n v="0"/>
    <n v="0.94310199414518547"/>
    <n v="5.6898005854814568E-2"/>
    <x v="8"/>
  </r>
  <r>
    <n v="7"/>
    <n v="65"/>
    <n v="5"/>
    <n v="1"/>
    <n v="2"/>
    <n v="6"/>
    <n v="2"/>
    <n v="1000"/>
    <n v="12"/>
    <n v="0"/>
    <n v="0.94311505393357031"/>
    <n v="5.6884946066429742E-2"/>
    <x v="8"/>
  </r>
  <r>
    <n v="6"/>
    <n v="67"/>
    <n v="2"/>
    <n v="0"/>
    <n v="1"/>
    <n v="12"/>
    <n v="2"/>
    <n v="50.01"/>
    <n v="8"/>
    <n v="0"/>
    <n v="0.94316137204090822"/>
    <n v="5.6838627959091829E-2"/>
    <x v="8"/>
  </r>
  <r>
    <n v="8"/>
    <n v="76"/>
    <n v="2"/>
    <n v="0"/>
    <n v="0"/>
    <n v="11"/>
    <n v="2"/>
    <n v="2800"/>
    <n v="20"/>
    <n v="0"/>
    <n v="0.94318090039259561"/>
    <n v="5.6819099607404382E-2"/>
    <x v="8"/>
  </r>
  <r>
    <n v="8"/>
    <n v="71"/>
    <n v="1"/>
    <n v="1"/>
    <n v="4"/>
    <n v="9"/>
    <n v="1"/>
    <n v="30500"/>
    <n v="6"/>
    <n v="1"/>
    <n v="0.94320086868824982"/>
    <n v="5.6799131311750163E-2"/>
    <x v="8"/>
  </r>
  <r>
    <n v="7"/>
    <n v="67"/>
    <n v="0"/>
    <n v="1"/>
    <n v="3"/>
    <n v="3"/>
    <n v="2"/>
    <n v="50.01"/>
    <n v="9"/>
    <n v="0"/>
    <n v="0.94344554030004713"/>
    <n v="5.6554459699952847E-2"/>
    <x v="8"/>
  </r>
  <r>
    <n v="6"/>
    <n v="69"/>
    <n v="0"/>
    <n v="0"/>
    <n v="3"/>
    <n v="8"/>
    <n v="0"/>
    <n v="6000"/>
    <n v="6"/>
    <n v="1"/>
    <n v="0.94356712338695192"/>
    <n v="5.6432876613048112E-2"/>
    <x v="8"/>
  </r>
  <r>
    <n v="9"/>
    <n v="74"/>
    <n v="1"/>
    <n v="1"/>
    <n v="3"/>
    <n v="3"/>
    <n v="3"/>
    <n v="0.01"/>
    <n v="9"/>
    <n v="0"/>
    <n v="0.94366801318286331"/>
    <n v="5.633198681713672E-2"/>
    <x v="8"/>
  </r>
  <r>
    <n v="6"/>
    <n v="65"/>
    <n v="5"/>
    <n v="0"/>
    <n v="3"/>
    <n v="3"/>
    <n v="3"/>
    <n v="0.01"/>
    <n v="8"/>
    <n v="0"/>
    <n v="0.94370020788331521"/>
    <n v="5.6299792116684767E-2"/>
    <x v="8"/>
  </r>
  <r>
    <n v="9"/>
    <n v="78"/>
    <n v="1"/>
    <n v="1"/>
    <n v="0"/>
    <n v="2"/>
    <n v="0"/>
    <n v="13000"/>
    <n v="6"/>
    <n v="0"/>
    <n v="0.94371083221445029"/>
    <n v="5.6289167785549668E-2"/>
    <x v="8"/>
  </r>
  <r>
    <n v="10"/>
    <n v="78"/>
    <n v="3"/>
    <n v="1"/>
    <n v="3"/>
    <n v="3"/>
    <n v="2"/>
    <n v="5000"/>
    <n v="4"/>
    <n v="0"/>
    <n v="0.94387714268656664"/>
    <n v="5.6122857313433389E-2"/>
    <x v="8"/>
  </r>
  <r>
    <n v="8"/>
    <n v="70"/>
    <n v="0"/>
    <n v="1"/>
    <n v="3"/>
    <n v="8"/>
    <n v="3"/>
    <n v="0.01"/>
    <n v="9"/>
    <n v="0"/>
    <n v="0.94388909180858049"/>
    <n v="5.611090819141952E-2"/>
    <x v="8"/>
  </r>
  <r>
    <n v="8"/>
    <n v="65"/>
    <n v="3"/>
    <n v="2"/>
    <n v="3"/>
    <n v="3"/>
    <n v="2"/>
    <n v="0.02"/>
    <n v="10"/>
    <n v="0"/>
    <n v="0.94392990490003448"/>
    <n v="5.6070095099965557E-2"/>
    <x v="8"/>
  </r>
  <r>
    <n v="8"/>
    <n v="75"/>
    <n v="5"/>
    <n v="0"/>
    <n v="3"/>
    <n v="8"/>
    <n v="0"/>
    <n v="7923.04"/>
    <n v="1"/>
    <n v="0"/>
    <n v="0.94401530838597969"/>
    <n v="5.5984691614020268E-2"/>
    <x v="8"/>
  </r>
  <r>
    <n v="7"/>
    <n v="69"/>
    <n v="1"/>
    <n v="1"/>
    <n v="1"/>
    <n v="5"/>
    <n v="0"/>
    <n v="6000"/>
    <n v="3"/>
    <n v="0"/>
    <n v="0.94402325713899238"/>
    <n v="5.5976742861007671E-2"/>
    <x v="8"/>
  </r>
  <r>
    <n v="6"/>
    <n v="63"/>
    <n v="5"/>
    <n v="1"/>
    <n v="1"/>
    <n v="12"/>
    <n v="0"/>
    <n v="20000"/>
    <n v="4"/>
    <n v="0"/>
    <n v="0.94415353927286705"/>
    <n v="5.5846460727132938E-2"/>
    <x v="8"/>
  </r>
  <r>
    <n v="4"/>
    <n v="51"/>
    <n v="5"/>
    <n v="2"/>
    <n v="0"/>
    <n v="4"/>
    <n v="0"/>
    <n v="6000"/>
    <n v="12"/>
    <n v="0"/>
    <n v="0.94419364192214728"/>
    <n v="5.5806358077852669E-2"/>
    <x v="8"/>
  </r>
  <r>
    <n v="6"/>
    <n v="65"/>
    <n v="1"/>
    <n v="1"/>
    <n v="0"/>
    <n v="11"/>
    <n v="0"/>
    <n v="5089.7"/>
    <n v="7"/>
    <n v="0"/>
    <n v="0.94422689524766756"/>
    <n v="5.5773104752332457E-2"/>
    <x v="8"/>
  </r>
  <r>
    <n v="9"/>
    <n v="79"/>
    <n v="3"/>
    <n v="0"/>
    <n v="3"/>
    <n v="3"/>
    <n v="2"/>
    <n v="5000"/>
    <n v="5"/>
    <n v="0"/>
    <n v="0.9442536220245038"/>
    <n v="5.5746377975496239E-2"/>
    <x v="8"/>
  </r>
  <r>
    <n v="7"/>
    <n v="68"/>
    <n v="5"/>
    <n v="1"/>
    <n v="0"/>
    <n v="4"/>
    <n v="0"/>
    <n v="7500"/>
    <n v="4"/>
    <n v="0"/>
    <n v="0.94441407597569582"/>
    <n v="5.5585924024304158E-2"/>
    <x v="8"/>
  </r>
  <r>
    <n v="6"/>
    <n v="66"/>
    <n v="5"/>
    <n v="0"/>
    <n v="1"/>
    <n v="12"/>
    <n v="2"/>
    <n v="1000"/>
    <n v="2"/>
    <n v="0"/>
    <n v="0.94448228336544182"/>
    <n v="5.551771663455813E-2"/>
    <x v="8"/>
  </r>
  <r>
    <n v="5"/>
    <n v="59"/>
    <n v="0"/>
    <n v="1"/>
    <n v="2"/>
    <n v="1"/>
    <n v="3"/>
    <n v="0.01"/>
    <n v="2"/>
    <n v="0"/>
    <n v="0.94448894509965442"/>
    <n v="5.5511054900345552E-2"/>
    <x v="8"/>
  </r>
  <r>
    <n v="8"/>
    <n v="77"/>
    <n v="1"/>
    <n v="0"/>
    <n v="3"/>
    <n v="8"/>
    <n v="0"/>
    <n v="7000"/>
    <n v="6"/>
    <n v="1"/>
    <n v="0.94455190847640103"/>
    <n v="5.5448091523598982E-2"/>
    <x v="8"/>
  </r>
  <r>
    <n v="7"/>
    <n v="66"/>
    <n v="3"/>
    <n v="1"/>
    <n v="0"/>
    <n v="11"/>
    <n v="3"/>
    <n v="0.01"/>
    <n v="9"/>
    <n v="0"/>
    <n v="0.94458010413953553"/>
    <n v="5.5419895860464433E-2"/>
    <x v="8"/>
  </r>
  <r>
    <n v="6"/>
    <n v="70"/>
    <n v="1"/>
    <n v="0"/>
    <n v="1"/>
    <n v="7"/>
    <n v="0"/>
    <n v="10000"/>
    <n v="4"/>
    <n v="0"/>
    <n v="0.94463641059747461"/>
    <n v="5.5363589402525427E-2"/>
    <x v="8"/>
  </r>
  <r>
    <n v="4"/>
    <n v="60"/>
    <n v="4"/>
    <n v="0"/>
    <n v="1"/>
    <n v="12"/>
    <n v="0"/>
    <n v="6000"/>
    <n v="2"/>
    <n v="0"/>
    <n v="0.94469213692549125"/>
    <n v="5.5307863074508787E-2"/>
    <x v="8"/>
  </r>
  <r>
    <n v="6"/>
    <n v="64"/>
    <n v="1"/>
    <n v="1"/>
    <n v="3"/>
    <n v="8"/>
    <n v="0"/>
    <n v="6053.35"/>
    <n v="5"/>
    <n v="0"/>
    <n v="0.94473289406502281"/>
    <n v="5.5267105934977141E-2"/>
    <x v="8"/>
  </r>
  <r>
    <n v="7"/>
    <n v="72"/>
    <n v="4"/>
    <n v="0"/>
    <n v="3"/>
    <n v="3"/>
    <n v="1"/>
    <n v="22000"/>
    <n v="14"/>
    <n v="0"/>
    <n v="0.94475427354663932"/>
    <n v="5.524572645336067E-2"/>
    <x v="8"/>
  </r>
  <r>
    <n v="6"/>
    <n v="70"/>
    <n v="1"/>
    <n v="0"/>
    <n v="1"/>
    <n v="7"/>
    <n v="0"/>
    <n v="6053.35"/>
    <n v="5"/>
    <n v="1"/>
    <n v="0.94490117248075078"/>
    <n v="5.5098827519249223E-2"/>
    <x v="8"/>
  </r>
  <r>
    <n v="8"/>
    <n v="75"/>
    <n v="2"/>
    <n v="0"/>
    <n v="3"/>
    <n v="3"/>
    <n v="3"/>
    <n v="0.01"/>
    <n v="17"/>
    <n v="0"/>
    <n v="0.94495303319689739"/>
    <n v="5.5046966803102643E-2"/>
    <x v="8"/>
  </r>
  <r>
    <n v="7"/>
    <n v="75"/>
    <n v="1"/>
    <n v="0"/>
    <n v="0"/>
    <n v="4"/>
    <n v="0"/>
    <n v="13033.71"/>
    <n v="5"/>
    <n v="0"/>
    <n v="0.94495382308670883"/>
    <n v="5.5046176913291132E-2"/>
    <x v="8"/>
  </r>
  <r>
    <n v="7"/>
    <n v="74"/>
    <n v="0"/>
    <n v="0"/>
    <n v="3"/>
    <n v="3"/>
    <n v="0"/>
    <n v="6000.01"/>
    <n v="8"/>
    <n v="0"/>
    <n v="0.94499471451432715"/>
    <n v="5.5005285485672857E-2"/>
    <x v="8"/>
  </r>
  <r>
    <n v="8"/>
    <n v="67"/>
    <n v="5"/>
    <n v="2"/>
    <n v="2"/>
    <n v="1"/>
    <n v="0"/>
    <n v="7567.91"/>
    <n v="18"/>
    <n v="0"/>
    <n v="0.94513752859668698"/>
    <n v="5.4862471403313073E-2"/>
    <x v="8"/>
  </r>
  <r>
    <n v="7"/>
    <n v="72"/>
    <n v="3"/>
    <n v="0"/>
    <n v="2"/>
    <n v="1"/>
    <n v="2"/>
    <n v="500"/>
    <n v="18"/>
    <n v="0"/>
    <n v="0.94516032446952603"/>
    <n v="5.4839675530473968E-2"/>
    <x v="8"/>
  </r>
  <r>
    <n v="5"/>
    <n v="62"/>
    <n v="4"/>
    <n v="0"/>
    <n v="1"/>
    <n v="12"/>
    <n v="3"/>
    <n v="0.01"/>
    <n v="8"/>
    <n v="0"/>
    <n v="0.94524452244592005"/>
    <n v="5.4755477554079918E-2"/>
    <x v="8"/>
  </r>
  <r>
    <n v="8"/>
    <n v="71"/>
    <n v="3"/>
    <n v="1"/>
    <n v="0"/>
    <n v="11"/>
    <n v="2"/>
    <n v="1000"/>
    <n v="8"/>
    <n v="0"/>
    <n v="0.94524710648053334"/>
    <n v="5.4752893519466703E-2"/>
    <x v="8"/>
  </r>
  <r>
    <n v="8"/>
    <n v="78"/>
    <n v="3"/>
    <n v="0"/>
    <n v="0"/>
    <n v="4"/>
    <n v="0"/>
    <n v="6000"/>
    <n v="1"/>
    <n v="0"/>
    <n v="0.94525902654051963"/>
    <n v="5.4740973459480383E-2"/>
    <x v="8"/>
  </r>
  <r>
    <n v="8"/>
    <n v="76"/>
    <n v="2"/>
    <n v="0"/>
    <n v="1"/>
    <n v="12"/>
    <n v="2"/>
    <n v="3215.96"/>
    <n v="15"/>
    <n v="0"/>
    <n v="0.94526980451236686"/>
    <n v="5.4730195487633138E-2"/>
    <x v="8"/>
  </r>
  <r>
    <n v="3"/>
    <n v="51"/>
    <n v="1"/>
    <n v="1"/>
    <n v="3"/>
    <n v="3"/>
    <n v="2"/>
    <n v="3000"/>
    <n v="8"/>
    <n v="0"/>
    <n v="0.94528020745047248"/>
    <n v="5.471979254952751E-2"/>
    <x v="8"/>
  </r>
  <r>
    <n v="9"/>
    <n v="76"/>
    <n v="3"/>
    <n v="1"/>
    <n v="3"/>
    <n v="3"/>
    <n v="0"/>
    <n v="10000"/>
    <n v="4"/>
    <n v="0"/>
    <n v="0.94530538839111211"/>
    <n v="5.4694611608887923E-2"/>
    <x v="8"/>
  </r>
  <r>
    <n v="5"/>
    <n v="58"/>
    <n v="5"/>
    <n v="1"/>
    <n v="0"/>
    <n v="11"/>
    <n v="2"/>
    <n v="70.010000000000005"/>
    <n v="8"/>
    <n v="0"/>
    <n v="0.94540190608931096"/>
    <n v="5.4598093910689052E-2"/>
    <x v="8"/>
  </r>
  <r>
    <n v="9"/>
    <n v="76"/>
    <n v="2"/>
    <n v="1"/>
    <n v="1"/>
    <n v="5"/>
    <n v="2"/>
    <n v="500"/>
    <n v="26"/>
    <n v="0"/>
    <n v="0.94545437235938368"/>
    <n v="5.4545627640616358E-2"/>
    <x v="8"/>
  </r>
  <r>
    <n v="6"/>
    <n v="69"/>
    <n v="1"/>
    <n v="0"/>
    <n v="1"/>
    <n v="7"/>
    <n v="2"/>
    <n v="3000"/>
    <n v="21"/>
    <n v="0"/>
    <n v="0.94553330804574232"/>
    <n v="5.4466691954257677E-2"/>
    <x v="8"/>
  </r>
  <r>
    <n v="6"/>
    <n v="68"/>
    <n v="3"/>
    <n v="0"/>
    <n v="0"/>
    <n v="2"/>
    <n v="3"/>
    <n v="0.01"/>
    <n v="8"/>
    <n v="1"/>
    <n v="0.9456418828516413"/>
    <n v="5.4358117148358691E-2"/>
    <x v="8"/>
  </r>
  <r>
    <n v="5"/>
    <n v="64"/>
    <n v="1"/>
    <n v="0"/>
    <n v="3"/>
    <n v="3"/>
    <n v="2"/>
    <n v="420"/>
    <n v="5"/>
    <n v="0"/>
    <n v="0.94565974149825849"/>
    <n v="5.4340258501741498E-2"/>
    <x v="8"/>
  </r>
  <r>
    <n v="6"/>
    <n v="64"/>
    <n v="3"/>
    <n v="1"/>
    <n v="0"/>
    <n v="2"/>
    <n v="2"/>
    <n v="5000"/>
    <n v="9"/>
    <n v="0"/>
    <n v="0.94571524742522195"/>
    <n v="5.4284752574778113E-2"/>
    <x v="8"/>
  </r>
  <r>
    <n v="5"/>
    <n v="66"/>
    <n v="1"/>
    <n v="0"/>
    <n v="3"/>
    <n v="3"/>
    <n v="0"/>
    <n v="17000"/>
    <n v="8"/>
    <n v="0"/>
    <n v="0.94574985021186808"/>
    <n v="5.425014978813187E-2"/>
    <x v="8"/>
  </r>
  <r>
    <n v="7"/>
    <n v="75"/>
    <n v="1"/>
    <n v="0"/>
    <n v="0"/>
    <n v="4"/>
    <n v="0"/>
    <n v="6000"/>
    <n v="1"/>
    <n v="0"/>
    <n v="0.94580444326720914"/>
    <n v="5.4195556732790813E-2"/>
    <x v="8"/>
  </r>
  <r>
    <n v="8"/>
    <n v="78"/>
    <n v="0"/>
    <n v="0"/>
    <n v="0"/>
    <n v="4"/>
    <n v="2"/>
    <n v="3000"/>
    <n v="2"/>
    <n v="1"/>
    <n v="0.94591063379458162"/>
    <n v="5.4089366205418432E-2"/>
    <x v="8"/>
  </r>
  <r>
    <n v="6"/>
    <n v="68"/>
    <n v="3"/>
    <n v="0"/>
    <n v="4"/>
    <n v="9"/>
    <n v="0"/>
    <n v="6000"/>
    <n v="12"/>
    <n v="0"/>
    <n v="0.94591281941625338"/>
    <n v="5.4087180583746668E-2"/>
    <x v="8"/>
  </r>
  <r>
    <n v="8"/>
    <n v="78"/>
    <n v="3"/>
    <n v="0"/>
    <n v="1"/>
    <n v="7"/>
    <n v="0"/>
    <n v="6000"/>
    <n v="26"/>
    <n v="0"/>
    <n v="0.9459158816628932"/>
    <n v="5.4084118337106843E-2"/>
    <x v="8"/>
  </r>
  <r>
    <n v="7"/>
    <n v="61"/>
    <n v="5"/>
    <n v="2"/>
    <n v="2"/>
    <n v="6"/>
    <n v="2"/>
    <n v="3000"/>
    <n v="8"/>
    <n v="0"/>
    <n v="0.94608155080330414"/>
    <n v="5.391844919669582E-2"/>
    <x v="8"/>
  </r>
  <r>
    <n v="3"/>
    <n v="56"/>
    <n v="3"/>
    <n v="0"/>
    <n v="1"/>
    <n v="5"/>
    <n v="2"/>
    <n v="2850.49"/>
    <n v="5"/>
    <n v="0"/>
    <n v="0.94611333238369366"/>
    <n v="5.3886667616306352E-2"/>
    <x v="8"/>
  </r>
  <r>
    <n v="6"/>
    <n v="63"/>
    <n v="3"/>
    <n v="1"/>
    <n v="4"/>
    <n v="9"/>
    <n v="0"/>
    <n v="6000"/>
    <n v="3"/>
    <n v="0"/>
    <n v="0.94622775808655724"/>
    <n v="5.3772241913442813E-2"/>
    <x v="8"/>
  </r>
  <r>
    <n v="5"/>
    <n v="59"/>
    <n v="5"/>
    <n v="1"/>
    <n v="0"/>
    <n v="4"/>
    <n v="2"/>
    <n v="3000"/>
    <n v="8"/>
    <n v="0"/>
    <n v="0.94627412965977331"/>
    <n v="5.372587034022671E-2"/>
    <x v="8"/>
  </r>
  <r>
    <n v="6"/>
    <n v="68"/>
    <n v="3"/>
    <n v="0"/>
    <n v="4"/>
    <n v="9"/>
    <n v="0"/>
    <n v="6053.35"/>
    <n v="6"/>
    <n v="0"/>
    <n v="0.94630157364971512"/>
    <n v="5.3698426350284843E-2"/>
    <x v="8"/>
  </r>
  <r>
    <n v="2"/>
    <n v="51"/>
    <n v="5"/>
    <n v="0"/>
    <n v="0"/>
    <n v="4"/>
    <n v="3"/>
    <n v="0.01"/>
    <n v="10"/>
    <n v="0"/>
    <n v="0.94630256250653566"/>
    <n v="5.3697437493464388E-2"/>
    <x v="8"/>
  </r>
  <r>
    <n v="4"/>
    <n v="62"/>
    <n v="2"/>
    <n v="0"/>
    <n v="1"/>
    <n v="7"/>
    <n v="0"/>
    <n v="6000"/>
    <n v="9"/>
    <n v="0"/>
    <n v="0.94630492546358547"/>
    <n v="5.3695074536414512E-2"/>
    <x v="8"/>
  </r>
  <r>
    <n v="8"/>
    <n v="77"/>
    <n v="6"/>
    <n v="0"/>
    <n v="0"/>
    <n v="11"/>
    <n v="0"/>
    <n v="6000"/>
    <n v="28"/>
    <n v="0"/>
    <n v="0.94640982097771176"/>
    <n v="5.3590179022288201E-2"/>
    <x v="8"/>
  </r>
  <r>
    <n v="4"/>
    <n v="62"/>
    <n v="1"/>
    <n v="0"/>
    <n v="3"/>
    <n v="3"/>
    <n v="0"/>
    <n v="12160.99"/>
    <n v="5"/>
    <n v="0"/>
    <n v="0.94649781104133879"/>
    <n v="5.3502188958661247E-2"/>
    <x v="8"/>
  </r>
  <r>
    <n v="6"/>
    <n v="65"/>
    <n v="2"/>
    <n v="1"/>
    <n v="3"/>
    <n v="3"/>
    <n v="1"/>
    <n v="40000"/>
    <n v="15"/>
    <n v="0"/>
    <n v="0.946557105652297"/>
    <n v="5.3442894347702982E-2"/>
    <x v="8"/>
  </r>
  <r>
    <n v="7"/>
    <n v="66"/>
    <n v="5"/>
    <n v="1"/>
    <n v="1"/>
    <n v="12"/>
    <n v="2"/>
    <n v="4600"/>
    <n v="6"/>
    <n v="0"/>
    <n v="0.94658418524843768"/>
    <n v="5.3415814751562277E-2"/>
    <x v="8"/>
  </r>
  <r>
    <n v="8"/>
    <n v="78"/>
    <n v="1"/>
    <n v="0"/>
    <n v="3"/>
    <n v="3"/>
    <n v="1"/>
    <n v="30160.98"/>
    <n v="5"/>
    <n v="0"/>
    <n v="0.946645590449957"/>
    <n v="5.3354409550042989E-2"/>
    <x v="8"/>
  </r>
  <r>
    <n v="2"/>
    <n v="53"/>
    <n v="1"/>
    <n v="0"/>
    <n v="0"/>
    <n v="11"/>
    <n v="2"/>
    <n v="1026.69"/>
    <n v="9"/>
    <n v="0"/>
    <n v="0.94676727764673863"/>
    <n v="5.323272235326143E-2"/>
    <x v="8"/>
  </r>
  <r>
    <n v="8"/>
    <n v="77"/>
    <n v="0"/>
    <n v="0"/>
    <n v="3"/>
    <n v="3"/>
    <n v="2"/>
    <n v="3000"/>
    <n v="4"/>
    <n v="0"/>
    <n v="0.94677591549500706"/>
    <n v="5.3224084504992913E-2"/>
    <x v="8"/>
  </r>
  <r>
    <n v="7"/>
    <n v="74"/>
    <n v="1"/>
    <n v="0"/>
    <n v="3"/>
    <n v="3"/>
    <n v="0"/>
    <n v="6000"/>
    <n v="1"/>
    <n v="0"/>
    <n v="0.9468009309293749"/>
    <n v="5.3199069070625077E-2"/>
    <x v="8"/>
  </r>
  <r>
    <n v="7"/>
    <n v="68"/>
    <n v="5"/>
    <n v="1"/>
    <n v="1"/>
    <n v="7"/>
    <n v="0"/>
    <n v="6000"/>
    <n v="2"/>
    <n v="0"/>
    <n v="0.94697527932376835"/>
    <n v="5.3024720676231631E-2"/>
    <x v="8"/>
  </r>
  <r>
    <n v="6"/>
    <n v="70"/>
    <n v="5"/>
    <n v="0"/>
    <n v="0"/>
    <n v="4"/>
    <n v="0"/>
    <n v="19705.03"/>
    <n v="3"/>
    <n v="0"/>
    <n v="0.94699174289304533"/>
    <n v="5.3008257106954643E-2"/>
    <x v="8"/>
  </r>
  <r>
    <n v="7"/>
    <n v="67"/>
    <n v="4"/>
    <n v="1"/>
    <n v="4"/>
    <n v="9"/>
    <n v="0"/>
    <n v="7000"/>
    <n v="4"/>
    <n v="0"/>
    <n v="0.94725554943862067"/>
    <n v="5.2744450561379372E-2"/>
    <x v="8"/>
  </r>
  <r>
    <n v="4"/>
    <n v="63"/>
    <n v="2"/>
    <n v="0"/>
    <n v="0"/>
    <n v="4"/>
    <n v="0"/>
    <n v="6000"/>
    <n v="5"/>
    <n v="0"/>
    <n v="0.94733313738640801"/>
    <n v="5.2666862613591998E-2"/>
    <x v="8"/>
  </r>
  <r>
    <n v="4"/>
    <n v="59"/>
    <n v="2"/>
    <n v="0"/>
    <n v="3"/>
    <n v="8"/>
    <n v="3"/>
    <n v="0.01"/>
    <n v="11"/>
    <n v="0"/>
    <n v="0.94735950963326843"/>
    <n v="5.2640490366731532E-2"/>
    <x v="8"/>
  </r>
  <r>
    <n v="2"/>
    <n v="46"/>
    <n v="3"/>
    <n v="1"/>
    <n v="3"/>
    <n v="3"/>
    <n v="3"/>
    <n v="0.01"/>
    <n v="8"/>
    <n v="0"/>
    <n v="0.9475268703804538"/>
    <n v="5.2473129619546241E-2"/>
    <x v="8"/>
  </r>
  <r>
    <n v="7"/>
    <n v="69"/>
    <n v="0"/>
    <n v="1"/>
    <n v="0"/>
    <n v="11"/>
    <n v="2"/>
    <n v="3000"/>
    <n v="3"/>
    <n v="0"/>
    <n v="0.94766226253699271"/>
    <n v="5.2337737463007288E-2"/>
    <x v="9"/>
  </r>
  <r>
    <n v="4"/>
    <n v="63"/>
    <n v="3"/>
    <n v="0"/>
    <n v="0"/>
    <n v="2"/>
    <n v="0"/>
    <n v="9000"/>
    <n v="8"/>
    <n v="0"/>
    <n v="0.94766317992668392"/>
    <n v="5.2336820073316068E-2"/>
    <x v="9"/>
  </r>
  <r>
    <n v="6"/>
    <n v="71"/>
    <n v="0"/>
    <n v="0"/>
    <n v="3"/>
    <n v="3"/>
    <n v="1"/>
    <n v="27497.040000000001"/>
    <n v="23"/>
    <n v="0"/>
    <n v="0.94770011399481857"/>
    <n v="5.2299886005181387E-2"/>
    <x v="9"/>
  </r>
  <r>
    <n v="8"/>
    <n v="69"/>
    <n v="5"/>
    <n v="2"/>
    <n v="0"/>
    <n v="4"/>
    <n v="1"/>
    <n v="53015.95"/>
    <n v="18"/>
    <n v="0"/>
    <n v="0.94771035778582247"/>
    <n v="5.2289642214177548E-2"/>
    <x v="9"/>
  </r>
  <r>
    <n v="9"/>
    <n v="72"/>
    <n v="3"/>
    <n v="2"/>
    <n v="1"/>
    <n v="7"/>
    <n v="1"/>
    <n v="20759.810000000001"/>
    <n v="3"/>
    <n v="0"/>
    <n v="0.947727261155763"/>
    <n v="5.2272738844237013E-2"/>
    <x v="9"/>
  </r>
  <r>
    <n v="2"/>
    <n v="47"/>
    <n v="1"/>
    <n v="1"/>
    <n v="3"/>
    <n v="3"/>
    <n v="3"/>
    <n v="0.01"/>
    <n v="10"/>
    <n v="0"/>
    <n v="0.9477748409392277"/>
    <n v="5.2225159060772283E-2"/>
    <x v="9"/>
  </r>
  <r>
    <n v="8"/>
    <n v="75"/>
    <n v="3"/>
    <n v="0"/>
    <n v="4"/>
    <n v="9"/>
    <n v="2"/>
    <n v="4000"/>
    <n v="2"/>
    <n v="0"/>
    <n v="0.94781834891902184"/>
    <n v="5.2181651080978157E-2"/>
    <x v="9"/>
  </r>
  <r>
    <n v="8"/>
    <n v="78"/>
    <n v="0"/>
    <n v="0"/>
    <n v="1"/>
    <n v="7"/>
    <n v="2"/>
    <n v="5000"/>
    <n v="4"/>
    <n v="0"/>
    <n v="0.94787663006086176"/>
    <n v="5.2123369939138263E-2"/>
    <x v="9"/>
  </r>
  <r>
    <n v="7"/>
    <n v="71"/>
    <n v="1"/>
    <n v="1"/>
    <n v="0"/>
    <n v="2"/>
    <n v="0"/>
    <n v="6000"/>
    <n v="3"/>
    <n v="0"/>
    <n v="0.94787948020416091"/>
    <n v="5.2120519795839128E-2"/>
    <x v="9"/>
  </r>
  <r>
    <n v="6"/>
    <n v="64"/>
    <n v="4"/>
    <n v="1"/>
    <n v="0"/>
    <n v="4"/>
    <n v="2"/>
    <n v="3000"/>
    <n v="7"/>
    <n v="1"/>
    <n v="0.94788459202607545"/>
    <n v="5.2115407973924562E-2"/>
    <x v="9"/>
  </r>
  <r>
    <n v="2"/>
    <n v="56"/>
    <n v="0"/>
    <n v="0"/>
    <n v="0"/>
    <n v="4"/>
    <n v="0"/>
    <n v="6000"/>
    <n v="6"/>
    <n v="0"/>
    <n v="0.94794479234473628"/>
    <n v="5.2055207655263773E-2"/>
    <x v="9"/>
  </r>
  <r>
    <n v="7"/>
    <n v="68"/>
    <n v="5"/>
    <n v="1"/>
    <n v="1"/>
    <n v="12"/>
    <n v="0"/>
    <n v="9000"/>
    <n v="3"/>
    <n v="0"/>
    <n v="0.94803609515875609"/>
    <n v="5.1963904841243892E-2"/>
    <x v="9"/>
  </r>
  <r>
    <n v="8"/>
    <n v="78"/>
    <n v="1"/>
    <n v="0"/>
    <n v="3"/>
    <n v="8"/>
    <n v="1"/>
    <n v="23343.73"/>
    <n v="13"/>
    <n v="1"/>
    <n v="0.94804968743884011"/>
    <n v="5.1950312561159888E-2"/>
    <x v="9"/>
  </r>
  <r>
    <n v="8"/>
    <n v="78"/>
    <n v="3"/>
    <n v="0"/>
    <n v="3"/>
    <n v="3"/>
    <n v="0"/>
    <n v="17920"/>
    <n v="5"/>
    <n v="1"/>
    <n v="0.94805784955174222"/>
    <n v="5.1942150448257833E-2"/>
    <x v="9"/>
  </r>
  <r>
    <n v="6"/>
    <n v="67"/>
    <n v="5"/>
    <n v="0"/>
    <n v="1"/>
    <n v="7"/>
    <n v="3"/>
    <n v="0.01"/>
    <n v="8"/>
    <n v="0"/>
    <n v="0.94807204905813547"/>
    <n v="5.1927950941864552E-2"/>
    <x v="9"/>
  </r>
  <r>
    <n v="8"/>
    <n v="73"/>
    <n v="2"/>
    <n v="1"/>
    <n v="0"/>
    <n v="4"/>
    <n v="2"/>
    <n v="1500"/>
    <n v="5"/>
    <n v="0"/>
    <n v="0.94820535231129432"/>
    <n v="5.179464768870571E-2"/>
    <x v="9"/>
  </r>
  <r>
    <n v="8"/>
    <n v="74"/>
    <n v="1"/>
    <n v="1"/>
    <n v="3"/>
    <n v="3"/>
    <n v="0"/>
    <n v="19215.21"/>
    <n v="1"/>
    <n v="0"/>
    <n v="0.94831475295625978"/>
    <n v="5.1685247043740272E-2"/>
    <x v="9"/>
  </r>
  <r>
    <n v="4"/>
    <n v="61"/>
    <n v="3"/>
    <n v="0"/>
    <n v="4"/>
    <n v="9"/>
    <n v="0"/>
    <n v="18330.490000000002"/>
    <n v="10"/>
    <n v="0"/>
    <n v="0.9483617329380909"/>
    <n v="5.1638267061909063E-2"/>
    <x v="9"/>
  </r>
  <r>
    <n v="7"/>
    <n v="66"/>
    <n v="5"/>
    <n v="1"/>
    <n v="3"/>
    <n v="8"/>
    <n v="2"/>
    <n v="1600"/>
    <n v="8"/>
    <n v="0"/>
    <n v="0.94843197478102703"/>
    <n v="5.1568025218972947E-2"/>
    <x v="9"/>
  </r>
  <r>
    <n v="7"/>
    <n v="75"/>
    <n v="4"/>
    <n v="0"/>
    <n v="0"/>
    <n v="4"/>
    <n v="0"/>
    <n v="12000"/>
    <n v="14"/>
    <n v="0"/>
    <n v="0.94843504726135752"/>
    <n v="5.1564952738642457E-2"/>
    <x v="9"/>
  </r>
  <r>
    <n v="6"/>
    <n v="71"/>
    <n v="0"/>
    <n v="0"/>
    <n v="3"/>
    <n v="3"/>
    <n v="0"/>
    <n v="6000"/>
    <n v="4"/>
    <n v="0"/>
    <n v="0.94844065032466551"/>
    <n v="5.1559349675334487E-2"/>
    <x v="9"/>
  </r>
  <r>
    <n v="9"/>
    <n v="76"/>
    <n v="2"/>
    <n v="1"/>
    <n v="3"/>
    <n v="3"/>
    <n v="2"/>
    <n v="3000"/>
    <n v="11"/>
    <n v="0"/>
    <n v="0.94852180092275218"/>
    <n v="5.1478199077247849E-2"/>
    <x v="9"/>
  </r>
  <r>
    <n v="8"/>
    <n v="68"/>
    <n v="2"/>
    <n v="2"/>
    <n v="3"/>
    <n v="8"/>
    <n v="0"/>
    <n v="8000"/>
    <n v="2"/>
    <n v="0"/>
    <n v="0.9485577447869763"/>
    <n v="5.1442255213023702E-2"/>
    <x v="9"/>
  </r>
  <r>
    <n v="3"/>
    <n v="55"/>
    <n v="1"/>
    <n v="1"/>
    <n v="1"/>
    <n v="5"/>
    <n v="0"/>
    <n v="19000"/>
    <n v="20"/>
    <n v="0"/>
    <n v="0.94857597849233199"/>
    <n v="5.1424021507668061E-2"/>
    <x v="9"/>
  </r>
  <r>
    <n v="6"/>
    <n v="70"/>
    <n v="4"/>
    <n v="0"/>
    <n v="2"/>
    <n v="1"/>
    <n v="0"/>
    <n v="10000"/>
    <n v="1"/>
    <n v="0"/>
    <n v="0.94858924740098849"/>
    <n v="5.1410752599011483E-2"/>
    <x v="9"/>
  </r>
  <r>
    <n v="8"/>
    <n v="76"/>
    <n v="2"/>
    <n v="0"/>
    <n v="3"/>
    <n v="3"/>
    <n v="3"/>
    <n v="0.01"/>
    <n v="7"/>
    <n v="0"/>
    <n v="0.94863039824957662"/>
    <n v="5.1369601750423398E-2"/>
    <x v="9"/>
  </r>
  <r>
    <n v="5"/>
    <n v="65"/>
    <n v="1"/>
    <n v="0"/>
    <n v="0"/>
    <n v="11"/>
    <n v="3"/>
    <n v="0.01"/>
    <n v="8"/>
    <n v="0"/>
    <n v="0.94864466472353992"/>
    <n v="5.1355335276460093E-2"/>
    <x v="9"/>
  </r>
  <r>
    <n v="5"/>
    <n v="60"/>
    <n v="3"/>
    <n v="1"/>
    <n v="2"/>
    <n v="1"/>
    <n v="2"/>
    <n v="5000"/>
    <n v="5"/>
    <n v="0"/>
    <n v="0.94869115094898215"/>
    <n v="5.1308849051017881E-2"/>
    <x v="9"/>
  </r>
  <r>
    <n v="10"/>
    <n v="77"/>
    <n v="4"/>
    <n v="2"/>
    <n v="0"/>
    <n v="4"/>
    <n v="0"/>
    <n v="6000"/>
    <n v="1"/>
    <n v="0"/>
    <n v="0.94875309802210328"/>
    <n v="5.1246901977896699E-2"/>
    <x v="9"/>
  </r>
  <r>
    <n v="3"/>
    <n v="51"/>
    <n v="3"/>
    <n v="1"/>
    <n v="1"/>
    <n v="7"/>
    <n v="3"/>
    <n v="0.01"/>
    <n v="5"/>
    <n v="0"/>
    <n v="0.94881025030745514"/>
    <n v="5.1189749692544848E-2"/>
    <x v="9"/>
  </r>
  <r>
    <n v="6"/>
    <n v="64"/>
    <n v="3"/>
    <n v="1"/>
    <n v="0"/>
    <n v="11"/>
    <n v="2"/>
    <n v="3000"/>
    <n v="1"/>
    <n v="0"/>
    <n v="0.94885572409888264"/>
    <n v="5.114427590111735E-2"/>
    <x v="9"/>
  </r>
  <r>
    <n v="6"/>
    <n v="70"/>
    <n v="3"/>
    <n v="0"/>
    <n v="3"/>
    <n v="3"/>
    <n v="0"/>
    <n v="9000.02"/>
    <n v="8"/>
    <n v="0"/>
    <n v="0.94886733489720398"/>
    <n v="5.1132665102795967E-2"/>
    <x v="9"/>
  </r>
  <r>
    <n v="9"/>
    <n v="74"/>
    <n v="2"/>
    <n v="2"/>
    <n v="0"/>
    <n v="4"/>
    <n v="0"/>
    <n v="6107.64"/>
    <n v="7"/>
    <n v="0"/>
    <n v="0.94888453500748637"/>
    <n v="5.111546499251364E-2"/>
    <x v="9"/>
  </r>
  <r>
    <n v="1"/>
    <n v="45"/>
    <n v="2"/>
    <n v="1"/>
    <n v="0"/>
    <n v="4"/>
    <n v="2"/>
    <n v="3000"/>
    <n v="8"/>
    <n v="0"/>
    <n v="0.94893128961607098"/>
    <n v="5.1068710383929038E-2"/>
    <x v="9"/>
  </r>
  <r>
    <n v="4"/>
    <n v="51"/>
    <n v="3"/>
    <n v="2"/>
    <n v="0"/>
    <n v="4"/>
    <n v="3"/>
    <n v="0.01"/>
    <n v="7"/>
    <n v="0"/>
    <n v="0.94901849462308541"/>
    <n v="5.0981505376914552E-2"/>
    <x v="9"/>
  </r>
  <r>
    <n v="7"/>
    <n v="70"/>
    <n v="0"/>
    <n v="1"/>
    <n v="3"/>
    <n v="8"/>
    <n v="0"/>
    <n v="9580"/>
    <n v="4"/>
    <n v="0"/>
    <n v="0.94908544983616605"/>
    <n v="5.0914550163833949E-2"/>
    <x v="9"/>
  </r>
  <r>
    <n v="4"/>
    <n v="61"/>
    <n v="1"/>
    <n v="0"/>
    <n v="3"/>
    <n v="3"/>
    <n v="2"/>
    <n v="100"/>
    <n v="1"/>
    <n v="0"/>
    <n v="0.94909117782952002"/>
    <n v="5.0908822170479977E-2"/>
    <x v="9"/>
  </r>
  <r>
    <n v="8"/>
    <n v="73"/>
    <n v="2"/>
    <n v="1"/>
    <n v="0"/>
    <n v="10"/>
    <n v="2"/>
    <n v="1000"/>
    <n v="12"/>
    <n v="0"/>
    <n v="0.94940732885925838"/>
    <n v="5.0592671140741653E-2"/>
    <x v="9"/>
  </r>
  <r>
    <n v="4"/>
    <n v="56"/>
    <n v="2"/>
    <n v="1"/>
    <n v="3"/>
    <n v="3"/>
    <n v="2"/>
    <n v="1000"/>
    <n v="9"/>
    <n v="0"/>
    <n v="0.9495328584761249"/>
    <n v="5.0467141523875117E-2"/>
    <x v="9"/>
  </r>
  <r>
    <n v="4"/>
    <n v="51"/>
    <n v="2"/>
    <n v="2"/>
    <n v="3"/>
    <n v="3"/>
    <n v="2"/>
    <n v="3287.08"/>
    <n v="1"/>
    <n v="0"/>
    <n v="0.94959045647230478"/>
    <n v="5.0409543527695173E-2"/>
    <x v="9"/>
  </r>
  <r>
    <n v="5"/>
    <n v="58"/>
    <n v="5"/>
    <n v="1"/>
    <n v="3"/>
    <n v="3"/>
    <n v="3"/>
    <n v="0.01"/>
    <n v="8"/>
    <n v="0"/>
    <n v="0.94964994851228546"/>
    <n v="5.035005148771457E-2"/>
    <x v="9"/>
  </r>
  <r>
    <n v="5"/>
    <n v="67"/>
    <n v="1"/>
    <n v="0"/>
    <n v="3"/>
    <n v="3"/>
    <n v="0"/>
    <n v="6053.35"/>
    <n v="7"/>
    <n v="0"/>
    <n v="0.94966787224668869"/>
    <n v="5.0332127753311313E-2"/>
    <x v="9"/>
  </r>
  <r>
    <n v="3"/>
    <n v="54"/>
    <n v="1"/>
    <n v="1"/>
    <n v="3"/>
    <n v="3"/>
    <n v="0"/>
    <n v="6052.66"/>
    <n v="7"/>
    <n v="0"/>
    <n v="0.94969901615548835"/>
    <n v="5.0300983844511607E-2"/>
    <x v="9"/>
  </r>
  <r>
    <n v="3"/>
    <n v="58"/>
    <n v="3"/>
    <n v="0"/>
    <n v="0"/>
    <n v="4"/>
    <n v="2"/>
    <n v="1000"/>
    <n v="18"/>
    <n v="0"/>
    <n v="0.9497022474132063"/>
    <n v="5.0297752586793677E-2"/>
    <x v="9"/>
  </r>
  <r>
    <n v="6"/>
    <n v="67"/>
    <n v="3"/>
    <n v="1"/>
    <n v="0"/>
    <n v="4"/>
    <n v="0"/>
    <n v="16486.990000000002"/>
    <n v="12"/>
    <n v="0"/>
    <n v="0.94973202159601278"/>
    <n v="5.0267978403987272E-2"/>
    <x v="9"/>
  </r>
  <r>
    <n v="9"/>
    <n v="74"/>
    <n v="5"/>
    <n v="1"/>
    <n v="4"/>
    <n v="9"/>
    <n v="2"/>
    <n v="300.01"/>
    <n v="10"/>
    <n v="0"/>
    <n v="0.9497554961195066"/>
    <n v="5.0244503880493362E-2"/>
    <x v="9"/>
  </r>
  <r>
    <n v="3"/>
    <n v="59"/>
    <n v="4"/>
    <n v="0"/>
    <n v="0"/>
    <n v="2"/>
    <n v="0"/>
    <n v="6000"/>
    <n v="1"/>
    <n v="0"/>
    <n v="0.94976260351353525"/>
    <n v="5.0237396486464768E-2"/>
    <x v="9"/>
  </r>
  <r>
    <n v="9"/>
    <n v="78"/>
    <n v="1"/>
    <n v="1"/>
    <n v="3"/>
    <n v="3"/>
    <n v="1"/>
    <n v="23999.99"/>
    <n v="3"/>
    <n v="0"/>
    <n v="0.94979941526882838"/>
    <n v="5.0200584731171637E-2"/>
    <x v="9"/>
  </r>
  <r>
    <n v="6"/>
    <n v="70"/>
    <n v="5"/>
    <n v="0"/>
    <n v="2"/>
    <n v="1"/>
    <n v="0"/>
    <n v="6053.35"/>
    <n v="5"/>
    <n v="0"/>
    <n v="0.94991494424291045"/>
    <n v="5.0085055757089512E-2"/>
    <x v="9"/>
  </r>
  <r>
    <n v="7"/>
    <n v="69"/>
    <n v="1"/>
    <n v="1"/>
    <n v="2"/>
    <n v="6"/>
    <n v="2"/>
    <n v="800"/>
    <n v="12"/>
    <n v="0"/>
    <n v="0.9499774484160779"/>
    <n v="5.002255158392211E-2"/>
    <x v="9"/>
  </r>
  <r>
    <n v="6"/>
    <n v="71"/>
    <n v="3"/>
    <n v="0"/>
    <n v="1"/>
    <n v="5"/>
    <n v="0"/>
    <n v="8000"/>
    <n v="2"/>
    <n v="0"/>
    <n v="0.9500014827991119"/>
    <n v="4.9998517200888083E-2"/>
    <x v="9"/>
  </r>
  <r>
    <n v="7"/>
    <n v="74"/>
    <n v="3"/>
    <n v="0"/>
    <n v="0"/>
    <n v="4"/>
    <n v="2"/>
    <n v="2000"/>
    <n v="2"/>
    <n v="0"/>
    <n v="0.95002905743544697"/>
    <n v="4.9970942564553048E-2"/>
    <x v="9"/>
  </r>
  <r>
    <n v="5"/>
    <n v="55"/>
    <n v="3"/>
    <n v="2"/>
    <n v="3"/>
    <n v="3"/>
    <n v="2"/>
    <n v="3000.01"/>
    <n v="11"/>
    <n v="0"/>
    <n v="0.95010932516375934"/>
    <n v="4.9890674836240601E-2"/>
    <x v="9"/>
  </r>
  <r>
    <n v="6"/>
    <n v="59"/>
    <n v="3"/>
    <n v="2"/>
    <n v="3"/>
    <n v="3"/>
    <n v="2"/>
    <n v="5000"/>
    <n v="6"/>
    <n v="0"/>
    <n v="0.95011790860611223"/>
    <n v="4.9882091393887718E-2"/>
    <x v="9"/>
  </r>
  <r>
    <n v="8"/>
    <n v="79"/>
    <n v="1"/>
    <n v="0"/>
    <n v="0"/>
    <n v="11"/>
    <n v="2"/>
    <n v="380"/>
    <n v="36"/>
    <n v="0"/>
    <n v="0.95011876631033687"/>
    <n v="4.9881233689663122E-2"/>
    <x v="9"/>
  </r>
  <r>
    <n v="9"/>
    <n v="73"/>
    <n v="2"/>
    <n v="2"/>
    <n v="3"/>
    <n v="3"/>
    <n v="0"/>
    <n v="6000"/>
    <n v="2"/>
    <n v="0"/>
    <n v="0.9501409266632711"/>
    <n v="4.985907333672894E-2"/>
    <x v="9"/>
  </r>
  <r>
    <n v="7"/>
    <n v="70"/>
    <n v="1"/>
    <n v="1"/>
    <n v="3"/>
    <n v="8"/>
    <n v="0"/>
    <n v="10000"/>
    <n v="5"/>
    <n v="0"/>
    <n v="0.95024887203707198"/>
    <n v="4.9751127962928007E-2"/>
    <x v="9"/>
  </r>
  <r>
    <n v="7"/>
    <n v="66"/>
    <n v="1"/>
    <n v="2"/>
    <n v="1"/>
    <n v="7"/>
    <n v="0"/>
    <n v="7000"/>
    <n v="2"/>
    <n v="0"/>
    <n v="0.95030230489251433"/>
    <n v="4.9697695107485659E-2"/>
    <x v="9"/>
  </r>
  <r>
    <n v="7"/>
    <n v="75"/>
    <n v="1"/>
    <n v="0"/>
    <n v="0"/>
    <n v="4"/>
    <n v="2"/>
    <n v="1020"/>
    <n v="0"/>
    <n v="0"/>
    <n v="0.95058242189131181"/>
    <n v="4.9417578108688222E-2"/>
    <x v="9"/>
  </r>
  <r>
    <n v="4"/>
    <n v="60"/>
    <n v="5"/>
    <n v="0"/>
    <n v="3"/>
    <n v="3"/>
    <n v="2"/>
    <n v="1000"/>
    <n v="9"/>
    <n v="0"/>
    <n v="0.95067655286935027"/>
    <n v="4.9323447130649747E-2"/>
    <x v="9"/>
  </r>
  <r>
    <n v="7"/>
    <n v="70"/>
    <n v="2"/>
    <n v="1"/>
    <n v="2"/>
    <n v="6"/>
    <n v="1"/>
    <n v="21070.41"/>
    <n v="8"/>
    <n v="0"/>
    <n v="0.9506828541032013"/>
    <n v="4.9317145896798739E-2"/>
    <x v="9"/>
  </r>
  <r>
    <n v="5"/>
    <n v="64"/>
    <n v="5"/>
    <n v="0"/>
    <n v="1"/>
    <n v="5"/>
    <n v="3"/>
    <n v="0.01"/>
    <n v="5"/>
    <n v="0"/>
    <n v="0.95076419217427166"/>
    <n v="4.9235807825728332E-2"/>
    <x v="9"/>
  </r>
  <r>
    <n v="7"/>
    <n v="76"/>
    <n v="3"/>
    <n v="0"/>
    <n v="1"/>
    <n v="5"/>
    <n v="0"/>
    <n v="13500"/>
    <n v="26"/>
    <n v="0"/>
    <n v="0.95082378955206404"/>
    <n v="4.9176210447935922E-2"/>
    <x v="9"/>
  </r>
  <r>
    <n v="5"/>
    <n v="57"/>
    <n v="2"/>
    <n v="2"/>
    <n v="3"/>
    <n v="8"/>
    <n v="0"/>
    <n v="18053.349999999999"/>
    <n v="6"/>
    <n v="0"/>
    <n v="0.95084548821767534"/>
    <n v="4.915451178232471E-2"/>
    <x v="9"/>
  </r>
  <r>
    <n v="7"/>
    <n v="74"/>
    <n v="1"/>
    <n v="0"/>
    <n v="3"/>
    <n v="8"/>
    <n v="2"/>
    <n v="2500"/>
    <n v="30"/>
    <n v="0"/>
    <n v="0.95086920824724963"/>
    <n v="4.9130791752750383E-2"/>
    <x v="9"/>
  </r>
  <r>
    <n v="7"/>
    <n v="68"/>
    <n v="3"/>
    <n v="1"/>
    <n v="1"/>
    <n v="7"/>
    <n v="3"/>
    <n v="0.01"/>
    <n v="8"/>
    <n v="0"/>
    <n v="0.95091639068711276"/>
    <n v="4.9083609312887293E-2"/>
    <x v="9"/>
  </r>
  <r>
    <n v="8"/>
    <n v="70"/>
    <n v="3"/>
    <n v="2"/>
    <n v="0"/>
    <n v="2"/>
    <n v="1"/>
    <n v="20504.72"/>
    <n v="3"/>
    <n v="0"/>
    <n v="0.95099095831415881"/>
    <n v="4.9009041685841158E-2"/>
    <x v="9"/>
  </r>
  <r>
    <n v="5"/>
    <n v="61"/>
    <n v="1"/>
    <n v="1"/>
    <n v="3"/>
    <n v="3"/>
    <n v="2"/>
    <n v="2500"/>
    <n v="6"/>
    <n v="0"/>
    <n v="0.95105782573044728"/>
    <n v="4.8942174269552691E-2"/>
    <x v="9"/>
  </r>
  <r>
    <n v="6"/>
    <n v="72"/>
    <n v="1"/>
    <n v="0"/>
    <n v="3"/>
    <n v="3"/>
    <n v="1"/>
    <n v="46000"/>
    <n v="12"/>
    <n v="0"/>
    <n v="0.95110005078712245"/>
    <n v="4.8899949212877561E-2"/>
    <x v="9"/>
  </r>
  <r>
    <n v="7"/>
    <n v="75"/>
    <n v="1"/>
    <n v="0"/>
    <n v="3"/>
    <n v="8"/>
    <n v="1"/>
    <n v="30000"/>
    <n v="4"/>
    <n v="0"/>
    <n v="0.95111457302634472"/>
    <n v="4.8885426973655242E-2"/>
    <x v="9"/>
  </r>
  <r>
    <n v="7"/>
    <n v="75"/>
    <n v="3"/>
    <n v="0"/>
    <n v="0"/>
    <n v="2"/>
    <n v="2"/>
    <n v="5000"/>
    <n v="18"/>
    <n v="0"/>
    <n v="0.95114690928764889"/>
    <n v="4.8853090712351152E-2"/>
    <x v="9"/>
  </r>
  <r>
    <n v="3"/>
    <n v="52"/>
    <n v="3"/>
    <n v="1"/>
    <n v="1"/>
    <n v="5"/>
    <n v="3"/>
    <n v="0.01"/>
    <n v="5"/>
    <n v="0"/>
    <n v="0.95114752869226293"/>
    <n v="4.8852471307737108E-2"/>
    <x v="9"/>
  </r>
  <r>
    <n v="6"/>
    <n v="70"/>
    <n v="3"/>
    <n v="0"/>
    <n v="2"/>
    <n v="1"/>
    <n v="2"/>
    <n v="4000"/>
    <n v="13"/>
    <n v="1"/>
    <n v="0.95125110417514303"/>
    <n v="4.8748895824856968E-2"/>
    <x v="9"/>
  </r>
  <r>
    <n v="5"/>
    <n v="67"/>
    <n v="1"/>
    <n v="0"/>
    <n v="3"/>
    <n v="8"/>
    <n v="0"/>
    <n v="6000"/>
    <n v="2"/>
    <n v="0"/>
    <n v="0.95126648484689769"/>
    <n v="4.8733515153102328E-2"/>
    <x v="9"/>
  </r>
  <r>
    <n v="6"/>
    <n v="70"/>
    <n v="1"/>
    <n v="0"/>
    <n v="3"/>
    <n v="8"/>
    <n v="2"/>
    <n v="3000"/>
    <n v="24"/>
    <n v="0"/>
    <n v="0.95133087316837384"/>
    <n v="4.8669126831626143E-2"/>
    <x v="9"/>
  </r>
  <r>
    <n v="8"/>
    <n v="75"/>
    <n v="0"/>
    <n v="1"/>
    <n v="3"/>
    <n v="8"/>
    <n v="0"/>
    <n v="15000"/>
    <n v="4"/>
    <n v="0"/>
    <n v="0.95137493146317553"/>
    <n v="4.8625068536824481E-2"/>
    <x v="9"/>
  </r>
  <r>
    <n v="6"/>
    <n v="70"/>
    <n v="3"/>
    <n v="0"/>
    <n v="4"/>
    <n v="9"/>
    <n v="0"/>
    <n v="15286.86"/>
    <n v="4"/>
    <n v="0"/>
    <n v="0.95153421256398307"/>
    <n v="4.8465787436016962E-2"/>
    <x v="9"/>
  </r>
  <r>
    <n v="8"/>
    <n v="79"/>
    <n v="2"/>
    <n v="0"/>
    <n v="3"/>
    <n v="8"/>
    <n v="0"/>
    <n v="10000"/>
    <n v="4"/>
    <n v="0"/>
    <n v="0.95164624135176523"/>
    <n v="4.8353758648234782E-2"/>
    <x v="9"/>
  </r>
  <r>
    <n v="8"/>
    <n v="76"/>
    <n v="5"/>
    <n v="0"/>
    <n v="3"/>
    <n v="8"/>
    <n v="2"/>
    <n v="1000"/>
    <n v="3"/>
    <n v="1"/>
    <n v="0.9517471725383535"/>
    <n v="4.8252827461646518E-2"/>
    <x v="9"/>
  </r>
  <r>
    <n v="2"/>
    <n v="49"/>
    <n v="3"/>
    <n v="1"/>
    <n v="0"/>
    <n v="2"/>
    <n v="3"/>
    <n v="0.01"/>
    <n v="8"/>
    <n v="0"/>
    <n v="0.95181446737205078"/>
    <n v="4.8185532627949217E-2"/>
    <x v="9"/>
  </r>
  <r>
    <n v="5"/>
    <n v="57"/>
    <n v="0"/>
    <n v="2"/>
    <n v="3"/>
    <n v="3"/>
    <n v="2"/>
    <n v="5000"/>
    <n v="11"/>
    <n v="0"/>
    <n v="0.95189003850778908"/>
    <n v="4.8109961492210959E-2"/>
    <x v="9"/>
  </r>
  <r>
    <n v="7"/>
    <n v="69"/>
    <n v="1"/>
    <n v="1"/>
    <n v="3"/>
    <n v="8"/>
    <n v="2"/>
    <n v="3000"/>
    <n v="8"/>
    <n v="0"/>
    <n v="0.95189018338273401"/>
    <n v="4.8109816617265953E-2"/>
    <x v="9"/>
  </r>
  <r>
    <n v="3"/>
    <n v="61"/>
    <n v="2"/>
    <n v="0"/>
    <n v="0"/>
    <n v="2"/>
    <n v="0"/>
    <n v="18000"/>
    <n v="3"/>
    <n v="0"/>
    <n v="0.95190511777922793"/>
    <n v="4.8094882220772052E-2"/>
    <x v="9"/>
  </r>
  <r>
    <n v="8"/>
    <n v="78"/>
    <n v="1"/>
    <n v="0"/>
    <n v="3"/>
    <n v="8"/>
    <n v="2"/>
    <n v="4000"/>
    <n v="8"/>
    <n v="0"/>
    <n v="0.95192496917758884"/>
    <n v="4.8075030822411213E-2"/>
    <x v="9"/>
  </r>
  <r>
    <n v="4"/>
    <n v="61"/>
    <n v="5"/>
    <n v="0"/>
    <n v="1"/>
    <n v="7"/>
    <n v="2"/>
    <n v="0.02"/>
    <n v="8"/>
    <n v="0"/>
    <n v="0.95198119600425268"/>
    <n v="4.8018803995747338E-2"/>
    <x v="9"/>
  </r>
  <r>
    <n v="5"/>
    <n v="64"/>
    <n v="4"/>
    <n v="0"/>
    <n v="4"/>
    <n v="9"/>
    <n v="2"/>
    <n v="3000"/>
    <n v="9"/>
    <n v="0"/>
    <n v="0.95201028199344206"/>
    <n v="4.7989718006557901E-2"/>
    <x v="9"/>
  </r>
  <r>
    <n v="7"/>
    <n v="76"/>
    <n v="1"/>
    <n v="0"/>
    <n v="0"/>
    <n v="2"/>
    <n v="2"/>
    <n v="600"/>
    <n v="14"/>
    <n v="0"/>
    <n v="0.95205869556533473"/>
    <n v="4.7941304434665231E-2"/>
    <x v="9"/>
  </r>
  <r>
    <n v="8"/>
    <n v="74"/>
    <n v="5"/>
    <n v="1"/>
    <n v="1"/>
    <n v="7"/>
    <n v="0"/>
    <n v="10000"/>
    <n v="4"/>
    <n v="0"/>
    <n v="0.95215791136456696"/>
    <n v="4.7842088635433093E-2"/>
    <x v="9"/>
  </r>
  <r>
    <n v="9"/>
    <n v="78"/>
    <n v="0"/>
    <n v="1"/>
    <n v="3"/>
    <n v="3"/>
    <n v="2"/>
    <n v="1500"/>
    <n v="5"/>
    <n v="0"/>
    <n v="0.95219391885158167"/>
    <n v="4.7806081148418347E-2"/>
    <x v="9"/>
  </r>
  <r>
    <n v="5"/>
    <n v="63"/>
    <n v="1"/>
    <n v="1"/>
    <n v="3"/>
    <n v="3"/>
    <n v="0"/>
    <n v="6300"/>
    <n v="5"/>
    <n v="0"/>
    <n v="0.95232150299285512"/>
    <n v="4.7678497007144882E-2"/>
    <x v="9"/>
  </r>
  <r>
    <n v="6"/>
    <n v="72"/>
    <n v="5"/>
    <n v="0"/>
    <n v="0"/>
    <n v="4"/>
    <n v="0"/>
    <n v="10000"/>
    <n v="21"/>
    <n v="0"/>
    <n v="0.95237930498324064"/>
    <n v="4.7620695016759328E-2"/>
    <x v="9"/>
  </r>
  <r>
    <n v="5"/>
    <n v="61"/>
    <n v="2"/>
    <n v="1"/>
    <n v="0"/>
    <n v="10"/>
    <n v="3"/>
    <n v="0.01"/>
    <n v="5"/>
    <n v="0"/>
    <n v="0.95238014307592322"/>
    <n v="4.7619856924076741E-2"/>
    <x v="9"/>
  </r>
  <r>
    <n v="8"/>
    <n v="75"/>
    <n v="2"/>
    <n v="1"/>
    <n v="1"/>
    <n v="12"/>
    <n v="0"/>
    <n v="12000"/>
    <n v="4"/>
    <n v="0"/>
    <n v="0.95240742265739653"/>
    <n v="4.7592577342603512E-2"/>
    <x v="9"/>
  </r>
  <r>
    <n v="2"/>
    <n v="54"/>
    <n v="3"/>
    <n v="0"/>
    <n v="1"/>
    <n v="7"/>
    <n v="2"/>
    <n v="5000"/>
    <n v="5"/>
    <n v="0"/>
    <n v="0.95240958190097824"/>
    <n v="4.7590418099021758E-2"/>
    <x v="9"/>
  </r>
  <r>
    <n v="8"/>
    <n v="76"/>
    <n v="2"/>
    <n v="1"/>
    <n v="0"/>
    <n v="4"/>
    <n v="0"/>
    <n v="6000"/>
    <n v="1"/>
    <n v="0"/>
    <n v="0.95246884462001047"/>
    <n v="4.7531155379989511E-2"/>
    <x v="9"/>
  </r>
  <r>
    <n v="4"/>
    <n v="55"/>
    <n v="1"/>
    <n v="2"/>
    <n v="1"/>
    <n v="5"/>
    <n v="0"/>
    <n v="12000"/>
    <n v="4"/>
    <n v="0"/>
    <n v="0.95250428774353146"/>
    <n v="4.749571225646855E-2"/>
    <x v="9"/>
  </r>
  <r>
    <n v="4"/>
    <n v="64"/>
    <n v="1"/>
    <n v="0"/>
    <n v="3"/>
    <n v="3"/>
    <n v="0"/>
    <n v="6000"/>
    <n v="5"/>
    <n v="0"/>
    <n v="0.95272389441690941"/>
    <n v="4.7276105583090602E-2"/>
    <x v="9"/>
  </r>
  <r>
    <n v="7"/>
    <n v="75"/>
    <n v="2"/>
    <n v="0"/>
    <n v="4"/>
    <n v="9"/>
    <n v="0"/>
    <n v="12000"/>
    <n v="8"/>
    <n v="0"/>
    <n v="0.95294421641926597"/>
    <n v="4.7055783580734027E-2"/>
    <x v="9"/>
  </r>
  <r>
    <n v="6"/>
    <n v="72"/>
    <n v="3"/>
    <n v="0"/>
    <n v="1"/>
    <n v="7"/>
    <n v="0"/>
    <n v="10000"/>
    <n v="4"/>
    <n v="0"/>
    <n v="0.9530162473422461"/>
    <n v="4.6983752657753931E-2"/>
    <x v="9"/>
  </r>
  <r>
    <n v="4"/>
    <n v="63"/>
    <n v="4"/>
    <n v="0"/>
    <n v="3"/>
    <n v="3"/>
    <n v="0"/>
    <n v="6000"/>
    <n v="13"/>
    <n v="0"/>
    <n v="0.95310318769195157"/>
    <n v="4.6896812308048492E-2"/>
    <x v="9"/>
  </r>
  <r>
    <n v="8"/>
    <n v="70"/>
    <n v="4"/>
    <n v="2"/>
    <n v="0"/>
    <n v="11"/>
    <n v="0"/>
    <n v="10000"/>
    <n v="4"/>
    <n v="0"/>
    <n v="0.95315068096263278"/>
    <n v="4.6849319037367242E-2"/>
    <x v="9"/>
  </r>
  <r>
    <n v="7"/>
    <n v="75"/>
    <n v="1"/>
    <n v="0"/>
    <n v="3"/>
    <n v="3"/>
    <n v="2"/>
    <n v="480.01"/>
    <n v="18"/>
    <n v="0"/>
    <n v="0.95321564517024959"/>
    <n v="4.6784354829750463E-2"/>
    <x v="9"/>
  </r>
  <r>
    <n v="5"/>
    <n v="57"/>
    <n v="2"/>
    <n v="2"/>
    <n v="0"/>
    <n v="4"/>
    <n v="3"/>
    <n v="0.01"/>
    <n v="5"/>
    <n v="0"/>
    <n v="0.95336108607761771"/>
    <n v="4.6638913922382279E-2"/>
    <x v="9"/>
  </r>
  <r>
    <n v="8"/>
    <n v="77"/>
    <n v="0"/>
    <n v="1"/>
    <n v="2"/>
    <n v="0"/>
    <n v="0"/>
    <n v="6000"/>
    <n v="18"/>
    <n v="0"/>
    <n v="0.95339343414546118"/>
    <n v="4.6606565854538859E-2"/>
    <x v="9"/>
  </r>
  <r>
    <n v="5"/>
    <n v="69"/>
    <n v="1"/>
    <n v="0"/>
    <n v="2"/>
    <n v="1"/>
    <n v="1"/>
    <n v="25158.67"/>
    <n v="16"/>
    <n v="0"/>
    <n v="0.95347284506500907"/>
    <n v="4.6527154934990933E-2"/>
    <x v="9"/>
  </r>
  <r>
    <n v="4"/>
    <n v="52"/>
    <n v="3"/>
    <n v="2"/>
    <n v="3"/>
    <n v="3"/>
    <n v="2"/>
    <n v="3000"/>
    <n v="3"/>
    <n v="0"/>
    <n v="0.95347923106239307"/>
    <n v="4.6520768937606941E-2"/>
    <x v="9"/>
  </r>
  <r>
    <n v="8"/>
    <n v="70"/>
    <n v="3"/>
    <n v="2"/>
    <n v="1"/>
    <n v="12"/>
    <n v="0"/>
    <n v="6000"/>
    <n v="8"/>
    <n v="0"/>
    <n v="0.95354723382779494"/>
    <n v="4.6452766172205041E-2"/>
    <x v="9"/>
  </r>
  <r>
    <n v="4"/>
    <n v="63"/>
    <n v="2"/>
    <n v="0"/>
    <n v="1"/>
    <n v="7"/>
    <n v="2"/>
    <n v="600"/>
    <n v="10"/>
    <n v="0"/>
    <n v="0.95368447022385083"/>
    <n v="4.6315529776149139E-2"/>
    <x v="9"/>
  </r>
  <r>
    <n v="6"/>
    <n v="70"/>
    <n v="2"/>
    <n v="0"/>
    <n v="3"/>
    <n v="8"/>
    <n v="2"/>
    <n v="480"/>
    <n v="5"/>
    <n v="1"/>
    <n v="0.95380536602759536"/>
    <n v="4.6194633972404628E-2"/>
    <x v="9"/>
  </r>
  <r>
    <n v="5"/>
    <n v="57"/>
    <n v="3"/>
    <n v="2"/>
    <n v="0"/>
    <n v="2"/>
    <n v="3"/>
    <n v="0.01"/>
    <n v="8"/>
    <n v="0"/>
    <n v="0.95386837001011782"/>
    <n v="4.6131629989882197E-2"/>
    <x v="9"/>
  </r>
  <r>
    <n v="6"/>
    <n v="72"/>
    <n v="2"/>
    <n v="0"/>
    <n v="3"/>
    <n v="3"/>
    <n v="0"/>
    <n v="5602.5"/>
    <n v="1"/>
    <n v="0"/>
    <n v="0.95388302047279128"/>
    <n v="4.611697952720873E-2"/>
    <x v="9"/>
  </r>
  <r>
    <n v="4"/>
    <n v="59"/>
    <n v="1"/>
    <n v="1"/>
    <n v="3"/>
    <n v="8"/>
    <n v="0"/>
    <n v="6000"/>
    <n v="1"/>
    <n v="0"/>
    <n v="0.95393380122258697"/>
    <n v="4.606619877741306E-2"/>
    <x v="9"/>
  </r>
  <r>
    <n v="3"/>
    <n v="55"/>
    <n v="2"/>
    <n v="1"/>
    <n v="3"/>
    <n v="3"/>
    <n v="0"/>
    <n v="6000"/>
    <n v="2"/>
    <n v="0"/>
    <n v="0.95395980392005553"/>
    <n v="4.6040196079944508E-2"/>
    <x v="9"/>
  </r>
  <r>
    <n v="5"/>
    <n v="70"/>
    <n v="1"/>
    <n v="0"/>
    <n v="0"/>
    <n v="4"/>
    <n v="0"/>
    <n v="12000"/>
    <n v="5"/>
    <n v="0"/>
    <n v="0.95396361564468091"/>
    <n v="4.6036384355319052E-2"/>
    <x v="9"/>
  </r>
  <r>
    <n v="4"/>
    <n v="63"/>
    <n v="1"/>
    <n v="0"/>
    <n v="3"/>
    <n v="3"/>
    <n v="2"/>
    <n v="1800"/>
    <n v="10"/>
    <n v="1"/>
    <n v="0.9539775661156159"/>
    <n v="4.6022433884384109E-2"/>
    <x v="9"/>
  </r>
  <r>
    <n v="4"/>
    <n v="63"/>
    <n v="4"/>
    <n v="0"/>
    <n v="0"/>
    <n v="4"/>
    <n v="2"/>
    <n v="3026.67"/>
    <n v="7"/>
    <n v="0"/>
    <n v="0.95402151503671262"/>
    <n v="4.5978484963287422E-2"/>
    <x v="9"/>
  </r>
  <r>
    <n v="6"/>
    <n v="72"/>
    <n v="2"/>
    <n v="0"/>
    <n v="0"/>
    <n v="4"/>
    <n v="2"/>
    <n v="3000"/>
    <n v="8"/>
    <n v="0"/>
    <n v="0.95403393111662749"/>
    <n v="4.5966068883372561E-2"/>
    <x v="9"/>
  </r>
  <r>
    <n v="9"/>
    <n v="78"/>
    <n v="2"/>
    <n v="1"/>
    <n v="1"/>
    <n v="12"/>
    <n v="2"/>
    <n v="600"/>
    <n v="8"/>
    <n v="0"/>
    <n v="0.95410297959948709"/>
    <n v="4.5897020400512863E-2"/>
    <x v="9"/>
  </r>
  <r>
    <n v="5"/>
    <n v="70"/>
    <n v="1"/>
    <n v="0"/>
    <n v="0"/>
    <n v="4"/>
    <n v="0"/>
    <n v="6104.66"/>
    <n v="8"/>
    <n v="0"/>
    <n v="0.95421083360682879"/>
    <n v="4.5789166393171182E-2"/>
    <x v="9"/>
  </r>
  <r>
    <n v="3"/>
    <n v="58"/>
    <n v="3"/>
    <n v="0"/>
    <n v="3"/>
    <n v="3"/>
    <n v="2"/>
    <n v="1000"/>
    <n v="2"/>
    <n v="0"/>
    <n v="0.95428490597623161"/>
    <n v="4.5715094023768402E-2"/>
    <x v="9"/>
  </r>
  <r>
    <n v="6"/>
    <n v="70"/>
    <n v="5"/>
    <n v="0"/>
    <n v="0"/>
    <n v="4"/>
    <n v="3"/>
    <n v="0.01"/>
    <n v="8"/>
    <n v="0"/>
    <n v="0.95435758696473538"/>
    <n v="4.5642413035264638E-2"/>
    <x v="9"/>
  </r>
  <r>
    <n v="6"/>
    <n v="71"/>
    <n v="5"/>
    <n v="0"/>
    <n v="0"/>
    <n v="4"/>
    <n v="2"/>
    <n v="2000"/>
    <n v="15"/>
    <n v="0"/>
    <n v="0.95452909179902168"/>
    <n v="4.5470908200978308E-2"/>
    <x v="9"/>
  </r>
  <r>
    <n v="7"/>
    <n v="74"/>
    <n v="4"/>
    <n v="0"/>
    <n v="3"/>
    <n v="3"/>
    <n v="2"/>
    <n v="3000"/>
    <n v="6"/>
    <n v="0"/>
    <n v="0.95453955743509922"/>
    <n v="4.5460442564900817E-2"/>
    <x v="9"/>
  </r>
  <r>
    <n v="4"/>
    <n v="57"/>
    <n v="5"/>
    <n v="1"/>
    <n v="0"/>
    <n v="4"/>
    <n v="3"/>
    <n v="0.01"/>
    <n v="5"/>
    <n v="0"/>
    <n v="0.95455345559497218"/>
    <n v="4.5446544405027843E-2"/>
    <x v="9"/>
  </r>
  <r>
    <n v="9"/>
    <n v="73"/>
    <n v="5"/>
    <n v="2"/>
    <n v="3"/>
    <n v="8"/>
    <n v="0"/>
    <n v="6000"/>
    <n v="9"/>
    <n v="0"/>
    <n v="0.95455615494860191"/>
    <n v="4.5443845051398098E-2"/>
    <x v="9"/>
  </r>
  <r>
    <n v="8"/>
    <n v="74"/>
    <n v="1"/>
    <n v="1"/>
    <n v="3"/>
    <n v="8"/>
    <n v="2"/>
    <n v="3000"/>
    <n v="4"/>
    <n v="0"/>
    <n v="0.9546638920522893"/>
    <n v="4.5336107947710702E-2"/>
    <x v="9"/>
  </r>
  <r>
    <n v="6"/>
    <n v="72"/>
    <n v="3"/>
    <n v="0"/>
    <n v="3"/>
    <n v="3"/>
    <n v="0"/>
    <n v="6053.35"/>
    <n v="5"/>
    <n v="0"/>
    <n v="0.95477370303710796"/>
    <n v="4.5226296962892092E-2"/>
    <x v="9"/>
  </r>
  <r>
    <n v="7"/>
    <n v="67"/>
    <n v="1"/>
    <n v="2"/>
    <n v="0"/>
    <n v="2"/>
    <n v="2"/>
    <n v="1000"/>
    <n v="4"/>
    <n v="0"/>
    <n v="0.95479302861939563"/>
    <n v="4.5206971380604331E-2"/>
    <x v="9"/>
  </r>
  <r>
    <n v="6"/>
    <n v="66"/>
    <n v="2"/>
    <n v="1"/>
    <n v="3"/>
    <n v="3"/>
    <n v="2"/>
    <n v="3000"/>
    <n v="4"/>
    <n v="0"/>
    <n v="0.95487543899075489"/>
    <n v="4.5124561009245112E-2"/>
    <x v="9"/>
  </r>
  <r>
    <n v="4"/>
    <n v="65"/>
    <n v="2"/>
    <n v="0"/>
    <n v="0"/>
    <n v="11"/>
    <n v="0"/>
    <n v="6000"/>
    <n v="2"/>
    <n v="1"/>
    <n v="0.95488141461506337"/>
    <n v="4.5118585384936627E-2"/>
    <x v="9"/>
  </r>
  <r>
    <n v="5"/>
    <n v="66"/>
    <n v="2"/>
    <n v="0"/>
    <n v="4"/>
    <n v="9"/>
    <n v="2"/>
    <n v="728"/>
    <n v="13"/>
    <n v="0"/>
    <n v="0.95494852936690522"/>
    <n v="4.505147063309476E-2"/>
    <x v="9"/>
  </r>
  <r>
    <n v="7"/>
    <n v="75"/>
    <n v="1"/>
    <n v="0"/>
    <n v="3"/>
    <n v="8"/>
    <n v="2"/>
    <n v="3566"/>
    <n v="4"/>
    <n v="0"/>
    <n v="0.95498750524990927"/>
    <n v="4.5012494750090691E-2"/>
    <x v="9"/>
  </r>
  <r>
    <n v="5"/>
    <n v="69"/>
    <n v="5"/>
    <n v="0"/>
    <n v="0"/>
    <n v="2"/>
    <n v="0"/>
    <n v="12106.7"/>
    <n v="13"/>
    <n v="0"/>
    <n v="0.95498923817016224"/>
    <n v="4.5010761829837723E-2"/>
    <x v="9"/>
  </r>
  <r>
    <n v="3"/>
    <n v="61"/>
    <n v="1"/>
    <n v="0"/>
    <n v="3"/>
    <n v="3"/>
    <n v="0"/>
    <n v="12160.99"/>
    <n v="6"/>
    <n v="0"/>
    <n v="0.95501094522844532"/>
    <n v="4.4989054771554703E-2"/>
    <x v="9"/>
  </r>
  <r>
    <n v="4"/>
    <n v="52"/>
    <n v="3"/>
    <n v="2"/>
    <n v="2"/>
    <n v="6"/>
    <n v="3"/>
    <n v="0.01"/>
    <n v="4"/>
    <n v="0"/>
    <n v="0.95503323407642482"/>
    <n v="4.4966765923575132E-2"/>
    <x v="9"/>
  </r>
  <r>
    <n v="5"/>
    <n v="62"/>
    <n v="2"/>
    <n v="1"/>
    <n v="1"/>
    <n v="5"/>
    <n v="3"/>
    <n v="0.01"/>
    <n v="5"/>
    <n v="0"/>
    <n v="0.95507800450992886"/>
    <n v="4.4921995490071129E-2"/>
    <x v="9"/>
  </r>
  <r>
    <n v="3"/>
    <n v="54"/>
    <n v="5"/>
    <n v="1"/>
    <n v="0"/>
    <n v="4"/>
    <n v="2"/>
    <n v="5000"/>
    <n v="4"/>
    <n v="0"/>
    <n v="0.95508891079409819"/>
    <n v="4.4911089205901839E-2"/>
    <x v="9"/>
  </r>
  <r>
    <n v="5"/>
    <n v="68"/>
    <n v="1"/>
    <n v="0"/>
    <n v="0"/>
    <n v="4"/>
    <n v="3"/>
    <n v="0.01"/>
    <n v="8"/>
    <n v="0"/>
    <n v="0.95514208632915942"/>
    <n v="4.4857913670840563E-2"/>
    <x v="9"/>
  </r>
  <r>
    <n v="8"/>
    <n v="71"/>
    <n v="2"/>
    <n v="2"/>
    <n v="3"/>
    <n v="3"/>
    <n v="0"/>
    <n v="6053.35"/>
    <n v="7"/>
    <n v="0"/>
    <n v="0.95539451398046626"/>
    <n v="4.4605486019533687E-2"/>
    <x v="9"/>
  </r>
  <r>
    <n v="7"/>
    <n v="72"/>
    <n v="2"/>
    <n v="1"/>
    <n v="3"/>
    <n v="3"/>
    <n v="0"/>
    <n v="9000"/>
    <n v="9"/>
    <n v="0"/>
    <n v="0.95544122685597765"/>
    <n v="4.4558773144022353E-2"/>
    <x v="9"/>
  </r>
  <r>
    <n v="7"/>
    <n v="77"/>
    <n v="1"/>
    <n v="0"/>
    <n v="3"/>
    <n v="8"/>
    <n v="0"/>
    <n v="15000"/>
    <n v="5"/>
    <n v="0"/>
    <n v="0.95552673870944438"/>
    <n v="4.4473261290555587E-2"/>
    <x v="9"/>
  </r>
  <r>
    <n v="3"/>
    <n v="58"/>
    <n v="3"/>
    <n v="0"/>
    <n v="1"/>
    <n v="12"/>
    <n v="3"/>
    <n v="0.01"/>
    <n v="7"/>
    <n v="0"/>
    <n v="0.95565032534401706"/>
    <n v="4.4349674655982933E-2"/>
    <x v="9"/>
  </r>
  <r>
    <n v="7"/>
    <n v="74"/>
    <n v="1"/>
    <n v="1"/>
    <n v="0"/>
    <n v="4"/>
    <n v="0"/>
    <n v="14119"/>
    <n v="9"/>
    <n v="0"/>
    <n v="0.95569648277386743"/>
    <n v="4.4303517226132537E-2"/>
    <x v="9"/>
  </r>
  <r>
    <n v="4"/>
    <n v="67"/>
    <n v="1"/>
    <n v="0"/>
    <n v="0"/>
    <n v="2"/>
    <n v="0"/>
    <n v="15861.88"/>
    <n v="9"/>
    <n v="0"/>
    <n v="0.95572488228038022"/>
    <n v="4.4275117719619728E-2"/>
    <x v="9"/>
  </r>
  <r>
    <n v="6"/>
    <n v="72"/>
    <n v="4"/>
    <n v="0"/>
    <n v="1"/>
    <n v="12"/>
    <n v="0"/>
    <n v="6000"/>
    <n v="2"/>
    <n v="0"/>
    <n v="0.95574805144910224"/>
    <n v="4.4251948550897778E-2"/>
    <x v="9"/>
  </r>
  <r>
    <n v="8"/>
    <n v="79"/>
    <n v="2"/>
    <n v="0"/>
    <n v="3"/>
    <n v="8"/>
    <n v="2"/>
    <n v="50.01"/>
    <n v="9"/>
    <n v="0"/>
    <n v="0.95594572271218214"/>
    <n v="4.4054277287817828E-2"/>
    <x v="9"/>
  </r>
  <r>
    <n v="7"/>
    <n v="68"/>
    <n v="5"/>
    <n v="1"/>
    <n v="4"/>
    <n v="9"/>
    <n v="2"/>
    <n v="180"/>
    <n v="1"/>
    <n v="0"/>
    <n v="0.95595306300282967"/>
    <n v="4.4046936997170272E-2"/>
    <x v="9"/>
  </r>
  <r>
    <n v="6"/>
    <n v="73"/>
    <n v="0"/>
    <n v="0"/>
    <n v="1"/>
    <n v="7"/>
    <n v="2"/>
    <n v="1000"/>
    <n v="16"/>
    <n v="0"/>
    <n v="0.95598448393726598"/>
    <n v="4.4015516062734059E-2"/>
    <x v="9"/>
  </r>
  <r>
    <n v="7"/>
    <n v="77"/>
    <n v="2"/>
    <n v="0"/>
    <n v="0"/>
    <n v="4"/>
    <n v="2"/>
    <n v="1000"/>
    <n v="18"/>
    <n v="0"/>
    <n v="0.95607360412910014"/>
    <n v="4.3926395870899873E-2"/>
    <x v="9"/>
  </r>
  <r>
    <n v="2"/>
    <n v="58"/>
    <n v="1"/>
    <n v="0"/>
    <n v="1"/>
    <n v="7"/>
    <n v="0"/>
    <n v="12000.01"/>
    <n v="8"/>
    <n v="0"/>
    <n v="0.95611462012738135"/>
    <n v="4.3885379872618598E-2"/>
    <x v="9"/>
  </r>
  <r>
    <n v="7"/>
    <n v="74"/>
    <n v="1"/>
    <n v="1"/>
    <n v="0"/>
    <n v="4"/>
    <n v="0"/>
    <n v="12000"/>
    <n v="3"/>
    <n v="1"/>
    <n v="0.95616512506456541"/>
    <n v="4.3834874935434601E-2"/>
    <x v="9"/>
  </r>
  <r>
    <n v="7"/>
    <n v="71"/>
    <n v="1"/>
    <n v="1"/>
    <n v="3"/>
    <n v="3"/>
    <n v="2"/>
    <n v="50.01"/>
    <n v="8"/>
    <n v="0"/>
    <n v="0.9561699708478586"/>
    <n v="4.3830029152141438E-2"/>
    <x v="9"/>
  </r>
  <r>
    <n v="7"/>
    <n v="75"/>
    <n v="3"/>
    <n v="0"/>
    <n v="3"/>
    <n v="3"/>
    <n v="2"/>
    <n v="1000"/>
    <n v="4"/>
    <n v="0"/>
    <n v="0.95623001873705571"/>
    <n v="4.3769981262944249E-2"/>
    <x v="9"/>
  </r>
  <r>
    <n v="3"/>
    <n v="56"/>
    <n v="2"/>
    <n v="1"/>
    <n v="3"/>
    <n v="3"/>
    <n v="0"/>
    <n v="6000"/>
    <n v="5"/>
    <n v="0"/>
    <n v="0.95637105284442936"/>
    <n v="4.3628947155570627E-2"/>
    <x v="9"/>
  </r>
  <r>
    <n v="4"/>
    <n v="53"/>
    <n v="5"/>
    <n v="2"/>
    <n v="0"/>
    <n v="2"/>
    <n v="3"/>
    <n v="0.01"/>
    <n v="5"/>
    <n v="0"/>
    <n v="0.95641624430529659"/>
    <n v="4.3583755694703442E-2"/>
    <x v="9"/>
  </r>
  <r>
    <n v="4"/>
    <n v="63"/>
    <n v="3"/>
    <n v="0"/>
    <n v="3"/>
    <n v="3"/>
    <n v="2"/>
    <n v="3000"/>
    <n v="4"/>
    <n v="0"/>
    <n v="0.95647391059366282"/>
    <n v="4.3526089406337183E-2"/>
    <x v="9"/>
  </r>
  <r>
    <n v="5"/>
    <n v="63"/>
    <n v="5"/>
    <n v="1"/>
    <n v="3"/>
    <n v="3"/>
    <n v="0"/>
    <n v="11755.49"/>
    <n v="4"/>
    <n v="0"/>
    <n v="0.9565668215954779"/>
    <n v="4.3433178404522113E-2"/>
    <x v="9"/>
  </r>
  <r>
    <n v="5"/>
    <n v="61"/>
    <n v="3"/>
    <n v="1"/>
    <n v="3"/>
    <n v="8"/>
    <n v="3"/>
    <n v="0.01"/>
    <n v="5"/>
    <n v="0"/>
    <n v="0.95674036651619765"/>
    <n v="4.3259633483802351E-2"/>
    <x v="9"/>
  </r>
  <r>
    <n v="5"/>
    <n v="64"/>
    <n v="2"/>
    <n v="1"/>
    <n v="0"/>
    <n v="4"/>
    <n v="2"/>
    <n v="1000"/>
    <n v="6"/>
    <n v="0"/>
    <n v="0.95674362564189386"/>
    <n v="4.3256374358106101E-2"/>
    <x v="9"/>
  </r>
  <r>
    <n v="6"/>
    <n v="74"/>
    <n v="2"/>
    <n v="0"/>
    <n v="0"/>
    <n v="11"/>
    <n v="0"/>
    <n v="6053.35"/>
    <n v="6"/>
    <n v="0"/>
    <n v="0.95694208599736208"/>
    <n v="4.3057914002637913E-2"/>
    <x v="9"/>
  </r>
  <r>
    <n v="2"/>
    <n v="54"/>
    <n v="4"/>
    <n v="0"/>
    <n v="3"/>
    <n v="3"/>
    <n v="3"/>
    <n v="0.01"/>
    <n v="8"/>
    <n v="0"/>
    <n v="0.95713013287624626"/>
    <n v="4.2869867123753708E-2"/>
    <x v="9"/>
  </r>
  <r>
    <n v="8"/>
    <n v="76"/>
    <n v="1"/>
    <n v="1"/>
    <n v="0"/>
    <n v="4"/>
    <n v="3"/>
    <n v="0.01"/>
    <n v="6"/>
    <n v="0"/>
    <n v="0.9571660452434082"/>
    <n v="4.2833954756591748E-2"/>
    <x v="9"/>
  </r>
  <r>
    <n v="7"/>
    <n v="76"/>
    <n v="4"/>
    <n v="0"/>
    <n v="1"/>
    <n v="7"/>
    <n v="2"/>
    <n v="3426.88"/>
    <n v="23"/>
    <n v="0"/>
    <n v="0.95719320084740989"/>
    <n v="4.2806799152590121E-2"/>
    <x v="9"/>
  </r>
  <r>
    <n v="4"/>
    <n v="61"/>
    <n v="2"/>
    <n v="1"/>
    <n v="1"/>
    <n v="7"/>
    <n v="0"/>
    <n v="5000.01"/>
    <n v="8"/>
    <n v="0"/>
    <n v="0.95719865502311618"/>
    <n v="4.2801344976883773E-2"/>
    <x v="9"/>
  </r>
  <r>
    <n v="6"/>
    <n v="72"/>
    <n v="0"/>
    <n v="0"/>
    <n v="3"/>
    <n v="3"/>
    <n v="3"/>
    <n v="0.01"/>
    <n v="7"/>
    <n v="0"/>
    <n v="0.95730767192227439"/>
    <n v="4.269232807772564E-2"/>
    <x v="9"/>
  </r>
  <r>
    <n v="4"/>
    <n v="66"/>
    <n v="1"/>
    <n v="0"/>
    <n v="3"/>
    <n v="3"/>
    <n v="0"/>
    <n v="12000"/>
    <n v="8"/>
    <n v="0"/>
    <n v="0.95730926993214538"/>
    <n v="4.2690730067854663E-2"/>
    <x v="9"/>
  </r>
  <r>
    <n v="6"/>
    <n v="74"/>
    <n v="0"/>
    <n v="0"/>
    <n v="3"/>
    <n v="3"/>
    <n v="1"/>
    <n v="20000.009999999998"/>
    <n v="7"/>
    <n v="0"/>
    <n v="0.95731174323264845"/>
    <n v="4.2688256767351503E-2"/>
    <x v="9"/>
  </r>
  <r>
    <n v="2"/>
    <n v="55"/>
    <n v="2"/>
    <n v="0"/>
    <n v="3"/>
    <n v="3"/>
    <n v="3"/>
    <n v="0.01"/>
    <n v="8"/>
    <n v="0"/>
    <n v="0.95743961811281675"/>
    <n v="4.2560381887183293E-2"/>
    <x v="9"/>
  </r>
  <r>
    <n v="5"/>
    <n v="65"/>
    <n v="0"/>
    <n v="1"/>
    <n v="2"/>
    <n v="1"/>
    <n v="2"/>
    <n v="1000"/>
    <n v="30"/>
    <n v="0"/>
    <n v="0.95744614870258304"/>
    <n v="4.2553851297416907E-2"/>
    <x v="9"/>
  </r>
  <r>
    <n v="6"/>
    <n v="74"/>
    <n v="1"/>
    <n v="0"/>
    <n v="1"/>
    <n v="12"/>
    <n v="0"/>
    <n v="6000"/>
    <n v="2"/>
    <n v="0"/>
    <n v="0.957467965343614"/>
    <n v="4.2532034656386032E-2"/>
    <x v="9"/>
  </r>
  <r>
    <n v="6"/>
    <n v="69"/>
    <n v="1"/>
    <n v="1"/>
    <n v="3"/>
    <n v="3"/>
    <n v="0"/>
    <n v="6000"/>
    <n v="1"/>
    <n v="0"/>
    <n v="0.95760363272014559"/>
    <n v="4.2396367279854387E-2"/>
    <x v="9"/>
  </r>
  <r>
    <n v="8"/>
    <n v="76"/>
    <n v="2"/>
    <n v="1"/>
    <n v="0"/>
    <n v="2"/>
    <n v="3"/>
    <n v="0.01"/>
    <n v="8"/>
    <n v="0"/>
    <n v="0.95768588833512114"/>
    <n v="4.2314111664878813E-2"/>
    <x v="9"/>
  </r>
  <r>
    <n v="7"/>
    <n v="74"/>
    <n v="1"/>
    <n v="1"/>
    <n v="1"/>
    <n v="5"/>
    <n v="0"/>
    <n v="6053.35"/>
    <n v="7"/>
    <n v="0"/>
    <n v="0.95774489601678903"/>
    <n v="4.2255103983210987E-2"/>
    <x v="9"/>
  </r>
  <r>
    <n v="7"/>
    <n v="69"/>
    <n v="1"/>
    <n v="2"/>
    <n v="1"/>
    <n v="7"/>
    <n v="0"/>
    <n v="6000"/>
    <n v="11"/>
    <n v="0"/>
    <n v="0.95776641211427882"/>
    <n v="4.2233587885721222E-2"/>
    <x v="9"/>
  </r>
  <r>
    <n v="8"/>
    <n v="77"/>
    <n v="1"/>
    <n v="1"/>
    <n v="0"/>
    <n v="4"/>
    <n v="2"/>
    <n v="2400"/>
    <n v="4"/>
    <n v="1"/>
    <n v="0.95777138941616891"/>
    <n v="4.2228610583831067E-2"/>
    <x v="9"/>
  </r>
  <r>
    <n v="6"/>
    <n v="67"/>
    <n v="3"/>
    <n v="1"/>
    <n v="3"/>
    <n v="3"/>
    <n v="2"/>
    <n v="780"/>
    <n v="20"/>
    <n v="0"/>
    <n v="0.95777685440379068"/>
    <n v="4.2223145596209322E-2"/>
    <x v="9"/>
  </r>
  <r>
    <n v="4"/>
    <n v="65"/>
    <n v="0"/>
    <n v="0"/>
    <n v="3"/>
    <n v="3"/>
    <n v="2"/>
    <n v="3000"/>
    <n v="11"/>
    <n v="0"/>
    <n v="0.9578047932826621"/>
    <n v="4.2195206717337938E-2"/>
    <x v="9"/>
  </r>
  <r>
    <n v="8"/>
    <n v="72"/>
    <n v="5"/>
    <n v="2"/>
    <n v="0"/>
    <n v="4"/>
    <n v="0"/>
    <n v="6000"/>
    <n v="8"/>
    <n v="0"/>
    <n v="0.95780590027406909"/>
    <n v="4.2194099725930967E-2"/>
    <x v="9"/>
  </r>
  <r>
    <n v="8"/>
    <n v="72"/>
    <n v="2"/>
    <n v="2"/>
    <n v="3"/>
    <n v="3"/>
    <n v="0"/>
    <n v="5300"/>
    <n v="8"/>
    <n v="0"/>
    <n v="0.95788686027966752"/>
    <n v="4.2113139720332447E-2"/>
    <x v="9"/>
  </r>
  <r>
    <n v="5"/>
    <n v="66"/>
    <n v="2"/>
    <n v="1"/>
    <n v="0"/>
    <n v="4"/>
    <n v="0"/>
    <n v="6000"/>
    <n v="2"/>
    <n v="0"/>
    <n v="0.95794448736246662"/>
    <n v="4.2055512637533377E-2"/>
    <x v="9"/>
  </r>
  <r>
    <n v="4"/>
    <n v="57"/>
    <n v="3"/>
    <n v="1"/>
    <n v="4"/>
    <n v="9"/>
    <n v="3"/>
    <n v="0.01"/>
    <n v="8"/>
    <n v="0"/>
    <n v="0.95808901889363773"/>
    <n v="4.1910981106362273E-2"/>
    <x v="9"/>
  </r>
  <r>
    <n v="3"/>
    <n v="62"/>
    <n v="1"/>
    <n v="0"/>
    <n v="3"/>
    <n v="3"/>
    <n v="0"/>
    <n v="6500"/>
    <n v="1"/>
    <n v="0"/>
    <n v="0.95815445683597356"/>
    <n v="4.1845543164026451E-2"/>
    <x v="9"/>
  </r>
  <r>
    <n v="4"/>
    <n v="66"/>
    <n v="3"/>
    <n v="0"/>
    <n v="3"/>
    <n v="3"/>
    <n v="0"/>
    <n v="12000"/>
    <n v="32"/>
    <n v="0"/>
    <n v="0.95818990604962484"/>
    <n v="4.1810093950375098E-2"/>
    <x v="9"/>
  </r>
  <r>
    <n v="1"/>
    <n v="46"/>
    <n v="3"/>
    <n v="1"/>
    <n v="1"/>
    <n v="12"/>
    <n v="3"/>
    <n v="0.01"/>
    <n v="5"/>
    <n v="0"/>
    <n v="0.95826087310078822"/>
    <n v="4.1739126899211818E-2"/>
    <x v="9"/>
  </r>
  <r>
    <n v="8"/>
    <n v="75"/>
    <n v="2"/>
    <n v="1"/>
    <n v="3"/>
    <n v="8"/>
    <n v="2"/>
    <n v="2500"/>
    <n v="3"/>
    <n v="0"/>
    <n v="0.95834643137503728"/>
    <n v="4.1653568624962722E-2"/>
    <x v="9"/>
  </r>
  <r>
    <n v="8"/>
    <n v="73"/>
    <n v="3"/>
    <n v="2"/>
    <n v="0"/>
    <n v="4"/>
    <n v="0"/>
    <n v="6000"/>
    <n v="3"/>
    <n v="0"/>
    <n v="0.95836783952084814"/>
    <n v="4.1632160479151838E-2"/>
    <x v="9"/>
  </r>
  <r>
    <n v="6"/>
    <n v="70"/>
    <n v="3"/>
    <n v="1"/>
    <n v="0"/>
    <n v="4"/>
    <n v="1"/>
    <n v="42000"/>
    <n v="1"/>
    <n v="0"/>
    <n v="0.95836836099949108"/>
    <n v="4.163163900050891E-2"/>
    <x v="9"/>
  </r>
  <r>
    <n v="7"/>
    <n v="71"/>
    <n v="5"/>
    <n v="1"/>
    <n v="2"/>
    <n v="0"/>
    <n v="2"/>
    <n v="3000"/>
    <n v="6"/>
    <n v="0"/>
    <n v="0.95854270686060761"/>
    <n v="4.1457293139392372E-2"/>
    <x v="9"/>
  </r>
  <r>
    <n v="4"/>
    <n v="59"/>
    <n v="1"/>
    <n v="1"/>
    <n v="3"/>
    <n v="3"/>
    <n v="3"/>
    <n v="0.01"/>
    <n v="4"/>
    <n v="0"/>
    <n v="0.95854920740416028"/>
    <n v="4.1450792595839711E-2"/>
    <x v="9"/>
  </r>
  <r>
    <n v="5"/>
    <n v="70"/>
    <n v="2"/>
    <n v="0"/>
    <n v="3"/>
    <n v="8"/>
    <n v="1"/>
    <n v="53000"/>
    <n v="6"/>
    <n v="0"/>
    <n v="0.95856824913413852"/>
    <n v="4.1431750865861483E-2"/>
    <x v="9"/>
  </r>
  <r>
    <n v="4"/>
    <n v="65"/>
    <n v="2"/>
    <n v="0"/>
    <n v="1"/>
    <n v="5"/>
    <n v="2"/>
    <n v="1500"/>
    <n v="2"/>
    <n v="0"/>
    <n v="0.95863416423076275"/>
    <n v="4.1365835769237302E-2"/>
    <x v="9"/>
  </r>
  <r>
    <n v="5"/>
    <n v="71"/>
    <n v="0"/>
    <n v="0"/>
    <n v="3"/>
    <n v="3"/>
    <n v="0"/>
    <n v="6000"/>
    <n v="12"/>
    <n v="0"/>
    <n v="0.95873188565898115"/>
    <n v="4.1268114341018833E-2"/>
    <x v="9"/>
  </r>
  <r>
    <n v="4"/>
    <n v="64"/>
    <n v="3"/>
    <n v="0"/>
    <n v="3"/>
    <n v="3"/>
    <n v="2"/>
    <n v="2400"/>
    <n v="8"/>
    <n v="0"/>
    <n v="0.95874659325108325"/>
    <n v="4.125340674891672E-2"/>
    <x v="9"/>
  </r>
  <r>
    <n v="6"/>
    <n v="68"/>
    <n v="0"/>
    <n v="1"/>
    <n v="3"/>
    <n v="8"/>
    <n v="2"/>
    <n v="2000"/>
    <n v="2"/>
    <n v="0"/>
    <n v="0.95896877306141526"/>
    <n v="4.10312269385847E-2"/>
    <x v="9"/>
  </r>
  <r>
    <n v="6"/>
    <n v="67"/>
    <n v="4"/>
    <n v="1"/>
    <n v="1"/>
    <n v="12"/>
    <n v="2"/>
    <n v="3000"/>
    <n v="8"/>
    <n v="0"/>
    <n v="0.95900114728193397"/>
    <n v="4.0998852718065977E-2"/>
    <x v="9"/>
  </r>
  <r>
    <n v="5"/>
    <n v="62"/>
    <n v="4"/>
    <n v="1"/>
    <n v="3"/>
    <n v="3"/>
    <n v="3"/>
    <n v="0.01"/>
    <n v="7"/>
    <n v="0"/>
    <n v="0.95901775989757709"/>
    <n v="4.0982240102422858E-2"/>
    <x v="9"/>
  </r>
  <r>
    <n v="6"/>
    <n v="74"/>
    <n v="2"/>
    <n v="0"/>
    <n v="0"/>
    <n v="2"/>
    <n v="2"/>
    <n v="50"/>
    <n v="2"/>
    <n v="0"/>
    <n v="0.95909067408837279"/>
    <n v="4.0909325911627208E-2"/>
    <x v="9"/>
  </r>
  <r>
    <n v="5"/>
    <n v="58"/>
    <n v="2"/>
    <n v="2"/>
    <n v="3"/>
    <n v="3"/>
    <n v="3"/>
    <n v="0.01"/>
    <n v="5"/>
    <n v="0"/>
    <n v="0.95920388243134713"/>
    <n v="4.0796117568652902E-2"/>
    <x v="9"/>
  </r>
  <r>
    <n v="8"/>
    <n v="77"/>
    <n v="0"/>
    <n v="1"/>
    <n v="3"/>
    <n v="3"/>
    <n v="2"/>
    <n v="5000"/>
    <n v="14"/>
    <n v="0"/>
    <n v="0.95922097074643253"/>
    <n v="4.0779029253567467E-2"/>
    <x v="9"/>
  </r>
  <r>
    <n v="4"/>
    <n v="64"/>
    <n v="5"/>
    <n v="0"/>
    <n v="2"/>
    <n v="0"/>
    <n v="2"/>
    <n v="360"/>
    <n v="5"/>
    <n v="0"/>
    <n v="0.95933010493301452"/>
    <n v="4.0669895066985449E-2"/>
    <x v="9"/>
  </r>
  <r>
    <n v="6"/>
    <n v="75"/>
    <n v="1"/>
    <n v="0"/>
    <n v="3"/>
    <n v="3"/>
    <n v="0"/>
    <n v="6105.32"/>
    <n v="16"/>
    <n v="0"/>
    <n v="0.95943706883572377"/>
    <n v="4.05629311642762E-2"/>
    <x v="9"/>
  </r>
  <r>
    <n v="4"/>
    <n v="66"/>
    <n v="1"/>
    <n v="0"/>
    <n v="0"/>
    <n v="11"/>
    <n v="2"/>
    <n v="1500"/>
    <n v="11"/>
    <n v="1"/>
    <n v="0.95968462526847587"/>
    <n v="4.0315374731524141E-2"/>
    <x v="9"/>
  </r>
  <r>
    <n v="4"/>
    <n v="59"/>
    <n v="3"/>
    <n v="1"/>
    <n v="3"/>
    <n v="8"/>
    <n v="2"/>
    <n v="2500"/>
    <n v="6"/>
    <n v="0"/>
    <n v="0.95970337489446778"/>
    <n v="4.0296625105532252E-2"/>
    <x v="9"/>
  </r>
  <r>
    <n v="5"/>
    <n v="69"/>
    <n v="0"/>
    <n v="0"/>
    <n v="3"/>
    <n v="3"/>
    <n v="3"/>
    <n v="0.01"/>
    <n v="9"/>
    <n v="0"/>
    <n v="0.95971784722786657"/>
    <n v="4.0282152772133442E-2"/>
    <x v="9"/>
  </r>
  <r>
    <n v="5"/>
    <n v="66"/>
    <n v="1"/>
    <n v="1"/>
    <n v="3"/>
    <n v="3"/>
    <n v="0"/>
    <n v="7000"/>
    <n v="6"/>
    <n v="0"/>
    <n v="0.95978734747895267"/>
    <n v="4.0212652521047297E-2"/>
    <x v="9"/>
  </r>
  <r>
    <n v="6"/>
    <n v="68"/>
    <n v="2"/>
    <n v="1"/>
    <n v="3"/>
    <n v="3"/>
    <n v="2"/>
    <n v="3000"/>
    <n v="3"/>
    <n v="0"/>
    <n v="0.95983581145783148"/>
    <n v="4.0164188542168473E-2"/>
    <x v="9"/>
  </r>
  <r>
    <n v="5"/>
    <n v="69"/>
    <n v="5"/>
    <n v="0"/>
    <n v="3"/>
    <n v="8"/>
    <n v="0"/>
    <n v="10000"/>
    <n v="15"/>
    <n v="0"/>
    <n v="0.95983762739336387"/>
    <n v="4.0162372606636132E-2"/>
    <x v="9"/>
  </r>
  <r>
    <n v="7"/>
    <n v="75"/>
    <n v="3"/>
    <n v="1"/>
    <n v="0"/>
    <n v="4"/>
    <n v="0"/>
    <n v="6000"/>
    <n v="25"/>
    <n v="0"/>
    <n v="0.95994704089740823"/>
    <n v="4.0052959102591823E-2"/>
    <x v="9"/>
  </r>
  <r>
    <n v="4"/>
    <n v="59"/>
    <n v="4"/>
    <n v="1"/>
    <n v="3"/>
    <n v="3"/>
    <n v="2"/>
    <n v="1000"/>
    <n v="2"/>
    <n v="0"/>
    <n v="0.95995062714049062"/>
    <n v="4.0049372859509373E-2"/>
    <x v="9"/>
  </r>
  <r>
    <n v="8"/>
    <n v="78"/>
    <n v="1"/>
    <n v="1"/>
    <n v="0"/>
    <n v="4"/>
    <n v="2"/>
    <n v="3000"/>
    <n v="2"/>
    <n v="1"/>
    <n v="0.96020051363820691"/>
    <n v="3.9799486361793097E-2"/>
    <x v="9"/>
  </r>
  <r>
    <n v="5"/>
    <n v="67"/>
    <n v="1"/>
    <n v="1"/>
    <n v="1"/>
    <n v="5"/>
    <n v="0"/>
    <n v="12000"/>
    <n v="2"/>
    <n v="0"/>
    <n v="0.96022454664856782"/>
    <n v="3.9775453351432212E-2"/>
    <x v="9"/>
  </r>
  <r>
    <n v="6"/>
    <n v="67"/>
    <n v="0"/>
    <n v="2"/>
    <n v="2"/>
    <n v="1"/>
    <n v="0"/>
    <n v="8198.0499999999993"/>
    <n v="31"/>
    <n v="0"/>
    <n v="0.96025442444431031"/>
    <n v="3.974557555568968E-2"/>
    <x v="9"/>
  </r>
  <r>
    <n v="6"/>
    <n v="69"/>
    <n v="2"/>
    <n v="1"/>
    <n v="0"/>
    <n v="11"/>
    <n v="2"/>
    <n v="600"/>
    <n v="9"/>
    <n v="0"/>
    <n v="0.96040903014071644"/>
    <n v="3.9590969859283551E-2"/>
    <x v="9"/>
  </r>
  <r>
    <n v="7"/>
    <n v="67"/>
    <n v="1"/>
    <n v="2"/>
    <n v="4"/>
    <n v="9"/>
    <n v="2"/>
    <n v="4500"/>
    <n v="10"/>
    <n v="1"/>
    <n v="0.96041892879465196"/>
    <n v="3.9581071205347998E-2"/>
    <x v="9"/>
  </r>
  <r>
    <n v="3"/>
    <n v="62"/>
    <n v="3"/>
    <n v="0"/>
    <n v="0"/>
    <n v="4"/>
    <n v="2"/>
    <n v="50.01"/>
    <n v="10"/>
    <n v="0"/>
    <n v="0.96048255739741017"/>
    <n v="3.9517442602589818E-2"/>
    <x v="9"/>
  </r>
  <r>
    <n v="5"/>
    <n v="71"/>
    <n v="4"/>
    <n v="0"/>
    <n v="0"/>
    <n v="2"/>
    <n v="1"/>
    <n v="20308.509999999998"/>
    <n v="3"/>
    <n v="0"/>
    <n v="0.96055068439843605"/>
    <n v="3.9449315601563943E-2"/>
    <x v="9"/>
  </r>
  <r>
    <n v="7"/>
    <n v="79"/>
    <n v="3"/>
    <n v="0"/>
    <n v="2"/>
    <n v="6"/>
    <n v="0"/>
    <n v="16105.32"/>
    <n v="8"/>
    <n v="0"/>
    <n v="0.96065653367792159"/>
    <n v="3.9343466322078392E-2"/>
    <x v="9"/>
  </r>
  <r>
    <n v="6"/>
    <n v="69"/>
    <n v="2"/>
    <n v="1"/>
    <n v="0"/>
    <n v="4"/>
    <n v="3"/>
    <n v="0.01"/>
    <n v="9"/>
    <n v="0"/>
    <n v="0.96065740703679448"/>
    <n v="3.9342592963205539E-2"/>
    <x v="9"/>
  </r>
  <r>
    <n v="6"/>
    <n v="68"/>
    <n v="2"/>
    <n v="1"/>
    <n v="3"/>
    <n v="8"/>
    <n v="2"/>
    <n v="1600"/>
    <n v="9"/>
    <n v="0"/>
    <n v="0.96067512868685467"/>
    <n v="3.9324871313145278E-2"/>
    <x v="9"/>
  </r>
  <r>
    <n v="4"/>
    <n v="64"/>
    <n v="2"/>
    <n v="0"/>
    <n v="3"/>
    <n v="8"/>
    <n v="3"/>
    <n v="0.01"/>
    <n v="5"/>
    <n v="0"/>
    <n v="0.96078801703980987"/>
    <n v="3.9211982960190163E-2"/>
    <x v="9"/>
  </r>
  <r>
    <n v="4"/>
    <n v="62"/>
    <n v="3"/>
    <n v="1"/>
    <n v="1"/>
    <n v="7"/>
    <n v="0"/>
    <n v="6000"/>
    <n v="2"/>
    <n v="0"/>
    <n v="0.960834903043713"/>
    <n v="3.9165096956286997E-2"/>
    <x v="9"/>
  </r>
  <r>
    <n v="8"/>
    <n v="77"/>
    <n v="3"/>
    <n v="1"/>
    <n v="2"/>
    <n v="1"/>
    <n v="2"/>
    <n v="120"/>
    <n v="17"/>
    <n v="0"/>
    <n v="0.96088937012176689"/>
    <n v="3.9110629878233147E-2"/>
    <x v="9"/>
  </r>
  <r>
    <n v="5"/>
    <n v="71"/>
    <n v="0"/>
    <n v="0"/>
    <n v="0"/>
    <n v="2"/>
    <n v="3"/>
    <n v="0.01"/>
    <n v="8"/>
    <n v="0"/>
    <n v="0.9608944253314522"/>
    <n v="3.910557466854777E-2"/>
    <x v="9"/>
  </r>
  <r>
    <n v="6"/>
    <n v="74"/>
    <n v="1"/>
    <n v="0"/>
    <n v="1"/>
    <n v="12"/>
    <n v="2"/>
    <n v="1000"/>
    <n v="6"/>
    <n v="0"/>
    <n v="0.96102100728409645"/>
    <n v="3.897899271590357E-2"/>
    <x v="9"/>
  </r>
  <r>
    <n v="6"/>
    <n v="76"/>
    <n v="2"/>
    <n v="0"/>
    <n v="0"/>
    <n v="11"/>
    <n v="0"/>
    <n v="20000"/>
    <n v="1"/>
    <n v="0"/>
    <n v="0.96104064927800903"/>
    <n v="3.8959350721990943E-2"/>
    <x v="9"/>
  </r>
  <r>
    <n v="6"/>
    <n v="70"/>
    <n v="4"/>
    <n v="1"/>
    <n v="2"/>
    <n v="1"/>
    <n v="0"/>
    <n v="10000"/>
    <n v="4"/>
    <n v="1"/>
    <n v="0.9610874475142771"/>
    <n v="3.8912552485722847E-2"/>
    <x v="9"/>
  </r>
  <r>
    <n v="4"/>
    <n v="61"/>
    <n v="5"/>
    <n v="1"/>
    <n v="3"/>
    <n v="3"/>
    <n v="0"/>
    <n v="18000"/>
    <n v="2"/>
    <n v="0"/>
    <n v="0.96113439796645772"/>
    <n v="3.8865602033542238E-2"/>
    <x v="9"/>
  </r>
  <r>
    <n v="6"/>
    <n v="75"/>
    <n v="1"/>
    <n v="0"/>
    <n v="3"/>
    <n v="8"/>
    <n v="0"/>
    <n v="6000"/>
    <n v="2"/>
    <n v="0"/>
    <n v="0.96117529052884021"/>
    <n v="3.8824709471159853E-2"/>
    <x v="9"/>
  </r>
  <r>
    <n v="5"/>
    <n v="64"/>
    <n v="5"/>
    <n v="1"/>
    <n v="2"/>
    <n v="1"/>
    <n v="2"/>
    <n v="1200"/>
    <n v="9"/>
    <n v="0"/>
    <n v="0.96126482673198632"/>
    <n v="3.8735173268013671E-2"/>
    <x v="9"/>
  </r>
  <r>
    <n v="4"/>
    <n v="66"/>
    <n v="4"/>
    <n v="0"/>
    <n v="3"/>
    <n v="3"/>
    <n v="1"/>
    <n v="27000"/>
    <n v="4"/>
    <n v="0"/>
    <n v="0.96135903958920887"/>
    <n v="3.8640960410791167E-2"/>
    <x v="9"/>
  </r>
  <r>
    <n v="7"/>
    <n v="78"/>
    <n v="5"/>
    <n v="0"/>
    <n v="3"/>
    <n v="3"/>
    <n v="0"/>
    <n v="10000"/>
    <n v="4"/>
    <n v="0"/>
    <n v="0.96138195372020607"/>
    <n v="3.8618046279793948E-2"/>
    <x v="9"/>
  </r>
  <r>
    <n v="6"/>
    <n v="69"/>
    <n v="0"/>
    <n v="1"/>
    <n v="1"/>
    <n v="12"/>
    <n v="3"/>
    <n v="0.01"/>
    <n v="8"/>
    <n v="0"/>
    <n v="0.96144422198304547"/>
    <n v="3.8555778016954548E-2"/>
    <x v="9"/>
  </r>
  <r>
    <n v="3"/>
    <n v="61"/>
    <n v="3"/>
    <n v="0"/>
    <n v="0"/>
    <n v="11"/>
    <n v="3"/>
    <n v="0.01"/>
    <n v="7"/>
    <n v="0"/>
    <n v="0.96146507790287306"/>
    <n v="3.8534922097126972E-2"/>
    <x v="9"/>
  </r>
  <r>
    <n v="7"/>
    <n v="78"/>
    <n v="5"/>
    <n v="0"/>
    <n v="3"/>
    <n v="3"/>
    <n v="0"/>
    <n v="6000"/>
    <n v="5"/>
    <n v="0"/>
    <n v="0.96157306868742354"/>
    <n v="3.8426931312576407E-2"/>
    <x v="9"/>
  </r>
  <r>
    <n v="8"/>
    <n v="73"/>
    <n v="3"/>
    <n v="2"/>
    <n v="0"/>
    <n v="4"/>
    <n v="2"/>
    <n v="3000"/>
    <n v="7"/>
    <n v="0"/>
    <n v="0.96173027539163491"/>
    <n v="3.8269724608365072E-2"/>
    <x v="9"/>
  </r>
  <r>
    <n v="8"/>
    <n v="77"/>
    <n v="2"/>
    <n v="1"/>
    <n v="3"/>
    <n v="3"/>
    <n v="2"/>
    <n v="3000"/>
    <n v="5"/>
    <n v="0"/>
    <n v="0.9617770473956222"/>
    <n v="3.8222952604377768E-2"/>
    <x v="9"/>
  </r>
  <r>
    <n v="6"/>
    <n v="76"/>
    <n v="2"/>
    <n v="0"/>
    <n v="2"/>
    <n v="1"/>
    <n v="1"/>
    <n v="24000"/>
    <n v="14"/>
    <n v="0"/>
    <n v="0.9618859672162422"/>
    <n v="3.8114032783757822E-2"/>
    <x v="9"/>
  </r>
  <r>
    <n v="7"/>
    <n v="78"/>
    <n v="2"/>
    <n v="0"/>
    <n v="1"/>
    <n v="12"/>
    <n v="2"/>
    <n v="2400"/>
    <n v="4"/>
    <n v="0"/>
    <n v="0.96189532031986946"/>
    <n v="3.8104679680130503E-2"/>
    <x v="9"/>
  </r>
  <r>
    <n v="6"/>
    <n v="65"/>
    <n v="2"/>
    <n v="2"/>
    <n v="0"/>
    <n v="10"/>
    <n v="2"/>
    <n v="3000"/>
    <n v="10"/>
    <n v="0"/>
    <n v="0.96205367111417872"/>
    <n v="3.79463288858213E-2"/>
    <x v="9"/>
  </r>
  <r>
    <n v="5"/>
    <n v="66"/>
    <n v="0"/>
    <n v="1"/>
    <n v="3"/>
    <n v="3"/>
    <n v="2"/>
    <n v="3865.53"/>
    <n v="9"/>
    <n v="0"/>
    <n v="0.96214658194675717"/>
    <n v="3.785341805324282E-2"/>
    <x v="9"/>
  </r>
  <r>
    <n v="5"/>
    <n v="67"/>
    <n v="1"/>
    <n v="1"/>
    <n v="3"/>
    <n v="3"/>
    <n v="0"/>
    <n v="8000"/>
    <n v="0"/>
    <n v="0"/>
    <n v="0.96226866529219746"/>
    <n v="3.7731334707802558E-2"/>
    <x v="9"/>
  </r>
  <r>
    <n v="4"/>
    <n v="65"/>
    <n v="3"/>
    <n v="0"/>
    <n v="3"/>
    <n v="8"/>
    <n v="2"/>
    <n v="4420"/>
    <n v="1"/>
    <n v="0"/>
    <n v="0.96228506938267744"/>
    <n v="3.7714930617322513E-2"/>
    <x v="9"/>
  </r>
  <r>
    <n v="8"/>
    <n v="77"/>
    <n v="5"/>
    <n v="1"/>
    <n v="0"/>
    <n v="11"/>
    <n v="2"/>
    <n v="5000"/>
    <n v="15"/>
    <n v="1"/>
    <n v="0.96255875900011734"/>
    <n v="3.7441240999882643E-2"/>
    <x v="9"/>
  </r>
  <r>
    <n v="6"/>
    <n v="76"/>
    <n v="2"/>
    <n v="0"/>
    <n v="3"/>
    <n v="3"/>
    <n v="0"/>
    <n v="6500"/>
    <n v="16"/>
    <n v="0"/>
    <n v="0.96264911050504609"/>
    <n v="3.7350889494953923E-2"/>
    <x v="9"/>
  </r>
  <r>
    <n v="6"/>
    <n v="68"/>
    <n v="5"/>
    <n v="1"/>
    <n v="1"/>
    <n v="5"/>
    <n v="3"/>
    <n v="0.01"/>
    <n v="7"/>
    <n v="0"/>
    <n v="0.9626920888243935"/>
    <n v="3.7307911175606452E-2"/>
    <x v="9"/>
  </r>
  <r>
    <n v="6"/>
    <n v="72"/>
    <n v="0"/>
    <n v="1"/>
    <n v="3"/>
    <n v="3"/>
    <n v="0"/>
    <n v="16000"/>
    <n v="4"/>
    <n v="0"/>
    <n v="0.96273135286911593"/>
    <n v="3.7268647130884042E-2"/>
    <x v="9"/>
  </r>
  <r>
    <n v="5"/>
    <n v="61"/>
    <n v="4"/>
    <n v="2"/>
    <n v="0"/>
    <n v="2"/>
    <n v="2"/>
    <n v="1500"/>
    <n v="4"/>
    <n v="0"/>
    <n v="0.96284291292172353"/>
    <n v="3.7157087078276509E-2"/>
    <x v="9"/>
  </r>
  <r>
    <n v="6"/>
    <n v="71"/>
    <n v="1"/>
    <n v="1"/>
    <n v="3"/>
    <n v="8"/>
    <n v="0"/>
    <n v="10000"/>
    <n v="4"/>
    <n v="0"/>
    <n v="0.96284755752424545"/>
    <n v="3.7152442475754562E-2"/>
    <x v="9"/>
  </r>
  <r>
    <n v="6"/>
    <n v="73"/>
    <n v="1"/>
    <n v="1"/>
    <n v="0"/>
    <n v="2"/>
    <n v="0"/>
    <n v="9000"/>
    <n v="4"/>
    <n v="0"/>
    <n v="0.96298138509719278"/>
    <n v="3.7018614902807202E-2"/>
    <x v="9"/>
  </r>
  <r>
    <n v="5"/>
    <n v="73"/>
    <n v="1"/>
    <n v="0"/>
    <n v="2"/>
    <n v="1"/>
    <n v="0"/>
    <n v="6000"/>
    <n v="6"/>
    <n v="0"/>
    <n v="0.96304779523087325"/>
    <n v="3.6952204769126709E-2"/>
    <x v="9"/>
  </r>
  <r>
    <n v="6"/>
    <n v="76"/>
    <n v="2"/>
    <n v="0"/>
    <n v="0"/>
    <n v="4"/>
    <n v="2"/>
    <n v="500"/>
    <n v="20"/>
    <n v="0"/>
    <n v="0.96310539548191942"/>
    <n v="3.6894604518080583E-2"/>
    <x v="9"/>
  </r>
  <r>
    <n v="3"/>
    <n v="56"/>
    <n v="5"/>
    <n v="1"/>
    <n v="1"/>
    <n v="5"/>
    <n v="3"/>
    <n v="0.01"/>
    <n v="5"/>
    <n v="0"/>
    <n v="0.96310774156019618"/>
    <n v="3.6892258439803857E-2"/>
    <x v="9"/>
  </r>
  <r>
    <n v="5"/>
    <n v="71"/>
    <n v="1"/>
    <n v="0"/>
    <n v="3"/>
    <n v="3"/>
    <n v="2"/>
    <n v="3000"/>
    <n v="12"/>
    <n v="0"/>
    <n v="0.96319705807962508"/>
    <n v="3.6802941920374921E-2"/>
    <x v="9"/>
  </r>
  <r>
    <n v="5"/>
    <n v="68"/>
    <n v="0"/>
    <n v="1"/>
    <n v="3"/>
    <n v="3"/>
    <n v="0"/>
    <n v="6000"/>
    <n v="4"/>
    <n v="0"/>
    <n v="0.96341183508379891"/>
    <n v="3.6588164916201073E-2"/>
    <x v="9"/>
  </r>
  <r>
    <n v="3"/>
    <n v="63"/>
    <n v="2"/>
    <n v="0"/>
    <n v="0"/>
    <n v="4"/>
    <n v="3"/>
    <n v="0.01"/>
    <n v="8"/>
    <n v="0"/>
    <n v="0.96342842288638741"/>
    <n v="3.6571577113612627E-2"/>
    <x v="9"/>
  </r>
  <r>
    <n v="5"/>
    <n v="72"/>
    <n v="0"/>
    <n v="0"/>
    <n v="1"/>
    <n v="7"/>
    <n v="2"/>
    <n v="3000"/>
    <n v="5"/>
    <n v="0"/>
    <n v="0.96347871625803194"/>
    <n v="3.6521283741968051E-2"/>
    <x v="9"/>
  </r>
  <r>
    <n v="2"/>
    <n v="60"/>
    <n v="1"/>
    <n v="0"/>
    <n v="3"/>
    <n v="8"/>
    <n v="0"/>
    <n v="6000"/>
    <n v="3"/>
    <n v="1"/>
    <n v="0.96373891885828855"/>
    <n v="3.6261081141711449E-2"/>
    <x v="9"/>
  </r>
  <r>
    <n v="3"/>
    <n v="62"/>
    <n v="5"/>
    <n v="0"/>
    <n v="0"/>
    <n v="2"/>
    <n v="3"/>
    <n v="0.01"/>
    <n v="4"/>
    <n v="0"/>
    <n v="0.96388006647151658"/>
    <n v="3.6119933528483389E-2"/>
    <x v="9"/>
  </r>
  <r>
    <n v="5"/>
    <n v="61"/>
    <n v="2"/>
    <n v="2"/>
    <n v="3"/>
    <n v="3"/>
    <n v="2"/>
    <n v="500"/>
    <n v="9"/>
    <n v="0"/>
    <n v="0.96401762426334048"/>
    <n v="3.5982375736659578E-2"/>
    <x v="9"/>
  </r>
  <r>
    <n v="5"/>
    <n v="73"/>
    <n v="1"/>
    <n v="0"/>
    <n v="3"/>
    <n v="3"/>
    <n v="0"/>
    <n v="6053.35"/>
    <n v="5"/>
    <n v="1"/>
    <n v="0.96446585759482106"/>
    <n v="3.5534142405178923E-2"/>
    <x v="9"/>
  </r>
  <r>
    <n v="6"/>
    <n v="64"/>
    <n v="5"/>
    <n v="2"/>
    <n v="3"/>
    <n v="3"/>
    <n v="2"/>
    <n v="970.01"/>
    <n v="8"/>
    <n v="0"/>
    <n v="0.96457672047071918"/>
    <n v="3.542327952928085E-2"/>
    <x v="9"/>
  </r>
  <r>
    <n v="5"/>
    <n v="70"/>
    <n v="2"/>
    <n v="0"/>
    <n v="4"/>
    <n v="9"/>
    <n v="2"/>
    <n v="1000"/>
    <n v="5"/>
    <n v="0"/>
    <n v="0.96457905356712492"/>
    <n v="3.5420946432875043E-2"/>
    <x v="9"/>
  </r>
  <r>
    <n v="6"/>
    <n v="74"/>
    <n v="3"/>
    <n v="0"/>
    <n v="3"/>
    <n v="3"/>
    <n v="3"/>
    <n v="0.01"/>
    <n v="9"/>
    <n v="0"/>
    <n v="0.96466101774649726"/>
    <n v="3.5338982253502717E-2"/>
    <x v="9"/>
  </r>
  <r>
    <n v="7"/>
    <n v="78"/>
    <n v="5"/>
    <n v="0"/>
    <n v="1"/>
    <n v="12"/>
    <n v="2"/>
    <n v="200"/>
    <n v="7"/>
    <n v="0"/>
    <n v="0.96467381295098065"/>
    <n v="3.5326187049019367E-2"/>
    <x v="9"/>
  </r>
  <r>
    <n v="8"/>
    <n v="76"/>
    <n v="0"/>
    <n v="2"/>
    <n v="3"/>
    <n v="3"/>
    <n v="0"/>
    <n v="11000"/>
    <n v="2"/>
    <n v="0"/>
    <n v="0.96480376493559916"/>
    <n v="3.5196235064400803E-2"/>
    <x v="9"/>
  </r>
  <r>
    <n v="2"/>
    <n v="51"/>
    <n v="2"/>
    <n v="2"/>
    <n v="1"/>
    <n v="12"/>
    <n v="0"/>
    <n v="10000"/>
    <n v="5"/>
    <n v="0"/>
    <n v="0.96483341505828712"/>
    <n v="3.5166584941712889E-2"/>
    <x v="9"/>
  </r>
  <r>
    <n v="7"/>
    <n v="77"/>
    <n v="1"/>
    <n v="1"/>
    <n v="2"/>
    <n v="1"/>
    <n v="0"/>
    <n v="6000"/>
    <n v="2"/>
    <n v="0"/>
    <n v="0.96491801050123915"/>
    <n v="3.5081989498760853E-2"/>
    <x v="9"/>
  </r>
  <r>
    <n v="4"/>
    <n v="60"/>
    <n v="3"/>
    <n v="2"/>
    <n v="0"/>
    <n v="4"/>
    <n v="0"/>
    <n v="6000"/>
    <n v="14"/>
    <n v="0"/>
    <n v="0.9649341048979988"/>
    <n v="3.5065895102001157E-2"/>
    <x v="9"/>
  </r>
  <r>
    <n v="6"/>
    <n v="74"/>
    <n v="4"/>
    <n v="0"/>
    <n v="3"/>
    <n v="8"/>
    <n v="2"/>
    <n v="4000"/>
    <n v="5"/>
    <n v="0"/>
    <n v="0.96494739849634847"/>
    <n v="3.5052601503651568E-2"/>
    <x v="9"/>
  </r>
  <r>
    <n v="6"/>
    <n v="72"/>
    <n v="2"/>
    <n v="1"/>
    <n v="3"/>
    <n v="3"/>
    <n v="0"/>
    <n v="6000"/>
    <n v="2"/>
    <n v="1"/>
    <n v="0.96520643274022044"/>
    <n v="3.479356725977955E-2"/>
    <x v="9"/>
  </r>
  <r>
    <n v="5"/>
    <n v="74"/>
    <n v="3"/>
    <n v="0"/>
    <n v="0"/>
    <n v="2"/>
    <n v="0"/>
    <n v="6000"/>
    <n v="3"/>
    <n v="0"/>
    <n v="0.96530175003278684"/>
    <n v="3.4698249967213123E-2"/>
    <x v="9"/>
  </r>
  <r>
    <n v="8"/>
    <n v="76"/>
    <n v="2"/>
    <n v="2"/>
    <n v="1"/>
    <n v="12"/>
    <n v="0"/>
    <n v="5364"/>
    <n v="32"/>
    <n v="0"/>
    <n v="0.96533268155902208"/>
    <n v="3.4667318440977882E-2"/>
    <x v="9"/>
  </r>
  <r>
    <n v="5"/>
    <n v="59"/>
    <n v="4"/>
    <n v="2"/>
    <n v="4"/>
    <n v="9"/>
    <n v="3"/>
    <n v="0.01"/>
    <n v="7"/>
    <n v="0"/>
    <n v="0.9654132831703307"/>
    <n v="3.4586716829669309E-2"/>
    <x v="9"/>
  </r>
  <r>
    <n v="6"/>
    <n v="75"/>
    <n v="5"/>
    <n v="0"/>
    <n v="3"/>
    <n v="8"/>
    <n v="1"/>
    <n v="24000"/>
    <n v="2"/>
    <n v="1"/>
    <n v="0.96542103608504015"/>
    <n v="3.4578963914959827E-2"/>
    <x v="9"/>
  </r>
  <r>
    <n v="3"/>
    <n v="60"/>
    <n v="4"/>
    <n v="1"/>
    <n v="0"/>
    <n v="11"/>
    <n v="0"/>
    <n v="8000"/>
    <n v="6"/>
    <n v="0"/>
    <n v="0.96560549091628878"/>
    <n v="3.4394509083711187E-2"/>
    <x v="9"/>
  </r>
  <r>
    <n v="4"/>
    <n v="62"/>
    <n v="5"/>
    <n v="1"/>
    <n v="2"/>
    <n v="1"/>
    <n v="2"/>
    <n v="2500"/>
    <n v="6"/>
    <n v="0"/>
    <n v="0.96566432531570179"/>
    <n v="3.4335674684298267E-2"/>
    <x v="9"/>
  </r>
  <r>
    <n v="6"/>
    <n v="72"/>
    <n v="1"/>
    <n v="1"/>
    <n v="1"/>
    <n v="5"/>
    <n v="2"/>
    <n v="300"/>
    <n v="10"/>
    <n v="0"/>
    <n v="0.96569850808903746"/>
    <n v="3.4301491910962587E-2"/>
    <x v="9"/>
  </r>
  <r>
    <n v="8"/>
    <n v="76"/>
    <n v="5"/>
    <n v="2"/>
    <n v="0"/>
    <n v="4"/>
    <n v="0"/>
    <n v="6000"/>
    <n v="25"/>
    <n v="0"/>
    <n v="0.96581591704028646"/>
    <n v="3.4184082959713542E-2"/>
    <x v="9"/>
  </r>
  <r>
    <n v="4"/>
    <n v="57"/>
    <n v="5"/>
    <n v="2"/>
    <n v="0"/>
    <n v="4"/>
    <n v="3"/>
    <n v="0.01"/>
    <n v="4"/>
    <n v="0"/>
    <n v="0.96582430048718682"/>
    <n v="3.4175699512813233E-2"/>
    <x v="9"/>
  </r>
  <r>
    <n v="2"/>
    <n v="62"/>
    <n v="0"/>
    <n v="0"/>
    <n v="3"/>
    <n v="3"/>
    <n v="0"/>
    <n v="6000"/>
    <n v="6"/>
    <n v="0"/>
    <n v="0.96586885275154899"/>
    <n v="3.4131147248451031E-2"/>
    <x v="9"/>
  </r>
  <r>
    <n v="7"/>
    <n v="68"/>
    <n v="5"/>
    <n v="2"/>
    <n v="3"/>
    <n v="3"/>
    <n v="3"/>
    <n v="0.01"/>
    <n v="10"/>
    <n v="0"/>
    <n v="0.9659177697983512"/>
    <n v="3.4082230201648793E-2"/>
    <x v="9"/>
  </r>
  <r>
    <n v="5"/>
    <n v="72"/>
    <n v="3"/>
    <n v="0"/>
    <n v="2"/>
    <n v="1"/>
    <n v="2"/>
    <n v="500"/>
    <n v="8"/>
    <n v="0"/>
    <n v="0.96601379842420287"/>
    <n v="3.3986201575797147E-2"/>
    <x v="9"/>
  </r>
  <r>
    <n v="6"/>
    <n v="75"/>
    <n v="5"/>
    <n v="0"/>
    <n v="3"/>
    <n v="3"/>
    <n v="2"/>
    <n v="180"/>
    <n v="30"/>
    <n v="0"/>
    <n v="0.96604849980030283"/>
    <n v="3.3951500199697199E-2"/>
    <x v="9"/>
  </r>
  <r>
    <n v="5"/>
    <n v="67"/>
    <n v="3"/>
    <n v="1"/>
    <n v="3"/>
    <n v="3"/>
    <n v="2"/>
    <n v="4000"/>
    <n v="26"/>
    <n v="0"/>
    <n v="0.96618542531483076"/>
    <n v="3.3814574685169248E-2"/>
    <x v="9"/>
  </r>
  <r>
    <n v="7"/>
    <n v="77"/>
    <n v="2"/>
    <n v="1"/>
    <n v="3"/>
    <n v="3"/>
    <n v="0"/>
    <n v="17963.349999999999"/>
    <n v="8"/>
    <n v="0"/>
    <n v="0.96620539036188924"/>
    <n v="3.3794609638110741E-2"/>
    <x v="9"/>
  </r>
  <r>
    <n v="5"/>
    <n v="68"/>
    <n v="3"/>
    <n v="1"/>
    <n v="3"/>
    <n v="3"/>
    <n v="0"/>
    <n v="6000"/>
    <n v="1"/>
    <n v="0"/>
    <n v="0.96621987295397882"/>
    <n v="3.3780127046021222E-2"/>
    <x v="9"/>
  </r>
  <r>
    <n v="6"/>
    <n v="76"/>
    <n v="4"/>
    <n v="0"/>
    <n v="0"/>
    <n v="11"/>
    <n v="2"/>
    <n v="1750"/>
    <n v="18"/>
    <n v="0"/>
    <n v="0.96622528954101128"/>
    <n v="3.377471045898868E-2"/>
    <x v="9"/>
  </r>
  <r>
    <n v="3"/>
    <n v="63"/>
    <n v="4"/>
    <n v="0"/>
    <n v="3"/>
    <n v="3"/>
    <n v="2"/>
    <n v="3000.01"/>
    <n v="8"/>
    <n v="0"/>
    <n v="0.96626073283063274"/>
    <n v="3.3739267169367301E-2"/>
    <x v="9"/>
  </r>
  <r>
    <n v="5"/>
    <n v="73"/>
    <n v="3"/>
    <n v="0"/>
    <n v="3"/>
    <n v="3"/>
    <n v="0"/>
    <n v="6000"/>
    <n v="1"/>
    <n v="0"/>
    <n v="0.96639544802138222"/>
    <n v="3.3604551978617753E-2"/>
    <x v="9"/>
  </r>
  <r>
    <n v="6"/>
    <n v="77"/>
    <n v="0"/>
    <n v="0"/>
    <n v="3"/>
    <n v="3"/>
    <n v="2"/>
    <n v="3000"/>
    <n v="8"/>
    <n v="0"/>
    <n v="0.96645812996923031"/>
    <n v="3.3541870030769742E-2"/>
    <x v="9"/>
  </r>
  <r>
    <n v="3"/>
    <n v="54"/>
    <n v="4"/>
    <n v="2"/>
    <n v="0"/>
    <n v="2"/>
    <n v="3"/>
    <n v="0.01"/>
    <n v="9"/>
    <n v="0"/>
    <n v="0.96646176940000128"/>
    <n v="3.3538230599998761E-2"/>
    <x v="9"/>
  </r>
  <r>
    <n v="6"/>
    <n v="75"/>
    <n v="4"/>
    <n v="0"/>
    <n v="3"/>
    <n v="8"/>
    <n v="2"/>
    <n v="1000"/>
    <n v="16"/>
    <n v="0"/>
    <n v="0.96662796515215577"/>
    <n v="3.3372034847844269E-2"/>
    <x v="9"/>
  </r>
  <r>
    <n v="7"/>
    <n v="71"/>
    <n v="1"/>
    <n v="2"/>
    <n v="1"/>
    <n v="12"/>
    <n v="2"/>
    <n v="2500"/>
    <n v="8"/>
    <n v="0"/>
    <n v="0.96664745659768003"/>
    <n v="3.3352543402320002E-2"/>
    <x v="9"/>
  </r>
  <r>
    <n v="7"/>
    <n v="73"/>
    <n v="0"/>
    <n v="2"/>
    <n v="3"/>
    <n v="3"/>
    <n v="0"/>
    <n v="11400"/>
    <n v="7"/>
    <n v="0"/>
    <n v="0.9666607153575455"/>
    <n v="3.3339284642454517E-2"/>
    <x v="9"/>
  </r>
  <r>
    <n v="3"/>
    <n v="62"/>
    <n v="2"/>
    <n v="1"/>
    <n v="0"/>
    <n v="4"/>
    <n v="0"/>
    <n v="6053.35"/>
    <n v="5"/>
    <n v="0"/>
    <n v="0.96670853858681205"/>
    <n v="3.3291461413187999E-2"/>
    <x v="9"/>
  </r>
  <r>
    <n v="4"/>
    <n v="60"/>
    <n v="2"/>
    <n v="2"/>
    <n v="1"/>
    <n v="12"/>
    <n v="0"/>
    <n v="5035.37"/>
    <n v="9"/>
    <n v="0"/>
    <n v="0.96671665200250934"/>
    <n v="3.3283347997490671E-2"/>
    <x v="9"/>
  </r>
  <r>
    <n v="6"/>
    <n v="74"/>
    <n v="1"/>
    <n v="1"/>
    <n v="1"/>
    <n v="7"/>
    <n v="0"/>
    <n v="8000"/>
    <n v="8"/>
    <n v="0"/>
    <n v="0.96678998377384007"/>
    <n v="3.321001622615994E-2"/>
    <x v="9"/>
  </r>
  <r>
    <n v="4"/>
    <n v="66"/>
    <n v="2"/>
    <n v="1"/>
    <n v="0"/>
    <n v="4"/>
    <n v="1"/>
    <n v="28000"/>
    <n v="4"/>
    <n v="0"/>
    <n v="0.96693031422559705"/>
    <n v="3.3069685774402897E-2"/>
    <x v="9"/>
  </r>
  <r>
    <n v="5"/>
    <n v="72"/>
    <n v="5"/>
    <n v="0"/>
    <n v="0"/>
    <n v="11"/>
    <n v="2"/>
    <n v="3000"/>
    <n v="14"/>
    <n v="0"/>
    <n v="0.96726840217109811"/>
    <n v="3.2731597828901893E-2"/>
    <x v="9"/>
  </r>
  <r>
    <n v="6"/>
    <n v="76"/>
    <n v="5"/>
    <n v="0"/>
    <n v="1"/>
    <n v="5"/>
    <n v="2"/>
    <n v="2000"/>
    <n v="8"/>
    <n v="0"/>
    <n v="0.96732495861960244"/>
    <n v="3.2675041380397611E-2"/>
    <x v="9"/>
  </r>
  <r>
    <n v="8"/>
    <n v="74"/>
    <n v="4"/>
    <n v="2"/>
    <n v="3"/>
    <n v="8"/>
    <n v="2"/>
    <n v="1000"/>
    <n v="32"/>
    <n v="0"/>
    <n v="0.96735516006597744"/>
    <n v="3.2644839934022549E-2"/>
    <x v="9"/>
  </r>
  <r>
    <n v="5"/>
    <n v="74"/>
    <n v="1"/>
    <n v="0"/>
    <n v="0"/>
    <n v="11"/>
    <n v="2"/>
    <n v="2000"/>
    <n v="21"/>
    <n v="0"/>
    <n v="0.96751298104462491"/>
    <n v="3.2487018955375042E-2"/>
    <x v="9"/>
  </r>
  <r>
    <n v="4"/>
    <n v="66"/>
    <n v="2"/>
    <n v="1"/>
    <n v="0"/>
    <n v="10"/>
    <n v="0"/>
    <n v="9000"/>
    <n v="3"/>
    <n v="0"/>
    <n v="0.96758974917597673"/>
    <n v="3.2410250824023303E-2"/>
    <x v="9"/>
  </r>
  <r>
    <n v="5"/>
    <n v="73"/>
    <n v="5"/>
    <n v="0"/>
    <n v="3"/>
    <n v="3"/>
    <n v="0"/>
    <n v="6000"/>
    <n v="12"/>
    <n v="0"/>
    <n v="0.96762258043641924"/>
    <n v="3.2377419563580798E-2"/>
    <x v="9"/>
  </r>
  <r>
    <n v="8"/>
    <n v="75"/>
    <n v="1"/>
    <n v="2"/>
    <n v="3"/>
    <n v="8"/>
    <n v="2"/>
    <n v="2000"/>
    <n v="7"/>
    <n v="0"/>
    <n v="0.96772516678474418"/>
    <n v="3.2274833215255802E-2"/>
    <x v="9"/>
  </r>
  <r>
    <n v="5"/>
    <n v="73"/>
    <n v="5"/>
    <n v="0"/>
    <n v="1"/>
    <n v="12"/>
    <n v="0"/>
    <n v="6000"/>
    <n v="1"/>
    <n v="0"/>
    <n v="0.96783155945946886"/>
    <n v="3.216844054053114E-2"/>
    <x v="9"/>
  </r>
  <r>
    <n v="4"/>
    <n v="70"/>
    <n v="1"/>
    <n v="0"/>
    <n v="1"/>
    <n v="5"/>
    <n v="2"/>
    <n v="500"/>
    <n v="9"/>
    <n v="0"/>
    <n v="0.96802289491894755"/>
    <n v="3.1977105081052469E-2"/>
    <x v="9"/>
  </r>
  <r>
    <n v="5"/>
    <n v="74"/>
    <n v="2"/>
    <n v="0"/>
    <n v="3"/>
    <n v="8"/>
    <n v="0"/>
    <n v="6000.01"/>
    <n v="6"/>
    <n v="0"/>
    <n v="0.96813319067480241"/>
    <n v="3.1866809325197552E-2"/>
    <x v="9"/>
  </r>
  <r>
    <n v="4"/>
    <n v="65"/>
    <n v="2"/>
    <n v="1"/>
    <n v="3"/>
    <n v="8"/>
    <n v="0"/>
    <n v="6000"/>
    <n v="1"/>
    <n v="0"/>
    <n v="0.96825803160635282"/>
    <n v="3.174196839364718E-2"/>
    <x v="9"/>
  </r>
  <r>
    <n v="4"/>
    <n v="70"/>
    <n v="3"/>
    <n v="0"/>
    <n v="0"/>
    <n v="2"/>
    <n v="2"/>
    <n v="3000"/>
    <n v="4"/>
    <n v="0"/>
    <n v="0.96833434068758328"/>
    <n v="3.1665659312416723E-2"/>
    <x v="9"/>
  </r>
  <r>
    <n v="7"/>
    <n v="79"/>
    <n v="2"/>
    <n v="1"/>
    <n v="2"/>
    <n v="0"/>
    <n v="0"/>
    <n v="18500"/>
    <n v="12"/>
    <n v="0"/>
    <n v="0.96840110881009767"/>
    <n v="3.1598891189902292E-2"/>
    <x v="9"/>
  </r>
  <r>
    <n v="6"/>
    <n v="69"/>
    <n v="1"/>
    <n v="2"/>
    <n v="3"/>
    <n v="8"/>
    <n v="0"/>
    <n v="12000"/>
    <n v="6"/>
    <n v="0"/>
    <n v="0.96845237330000888"/>
    <n v="3.1547626699991067E-2"/>
    <x v="9"/>
  </r>
  <r>
    <n v="6"/>
    <n v="78"/>
    <n v="5"/>
    <n v="0"/>
    <n v="0"/>
    <n v="11"/>
    <n v="1"/>
    <n v="24053.35"/>
    <n v="12"/>
    <n v="0"/>
    <n v="0.96857119855875162"/>
    <n v="3.1428801441248412E-2"/>
    <x v="9"/>
  </r>
  <r>
    <n v="2"/>
    <n v="61"/>
    <n v="2"/>
    <n v="0"/>
    <n v="0"/>
    <n v="10"/>
    <n v="3"/>
    <n v="0.01"/>
    <n v="3"/>
    <n v="0"/>
    <n v="0.96874910987216689"/>
    <n v="3.1250890127833143E-2"/>
    <x v="9"/>
  </r>
  <r>
    <n v="5"/>
    <n v="67"/>
    <n v="5"/>
    <n v="1"/>
    <n v="1"/>
    <n v="12"/>
    <n v="2"/>
    <n v="100"/>
    <n v="1"/>
    <n v="0"/>
    <n v="0.96881192898495549"/>
    <n v="3.1188071015044529E-2"/>
    <x v="9"/>
  </r>
  <r>
    <n v="5"/>
    <n v="72"/>
    <n v="1"/>
    <n v="1"/>
    <n v="0"/>
    <n v="2"/>
    <n v="0"/>
    <n v="9000"/>
    <n v="8"/>
    <n v="0"/>
    <n v="0.96884154652070964"/>
    <n v="3.1158453479290301E-2"/>
    <x v="9"/>
  </r>
  <r>
    <n v="5"/>
    <n v="73"/>
    <n v="1"/>
    <n v="0"/>
    <n v="3"/>
    <n v="3"/>
    <n v="3"/>
    <n v="0.01"/>
    <n v="8"/>
    <n v="0"/>
    <n v="0.96890178272624605"/>
    <n v="3.1098217273754E-2"/>
    <x v="9"/>
  </r>
  <r>
    <n v="5"/>
    <n v="76"/>
    <n v="1"/>
    <n v="0"/>
    <n v="1"/>
    <n v="5"/>
    <n v="0"/>
    <n v="6000"/>
    <n v="2"/>
    <n v="0"/>
    <n v="0.96892163681092502"/>
    <n v="3.1078363189074941E-2"/>
    <x v="9"/>
  </r>
  <r>
    <n v="6"/>
    <n v="78"/>
    <n v="4"/>
    <n v="0"/>
    <n v="3"/>
    <n v="3"/>
    <n v="0"/>
    <n v="6000"/>
    <n v="2"/>
    <n v="0"/>
    <n v="0.96896403660223296"/>
    <n v="3.1035963397767069E-2"/>
    <x v="9"/>
  </r>
  <r>
    <n v="3"/>
    <n v="64"/>
    <n v="2"/>
    <n v="0"/>
    <n v="3"/>
    <n v="8"/>
    <n v="3"/>
    <n v="0.01"/>
    <n v="6"/>
    <n v="0"/>
    <n v="0.96896769426629425"/>
    <n v="3.10323057337057E-2"/>
    <x v="9"/>
  </r>
  <r>
    <n v="5"/>
    <n v="64"/>
    <n v="4"/>
    <n v="2"/>
    <n v="3"/>
    <n v="8"/>
    <n v="0"/>
    <n v="15000"/>
    <n v="4"/>
    <n v="0"/>
    <n v="0.96904249141403087"/>
    <n v="3.0957508585969171E-2"/>
    <x v="9"/>
  </r>
  <r>
    <n v="5"/>
    <n v="76"/>
    <n v="2"/>
    <n v="0"/>
    <n v="0"/>
    <n v="11"/>
    <n v="0"/>
    <n v="17000"/>
    <n v="9"/>
    <n v="0"/>
    <n v="0.96904472295335231"/>
    <n v="3.0955277046647699E-2"/>
    <x v="9"/>
  </r>
  <r>
    <n v="6"/>
    <n v="74"/>
    <n v="3"/>
    <n v="1"/>
    <n v="1"/>
    <n v="12"/>
    <n v="0"/>
    <n v="6000"/>
    <n v="16"/>
    <n v="0"/>
    <n v="0.96905542110777332"/>
    <n v="3.0944578892226689E-2"/>
    <x v="9"/>
  </r>
  <r>
    <n v="5"/>
    <n v="69"/>
    <n v="1"/>
    <n v="1"/>
    <n v="3"/>
    <n v="3"/>
    <n v="2"/>
    <n v="3000"/>
    <n v="5"/>
    <n v="0"/>
    <n v="0.96919544203812724"/>
    <n v="3.0804557961872741E-2"/>
    <x v="9"/>
  </r>
  <r>
    <n v="5"/>
    <n v="75"/>
    <n v="2"/>
    <n v="0"/>
    <n v="0"/>
    <n v="4"/>
    <n v="2"/>
    <n v="1000"/>
    <n v="16"/>
    <n v="0"/>
    <n v="0.96923038579002108"/>
    <n v="3.0769614209978889E-2"/>
    <x v="9"/>
  </r>
  <r>
    <n v="4"/>
    <n v="71"/>
    <n v="5"/>
    <n v="0"/>
    <n v="1"/>
    <n v="5"/>
    <n v="1"/>
    <n v="40919.71"/>
    <n v="16"/>
    <n v="0"/>
    <n v="0.96945361562539756"/>
    <n v="3.0546384374602421E-2"/>
    <x v="9"/>
  </r>
  <r>
    <n v="5"/>
    <n v="64"/>
    <n v="4"/>
    <n v="2"/>
    <n v="3"/>
    <n v="8"/>
    <n v="0"/>
    <n v="6000"/>
    <n v="2"/>
    <n v="0"/>
    <n v="0.96955053550657044"/>
    <n v="3.044946449342955E-2"/>
    <x v="9"/>
  </r>
  <r>
    <n v="5"/>
    <n v="65"/>
    <n v="3"/>
    <n v="2"/>
    <n v="0"/>
    <n v="4"/>
    <n v="2"/>
    <n v="1000"/>
    <n v="14"/>
    <n v="0"/>
    <n v="0.96976523538738235"/>
    <n v="3.0234764612617621E-2"/>
    <x v="9"/>
  </r>
  <r>
    <n v="3"/>
    <n v="67"/>
    <n v="3"/>
    <n v="0"/>
    <n v="1"/>
    <n v="12"/>
    <n v="0"/>
    <n v="6000"/>
    <n v="8"/>
    <n v="0"/>
    <n v="0.96978870955628926"/>
    <n v="3.0211290443710691E-2"/>
    <x v="9"/>
  </r>
  <r>
    <n v="5"/>
    <n v="75"/>
    <n v="0"/>
    <n v="0"/>
    <n v="3"/>
    <n v="3"/>
    <n v="2"/>
    <n v="4800"/>
    <n v="16"/>
    <n v="0"/>
    <n v="0.9698521985269184"/>
    <n v="3.0147801473081579E-2"/>
    <x v="9"/>
  </r>
  <r>
    <n v="6"/>
    <n v="73"/>
    <n v="4"/>
    <n v="1"/>
    <n v="3"/>
    <n v="8"/>
    <n v="1"/>
    <n v="21000"/>
    <n v="6"/>
    <n v="0"/>
    <n v="0.97005056602424555"/>
    <n v="2.9949433975754471E-2"/>
    <x v="9"/>
  </r>
  <r>
    <n v="7"/>
    <n v="73"/>
    <n v="0"/>
    <n v="2"/>
    <n v="3"/>
    <n v="3"/>
    <n v="2"/>
    <n v="2000"/>
    <n v="1"/>
    <n v="0"/>
    <n v="0.97005498592334927"/>
    <n v="2.994501407665074E-2"/>
    <x v="9"/>
  </r>
  <r>
    <n v="7"/>
    <n v="71"/>
    <n v="3"/>
    <n v="2"/>
    <n v="4"/>
    <n v="9"/>
    <n v="2"/>
    <n v="3000"/>
    <n v="14"/>
    <n v="0"/>
    <n v="0.97010156209516885"/>
    <n v="2.989843790483113E-2"/>
    <x v="9"/>
  </r>
  <r>
    <n v="7"/>
    <n v="79"/>
    <n v="1"/>
    <n v="1"/>
    <n v="0"/>
    <n v="2"/>
    <n v="2"/>
    <n v="480"/>
    <n v="2"/>
    <n v="0"/>
    <n v="0.97012083691280671"/>
    <n v="2.9879163087193291E-2"/>
    <x v="9"/>
  </r>
  <r>
    <n v="6"/>
    <n v="78"/>
    <n v="1"/>
    <n v="0"/>
    <n v="3"/>
    <n v="8"/>
    <n v="2"/>
    <n v="1000"/>
    <n v="4"/>
    <n v="0"/>
    <n v="0.97020392280662593"/>
    <n v="2.9796077193374019E-2"/>
    <x v="9"/>
  </r>
  <r>
    <n v="5"/>
    <n v="74"/>
    <n v="1"/>
    <n v="0"/>
    <n v="3"/>
    <n v="8"/>
    <n v="2"/>
    <n v="3000"/>
    <n v="2"/>
    <n v="0"/>
    <n v="0.97027234107039417"/>
    <n v="2.9727658929605778E-2"/>
    <x v="9"/>
  </r>
  <r>
    <n v="6"/>
    <n v="77"/>
    <n v="5"/>
    <n v="0"/>
    <n v="1"/>
    <n v="12"/>
    <n v="2"/>
    <n v="4000"/>
    <n v="5"/>
    <n v="0"/>
    <n v="0.97032008459612529"/>
    <n v="2.9679915403874681E-2"/>
    <x v="9"/>
  </r>
  <r>
    <n v="5"/>
    <n v="73"/>
    <n v="5"/>
    <n v="0"/>
    <n v="1"/>
    <n v="12"/>
    <n v="2"/>
    <n v="500"/>
    <n v="9"/>
    <n v="0"/>
    <n v="0.97042131377611329"/>
    <n v="2.9578686223886649E-2"/>
    <x v="9"/>
  </r>
  <r>
    <n v="6"/>
    <n v="76"/>
    <n v="1"/>
    <n v="1"/>
    <n v="0"/>
    <n v="11"/>
    <n v="0"/>
    <n v="6000"/>
    <n v="6"/>
    <n v="0"/>
    <n v="0.97042494173987903"/>
    <n v="2.9575058260120961E-2"/>
    <x v="9"/>
  </r>
  <r>
    <n v="1"/>
    <n v="55"/>
    <n v="1"/>
    <n v="1"/>
    <n v="0"/>
    <n v="2"/>
    <n v="2"/>
    <n v="3000"/>
    <n v="2"/>
    <n v="0"/>
    <n v="0.9705259918510859"/>
    <n v="2.947400814891411E-2"/>
    <x v="9"/>
  </r>
  <r>
    <n v="5"/>
    <n v="64"/>
    <n v="2"/>
    <n v="2"/>
    <n v="3"/>
    <n v="8"/>
    <n v="2"/>
    <n v="1000"/>
    <n v="8"/>
    <n v="0"/>
    <n v="0.97058881385743145"/>
    <n v="2.9411186142568529E-2"/>
    <x v="9"/>
  </r>
  <r>
    <n v="3"/>
    <n v="68"/>
    <n v="2"/>
    <n v="0"/>
    <n v="2"/>
    <n v="6"/>
    <n v="0"/>
    <n v="6105.32"/>
    <n v="7"/>
    <n v="0"/>
    <n v="0.97066889867808559"/>
    <n v="2.9331101321914431E-2"/>
    <x v="9"/>
  </r>
  <r>
    <n v="3"/>
    <n v="68"/>
    <n v="2"/>
    <n v="0"/>
    <n v="3"/>
    <n v="3"/>
    <n v="0"/>
    <n v="11000"/>
    <n v="7"/>
    <n v="0"/>
    <n v="0.97078454818733473"/>
    <n v="2.921545181266523E-2"/>
    <x v="9"/>
  </r>
  <r>
    <n v="6"/>
    <n v="74"/>
    <n v="5"/>
    <n v="1"/>
    <n v="3"/>
    <n v="8"/>
    <n v="1"/>
    <n v="42000"/>
    <n v="21"/>
    <n v="0"/>
    <n v="0.97100482074210537"/>
    <n v="2.899517925789466E-2"/>
    <x v="9"/>
  </r>
  <r>
    <n v="3"/>
    <n v="68"/>
    <n v="2"/>
    <n v="0"/>
    <n v="3"/>
    <n v="3"/>
    <n v="0"/>
    <n v="6000"/>
    <n v="5"/>
    <n v="1"/>
    <n v="0.97108442824168295"/>
    <n v="2.8915571758317039E-2"/>
    <x v="9"/>
  </r>
  <r>
    <n v="8"/>
    <n v="78"/>
    <n v="0"/>
    <n v="2"/>
    <n v="1"/>
    <n v="12"/>
    <n v="2"/>
    <n v="4884.25"/>
    <n v="8"/>
    <n v="0"/>
    <n v="0.97108503637107757"/>
    <n v="2.891496362892243E-2"/>
    <x v="9"/>
  </r>
  <r>
    <n v="6"/>
    <n v="76"/>
    <n v="3"/>
    <n v="1"/>
    <n v="0"/>
    <n v="11"/>
    <n v="0"/>
    <n v="12000"/>
    <n v="19"/>
    <n v="0"/>
    <n v="0.97116858223783886"/>
    <n v="2.8831417762161089E-2"/>
    <x v="9"/>
  </r>
  <r>
    <n v="6"/>
    <n v="74"/>
    <n v="2"/>
    <n v="1"/>
    <n v="1"/>
    <n v="12"/>
    <n v="2"/>
    <n v="3000"/>
    <n v="8"/>
    <n v="0"/>
    <n v="0.971278253733874"/>
    <n v="2.8721746266125951E-2"/>
    <x v="9"/>
  </r>
  <r>
    <n v="3"/>
    <n v="68"/>
    <n v="5"/>
    <n v="0"/>
    <n v="2"/>
    <n v="1"/>
    <n v="0"/>
    <n v="12000"/>
    <n v="8"/>
    <n v="1"/>
    <n v="0.97180510423900235"/>
    <n v="2.8194895760997658E-2"/>
    <x v="9"/>
  </r>
  <r>
    <n v="4"/>
    <n v="61"/>
    <n v="2"/>
    <n v="2"/>
    <n v="3"/>
    <n v="3"/>
    <n v="2"/>
    <n v="1000"/>
    <n v="1"/>
    <n v="0"/>
    <n v="0.97183952575244281"/>
    <n v="2.816047424755724E-2"/>
    <x v="9"/>
  </r>
  <r>
    <n v="3"/>
    <n v="68"/>
    <n v="1"/>
    <n v="0"/>
    <n v="2"/>
    <n v="1"/>
    <n v="2"/>
    <n v="5000"/>
    <n v="1"/>
    <n v="0"/>
    <n v="0.97188956382109915"/>
    <n v="2.811043617890082E-2"/>
    <x v="9"/>
  </r>
  <r>
    <n v="4"/>
    <n v="71"/>
    <n v="2"/>
    <n v="0"/>
    <n v="3"/>
    <n v="3"/>
    <n v="2"/>
    <n v="3000"/>
    <n v="2"/>
    <n v="0"/>
    <n v="0.97201083411634437"/>
    <n v="2.7989165883655579E-2"/>
    <x v="9"/>
  </r>
  <r>
    <n v="7"/>
    <n v="76"/>
    <n v="5"/>
    <n v="1"/>
    <n v="4"/>
    <n v="9"/>
    <n v="2"/>
    <n v="100.01"/>
    <n v="8"/>
    <n v="0"/>
    <n v="0.9720767547203073"/>
    <n v="2.7923245279692741E-2"/>
    <x v="9"/>
  </r>
  <r>
    <n v="5"/>
    <n v="77"/>
    <n v="1"/>
    <n v="0"/>
    <n v="0"/>
    <n v="4"/>
    <n v="2"/>
    <n v="5000"/>
    <n v="4"/>
    <n v="0"/>
    <n v="0.97215860901744056"/>
    <n v="2.7841390982559451E-2"/>
    <x v="9"/>
  </r>
  <r>
    <n v="5"/>
    <n v="72"/>
    <n v="1"/>
    <n v="1"/>
    <n v="3"/>
    <n v="8"/>
    <n v="0"/>
    <n v="12053.35"/>
    <n v="5"/>
    <n v="0"/>
    <n v="0.97219016838851746"/>
    <n v="2.7809831611482511E-2"/>
    <x v="9"/>
  </r>
  <r>
    <n v="4"/>
    <n v="62"/>
    <n v="0"/>
    <n v="2"/>
    <n v="3"/>
    <n v="8"/>
    <n v="2"/>
    <n v="3000"/>
    <n v="8"/>
    <n v="0"/>
    <n v="0.97245678310208938"/>
    <n v="2.7543216897910571E-2"/>
    <x v="9"/>
  </r>
  <r>
    <n v="3"/>
    <n v="69"/>
    <n v="2"/>
    <n v="0"/>
    <n v="3"/>
    <n v="3"/>
    <n v="0"/>
    <n v="6000"/>
    <n v="2"/>
    <n v="0"/>
    <n v="0.97282910141098633"/>
    <n v="2.7170898589013701E-2"/>
    <x v="9"/>
  </r>
  <r>
    <n v="7"/>
    <n v="73"/>
    <n v="4"/>
    <n v="2"/>
    <n v="3"/>
    <n v="3"/>
    <n v="2"/>
    <n v="2000"/>
    <n v="4"/>
    <n v="0"/>
    <n v="0.97286298583733266"/>
    <n v="2.7137014162667391E-2"/>
    <x v="9"/>
  </r>
  <r>
    <n v="6"/>
    <n v="71"/>
    <n v="1"/>
    <n v="2"/>
    <n v="1"/>
    <n v="7"/>
    <n v="2"/>
    <n v="2000"/>
    <n v="5"/>
    <n v="0"/>
    <n v="0.97308085657663157"/>
    <n v="2.6919143423368468E-2"/>
    <x v="9"/>
  </r>
  <r>
    <n v="1"/>
    <n v="61"/>
    <n v="5"/>
    <n v="0"/>
    <n v="2"/>
    <n v="1"/>
    <n v="0"/>
    <n v="10000"/>
    <n v="9"/>
    <n v="0"/>
    <n v="0.97361367789178721"/>
    <n v="2.6386322108212752E-2"/>
    <x v="9"/>
  </r>
  <r>
    <n v="4"/>
    <n v="73"/>
    <n v="1"/>
    <n v="0"/>
    <n v="1"/>
    <n v="12"/>
    <n v="2"/>
    <n v="120"/>
    <n v="11"/>
    <n v="0"/>
    <n v="0.97409883152816068"/>
    <n v="2.5901168471839309E-2"/>
    <x v="9"/>
  </r>
  <r>
    <n v="3"/>
    <n v="70"/>
    <n v="5"/>
    <n v="0"/>
    <n v="0"/>
    <n v="4"/>
    <n v="0"/>
    <n v="12000"/>
    <n v="2"/>
    <n v="0"/>
    <n v="0.97411058981604381"/>
    <n v="2.588941018395614E-2"/>
    <x v="9"/>
  </r>
  <r>
    <n v="6"/>
    <n v="75"/>
    <n v="5"/>
    <n v="1"/>
    <n v="0"/>
    <n v="11"/>
    <n v="2"/>
    <n v="3000"/>
    <n v="6"/>
    <n v="0"/>
    <n v="0.97413591275271449"/>
    <n v="2.586408724728545E-2"/>
    <x v="9"/>
  </r>
  <r>
    <n v="5"/>
    <n v="74"/>
    <n v="1"/>
    <n v="1"/>
    <n v="3"/>
    <n v="3"/>
    <n v="0"/>
    <n v="12000"/>
    <n v="1"/>
    <n v="0"/>
    <n v="0.97472372717261724"/>
    <n v="2.5276272827382741E-2"/>
    <x v="9"/>
  </r>
  <r>
    <n v="6"/>
    <n v="79"/>
    <n v="5"/>
    <n v="0"/>
    <n v="1"/>
    <n v="12"/>
    <n v="3"/>
    <n v="0.01"/>
    <n v="6"/>
    <n v="0"/>
    <n v="0.97483156056598796"/>
    <n v="2.516843943401206E-2"/>
    <x v="9"/>
  </r>
  <r>
    <n v="6"/>
    <n v="76"/>
    <n v="2"/>
    <n v="1"/>
    <n v="1"/>
    <n v="7"/>
    <n v="3"/>
    <n v="0.01"/>
    <n v="4"/>
    <n v="0"/>
    <n v="0.97510416291396917"/>
    <n v="2.489583708603078E-2"/>
    <x v="9"/>
  </r>
  <r>
    <n v="4"/>
    <n v="62"/>
    <n v="3"/>
    <n v="2"/>
    <n v="3"/>
    <n v="3"/>
    <n v="3"/>
    <n v="0.01"/>
    <n v="5"/>
    <n v="0"/>
    <n v="0.97511353290101832"/>
    <n v="2.488646709898162E-2"/>
    <x v="9"/>
  </r>
  <r>
    <n v="6"/>
    <n v="77"/>
    <n v="4"/>
    <n v="1"/>
    <n v="3"/>
    <n v="8"/>
    <n v="0"/>
    <n v="12000"/>
    <n v="18"/>
    <n v="0"/>
    <n v="0.97524355229660009"/>
    <n v="2.475644770339994E-2"/>
    <x v="9"/>
  </r>
  <r>
    <n v="4"/>
    <n v="71"/>
    <n v="0"/>
    <n v="1"/>
    <n v="1"/>
    <n v="12"/>
    <n v="0"/>
    <n v="6000"/>
    <n v="12"/>
    <n v="0"/>
    <n v="0.97533193299277277"/>
    <n v="2.4668067007227248E-2"/>
    <x v="9"/>
  </r>
  <r>
    <n v="6"/>
    <n v="77"/>
    <n v="4"/>
    <n v="1"/>
    <n v="0"/>
    <n v="4"/>
    <n v="2"/>
    <n v="5000"/>
    <n v="4"/>
    <n v="0"/>
    <n v="0.97548528701191406"/>
    <n v="2.4514712988085888E-2"/>
    <x v="9"/>
  </r>
  <r>
    <n v="2"/>
    <n v="67"/>
    <n v="1"/>
    <n v="0"/>
    <n v="3"/>
    <n v="8"/>
    <n v="0"/>
    <n v="12000"/>
    <n v="8"/>
    <n v="0"/>
    <n v="0.97552199743131451"/>
    <n v="2.44780025686855E-2"/>
    <x v="9"/>
  </r>
  <r>
    <n v="5"/>
    <n v="73"/>
    <n v="4"/>
    <n v="1"/>
    <n v="3"/>
    <n v="8"/>
    <n v="0"/>
    <n v="14000"/>
    <n v="8"/>
    <n v="0"/>
    <n v="0.97554713583320951"/>
    <n v="2.4452864166790479E-2"/>
    <x v="9"/>
  </r>
  <r>
    <n v="6"/>
    <n v="77"/>
    <n v="5"/>
    <n v="1"/>
    <n v="0"/>
    <n v="2"/>
    <n v="2"/>
    <n v="3099.71"/>
    <n v="11"/>
    <n v="0"/>
    <n v="0.97570883657169738"/>
    <n v="2.4291163428302641E-2"/>
    <x v="9"/>
  </r>
  <r>
    <n v="4"/>
    <n v="67"/>
    <n v="4"/>
    <n v="1"/>
    <n v="4"/>
    <n v="9"/>
    <n v="2"/>
    <n v="1000"/>
    <n v="12"/>
    <n v="0"/>
    <n v="0.97602948969457592"/>
    <n v="2.397051030542412E-2"/>
    <x v="9"/>
  </r>
  <r>
    <n v="4"/>
    <n v="76"/>
    <n v="3"/>
    <n v="0"/>
    <n v="0"/>
    <n v="11"/>
    <n v="0"/>
    <n v="19944.93"/>
    <n v="3"/>
    <n v="0"/>
    <n v="0.97626425709250142"/>
    <n v="2.3735742907498612E-2"/>
    <x v="9"/>
  </r>
  <r>
    <n v="4"/>
    <n v="69"/>
    <n v="2"/>
    <n v="1"/>
    <n v="3"/>
    <n v="3"/>
    <n v="2"/>
    <n v="2000"/>
    <n v="1"/>
    <n v="0"/>
    <n v="0.9764678376007786"/>
    <n v="2.3532162399221349E-2"/>
    <x v="9"/>
  </r>
  <r>
    <n v="5"/>
    <n v="72"/>
    <n v="0"/>
    <n v="2"/>
    <n v="0"/>
    <n v="4"/>
    <n v="0"/>
    <n v="6000"/>
    <n v="2"/>
    <n v="0"/>
    <n v="0.97656272268179478"/>
    <n v="2.3437277318205212E-2"/>
    <x v="9"/>
  </r>
  <r>
    <n v="4"/>
    <n v="76"/>
    <n v="2"/>
    <n v="0"/>
    <n v="3"/>
    <n v="3"/>
    <n v="0"/>
    <n v="10053.35"/>
    <n v="17"/>
    <n v="0"/>
    <n v="0.97656370637408807"/>
    <n v="2.3436293625911951E-2"/>
    <x v="9"/>
  </r>
  <r>
    <n v="5"/>
    <n v="73"/>
    <n v="2"/>
    <n v="1"/>
    <n v="3"/>
    <n v="8"/>
    <n v="2"/>
    <n v="1200"/>
    <n v="12"/>
    <n v="0"/>
    <n v="0.97673243853061664"/>
    <n v="2.3267561469383299E-2"/>
    <x v="9"/>
  </r>
  <r>
    <n v="3"/>
    <n v="70"/>
    <n v="2"/>
    <n v="0"/>
    <n v="1"/>
    <n v="7"/>
    <n v="3"/>
    <n v="0.01"/>
    <n v="5"/>
    <n v="0"/>
    <n v="0.97682402388010903"/>
    <n v="2.3175976119890931E-2"/>
    <x v="9"/>
  </r>
  <r>
    <n v="2"/>
    <n v="67"/>
    <n v="0"/>
    <n v="0"/>
    <n v="3"/>
    <n v="3"/>
    <n v="2"/>
    <n v="3000"/>
    <n v="2"/>
    <n v="1"/>
    <n v="0.97683516177646112"/>
    <n v="2.3164838223538889E-2"/>
    <x v="9"/>
  </r>
  <r>
    <n v="5"/>
    <n v="76"/>
    <n v="2"/>
    <n v="1"/>
    <n v="1"/>
    <n v="7"/>
    <n v="0"/>
    <n v="12000"/>
    <n v="2"/>
    <n v="0"/>
    <n v="0.97730736912619054"/>
    <n v="2.2692630873809429E-2"/>
    <x v="9"/>
  </r>
  <r>
    <n v="4"/>
    <n v="75"/>
    <n v="0"/>
    <n v="0"/>
    <n v="3"/>
    <n v="3"/>
    <n v="3"/>
    <n v="0.01"/>
    <n v="8"/>
    <n v="0"/>
    <n v="0.97761606747472918"/>
    <n v="2.2383932525270829E-2"/>
    <x v="9"/>
  </r>
  <r>
    <n v="6"/>
    <n v="79"/>
    <n v="0"/>
    <n v="1"/>
    <n v="3"/>
    <n v="3"/>
    <n v="2"/>
    <n v="3000"/>
    <n v="5"/>
    <n v="0"/>
    <n v="0.97769792463453309"/>
    <n v="2.2302075365466859E-2"/>
    <x v="9"/>
  </r>
  <r>
    <n v="4"/>
    <n v="68"/>
    <n v="2"/>
    <n v="2"/>
    <n v="0"/>
    <n v="2"/>
    <n v="1"/>
    <n v="22107.64"/>
    <n v="10"/>
    <n v="0"/>
    <n v="0.97773312311884453"/>
    <n v="2.2266876881155431E-2"/>
    <x v="9"/>
  </r>
  <r>
    <n v="6"/>
    <n v="76"/>
    <n v="3"/>
    <n v="2"/>
    <n v="0"/>
    <n v="2"/>
    <n v="0"/>
    <n v="9200"/>
    <n v="6"/>
    <n v="0"/>
    <n v="0.97778064778052054"/>
    <n v="2.2219352219479471E-2"/>
    <x v="9"/>
  </r>
  <r>
    <n v="1"/>
    <n v="64"/>
    <n v="4"/>
    <n v="0"/>
    <n v="1"/>
    <n v="12"/>
    <n v="0"/>
    <n v="18000"/>
    <n v="2"/>
    <n v="0"/>
    <n v="0.97791344072130149"/>
    <n v="2.2086559278698539E-2"/>
    <x v="9"/>
  </r>
  <r>
    <n v="3"/>
    <n v="69"/>
    <n v="2"/>
    <n v="1"/>
    <n v="1"/>
    <n v="5"/>
    <n v="0"/>
    <n v="10053.35"/>
    <n v="21"/>
    <n v="0"/>
    <n v="0.97804840834495765"/>
    <n v="2.1951591655042402E-2"/>
    <x v="9"/>
  </r>
  <r>
    <n v="2"/>
    <n v="65"/>
    <n v="5"/>
    <n v="0"/>
    <n v="3"/>
    <n v="3"/>
    <n v="3"/>
    <n v="0.01"/>
    <n v="4"/>
    <n v="0"/>
    <n v="0.97809994038313075"/>
    <n v="2.1900059616869218E-2"/>
    <x v="9"/>
  </r>
  <r>
    <n v="5"/>
    <n v="76"/>
    <n v="2"/>
    <n v="1"/>
    <n v="0"/>
    <n v="2"/>
    <n v="2"/>
    <n v="3000"/>
    <n v="5"/>
    <n v="0"/>
    <n v="0.97823736260566507"/>
    <n v="2.1762637394334889E-2"/>
    <x v="9"/>
  </r>
  <r>
    <n v="2"/>
    <n v="64"/>
    <n v="2"/>
    <n v="1"/>
    <n v="3"/>
    <n v="3"/>
    <n v="0"/>
    <n v="10600"/>
    <n v="4"/>
    <n v="1"/>
    <n v="0.97825535888431314"/>
    <n v="2.174464111568682E-2"/>
    <x v="9"/>
  </r>
  <r>
    <n v="4"/>
    <n v="72"/>
    <n v="2"/>
    <n v="1"/>
    <n v="0"/>
    <n v="2"/>
    <n v="2"/>
    <n v="3000"/>
    <n v="3"/>
    <n v="0"/>
    <n v="0.97835609002619262"/>
    <n v="2.1643909973807419E-2"/>
    <x v="9"/>
  </r>
  <r>
    <n v="4"/>
    <n v="65"/>
    <n v="4"/>
    <n v="2"/>
    <n v="3"/>
    <n v="3"/>
    <n v="2"/>
    <n v="250"/>
    <n v="19"/>
    <n v="0"/>
    <n v="0.9783877971509799"/>
    <n v="2.1612202849020139E-2"/>
    <x v="9"/>
  </r>
  <r>
    <n v="4"/>
    <n v="72"/>
    <n v="2"/>
    <n v="1"/>
    <n v="0"/>
    <n v="4"/>
    <n v="2"/>
    <n v="1500"/>
    <n v="5"/>
    <n v="0"/>
    <n v="0.97858414484545209"/>
    <n v="2.1415855154547941E-2"/>
    <x v="9"/>
  </r>
  <r>
    <n v="5"/>
    <n v="72"/>
    <n v="1"/>
    <n v="2"/>
    <n v="3"/>
    <n v="3"/>
    <n v="1"/>
    <n v="32050"/>
    <n v="12"/>
    <n v="0"/>
    <n v="0.97864715557967097"/>
    <n v="2.1352844420329021E-2"/>
    <x v="9"/>
  </r>
  <r>
    <n v="3"/>
    <n v="74"/>
    <n v="1"/>
    <n v="0"/>
    <n v="3"/>
    <n v="3"/>
    <n v="0"/>
    <n v="6053.35"/>
    <n v="5"/>
    <n v="0"/>
    <n v="0.97913683662784479"/>
    <n v="2.0863163372155259E-2"/>
    <x v="9"/>
  </r>
  <r>
    <n v="4"/>
    <n v="69"/>
    <n v="2"/>
    <n v="2"/>
    <n v="1"/>
    <n v="7"/>
    <n v="0"/>
    <n v="16053.34"/>
    <n v="6"/>
    <n v="0"/>
    <n v="0.97954910887030011"/>
    <n v="2.0450891129699861E-2"/>
    <x v="9"/>
  </r>
  <r>
    <n v="2"/>
    <n v="72"/>
    <n v="2"/>
    <n v="0"/>
    <n v="0"/>
    <n v="2"/>
    <n v="0"/>
    <n v="9600"/>
    <n v="28"/>
    <n v="0"/>
    <n v="0.97961426029301446"/>
    <n v="2.0385739706985571E-2"/>
    <x v="9"/>
  </r>
  <r>
    <n v="2"/>
    <n v="67"/>
    <n v="5"/>
    <n v="0"/>
    <n v="3"/>
    <n v="3"/>
    <n v="2"/>
    <n v="1000"/>
    <n v="5"/>
    <n v="0"/>
    <n v="0.9796190282872671"/>
    <n v="2.038097171273287E-2"/>
    <x v="9"/>
  </r>
  <r>
    <n v="4"/>
    <n v="73"/>
    <n v="3"/>
    <n v="1"/>
    <n v="0"/>
    <n v="2"/>
    <n v="2"/>
    <n v="3000"/>
    <n v="18"/>
    <n v="0"/>
    <n v="0.97973426305791422"/>
    <n v="2.0265736942085819E-2"/>
    <x v="9"/>
  </r>
  <r>
    <n v="4"/>
    <n v="68"/>
    <n v="4"/>
    <n v="2"/>
    <n v="1"/>
    <n v="7"/>
    <n v="0"/>
    <n v="5998.22"/>
    <n v="4"/>
    <n v="0"/>
    <n v="0.97977232712457729"/>
    <n v="2.022767287542265E-2"/>
    <x v="9"/>
  </r>
  <r>
    <n v="4"/>
    <n v="74"/>
    <n v="1"/>
    <n v="1"/>
    <n v="3"/>
    <n v="3"/>
    <n v="0"/>
    <n v="12000"/>
    <n v="5"/>
    <n v="0"/>
    <n v="0.97998124499202244"/>
    <n v="2.001875500797759E-2"/>
    <x v="9"/>
  </r>
  <r>
    <n v="6"/>
    <n v="76"/>
    <n v="4"/>
    <n v="2"/>
    <n v="3"/>
    <n v="3"/>
    <n v="0"/>
    <n v="12053.35"/>
    <n v="6"/>
    <n v="0"/>
    <n v="0.98009718056330919"/>
    <n v="1.9902819436690849E-2"/>
    <x v="9"/>
  </r>
  <r>
    <n v="3"/>
    <n v="69"/>
    <n v="3"/>
    <n v="1"/>
    <n v="0"/>
    <n v="4"/>
    <n v="2"/>
    <n v="1000"/>
    <n v="8"/>
    <n v="0"/>
    <n v="0.98032284213284349"/>
    <n v="1.9677157867156521E-2"/>
    <x v="9"/>
  </r>
  <r>
    <n v="4"/>
    <n v="72"/>
    <n v="1"/>
    <n v="1"/>
    <n v="3"/>
    <n v="3"/>
    <n v="3"/>
    <n v="0.01"/>
    <n v="8"/>
    <n v="0"/>
    <n v="0.98050730767297123"/>
    <n v="1.9492692327028761E-2"/>
    <x v="9"/>
  </r>
  <r>
    <n v="5"/>
    <n v="75"/>
    <n v="5"/>
    <n v="1"/>
    <n v="3"/>
    <n v="3"/>
    <n v="2"/>
    <n v="1000"/>
    <n v="5"/>
    <n v="0"/>
    <n v="0.98051203053855762"/>
    <n v="1.9487969461442371E-2"/>
    <x v="9"/>
  </r>
  <r>
    <n v="4"/>
    <n v="73"/>
    <n v="1"/>
    <n v="1"/>
    <n v="3"/>
    <n v="3"/>
    <n v="2"/>
    <n v="500"/>
    <n v="12"/>
    <n v="0"/>
    <n v="0.9807016151740362"/>
    <n v="1.9298384825963761E-2"/>
    <x v="9"/>
  </r>
  <r>
    <n v="5"/>
    <n v="79"/>
    <n v="2"/>
    <n v="1"/>
    <n v="0"/>
    <n v="11"/>
    <n v="0"/>
    <n v="12000"/>
    <n v="1"/>
    <n v="0"/>
    <n v="0.98088721381018484"/>
    <n v="1.9112786189815111E-2"/>
    <x v="9"/>
  </r>
  <r>
    <n v="4"/>
    <n v="74"/>
    <n v="2"/>
    <n v="1"/>
    <n v="3"/>
    <n v="8"/>
    <n v="0"/>
    <n v="6000"/>
    <n v="2"/>
    <n v="0"/>
    <n v="0.98125924679881216"/>
    <n v="1.8740753201187791E-2"/>
    <x v="9"/>
  </r>
  <r>
    <n v="4"/>
    <n v="75"/>
    <n v="3"/>
    <n v="1"/>
    <n v="1"/>
    <n v="7"/>
    <n v="0"/>
    <n v="15000"/>
    <n v="5"/>
    <n v="0"/>
    <n v="0.98136525862201052"/>
    <n v="1.8634741377989511E-2"/>
    <x v="9"/>
  </r>
  <r>
    <n v="5"/>
    <n v="77"/>
    <n v="4"/>
    <n v="1"/>
    <n v="3"/>
    <n v="3"/>
    <n v="2"/>
    <n v="3000"/>
    <n v="23"/>
    <n v="0"/>
    <n v="0.98176427675285127"/>
    <n v="1.8235723247148741E-2"/>
    <x v="9"/>
  </r>
  <r>
    <n v="3"/>
    <n v="66"/>
    <n v="3"/>
    <n v="2"/>
    <n v="3"/>
    <n v="3"/>
    <n v="0"/>
    <n v="10053.35"/>
    <n v="8"/>
    <n v="0"/>
    <n v="0.98202354852915896"/>
    <n v="1.7976451470840999E-2"/>
    <x v="9"/>
  </r>
  <r>
    <n v="3"/>
    <n v="72"/>
    <n v="3"/>
    <n v="1"/>
    <n v="0"/>
    <n v="4"/>
    <n v="1"/>
    <n v="25001.7"/>
    <n v="4"/>
    <n v="0"/>
    <n v="0.98221405287227936"/>
    <n v="1.7785947127720591E-2"/>
    <x v="9"/>
  </r>
  <r>
    <n v="6"/>
    <n v="78"/>
    <n v="2"/>
    <n v="2"/>
    <n v="0"/>
    <n v="11"/>
    <n v="2"/>
    <n v="3000"/>
    <n v="2"/>
    <n v="0"/>
    <n v="0.98255193098392968"/>
    <n v="1.7448069016070371E-2"/>
    <x v="9"/>
  </r>
  <r>
    <n v="4"/>
    <n v="75"/>
    <n v="0"/>
    <n v="1"/>
    <n v="3"/>
    <n v="3"/>
    <n v="3"/>
    <n v="0.01"/>
    <n v="8"/>
    <n v="0"/>
    <n v="0.98324643616647867"/>
    <n v="1.6753563833521341E-2"/>
    <x v="9"/>
  </r>
  <r>
    <n v="3"/>
    <n v="75"/>
    <n v="5"/>
    <n v="0"/>
    <n v="4"/>
    <n v="9"/>
    <n v="0"/>
    <n v="6000"/>
    <n v="2"/>
    <n v="0"/>
    <n v="0.98336337909162064"/>
    <n v="1.6636620908379401E-2"/>
    <x v="9"/>
  </r>
  <r>
    <n v="4"/>
    <n v="77"/>
    <n v="1"/>
    <n v="1"/>
    <n v="3"/>
    <n v="3"/>
    <n v="0"/>
    <n v="6000"/>
    <n v="5"/>
    <n v="0"/>
    <n v="0.98339083696685281"/>
    <n v="1.66091630331472E-2"/>
    <x v="9"/>
  </r>
  <r>
    <n v="4"/>
    <n v="74"/>
    <n v="5"/>
    <n v="1"/>
    <n v="3"/>
    <n v="3"/>
    <n v="2"/>
    <n v="1500"/>
    <n v="13"/>
    <n v="0"/>
    <n v="0.9835482368060241"/>
    <n v="1.645176319397593E-2"/>
    <x v="9"/>
  </r>
  <r>
    <n v="4"/>
    <n v="77"/>
    <n v="1"/>
    <n v="1"/>
    <n v="3"/>
    <n v="8"/>
    <n v="0"/>
    <n v="12000"/>
    <n v="9"/>
    <n v="0"/>
    <n v="0.98359602646903088"/>
    <n v="1.6403973530969122E-2"/>
    <x v="9"/>
  </r>
  <r>
    <n v="3"/>
    <n v="78"/>
    <n v="3"/>
    <n v="0"/>
    <n v="1"/>
    <n v="12"/>
    <n v="0"/>
    <n v="9035.4599999999991"/>
    <n v="8"/>
    <n v="0"/>
    <n v="0.98410739696220206"/>
    <n v="1.5892603037797989E-2"/>
    <x v="9"/>
  </r>
  <r>
    <n v="3"/>
    <n v="77"/>
    <n v="2"/>
    <n v="0"/>
    <n v="3"/>
    <n v="3"/>
    <n v="2"/>
    <n v="3000"/>
    <n v="19"/>
    <n v="0"/>
    <n v="0.98417886831347723"/>
    <n v="1.5821131686522719E-2"/>
    <x v="9"/>
  </r>
  <r>
    <n v="5"/>
    <n v="76"/>
    <n v="4"/>
    <n v="2"/>
    <n v="0"/>
    <n v="4"/>
    <n v="2"/>
    <n v="3000"/>
    <n v="11"/>
    <n v="0"/>
    <n v="0.98458541289597012"/>
    <n v="1.5414587104029841E-2"/>
    <x v="9"/>
  </r>
  <r>
    <n v="4"/>
    <n v="71"/>
    <n v="5"/>
    <n v="2"/>
    <n v="0"/>
    <n v="11"/>
    <n v="2"/>
    <n v="2500"/>
    <n v="6"/>
    <n v="0"/>
    <n v="0.98480854397763007"/>
    <n v="1.519145602236995E-2"/>
    <x v="9"/>
  </r>
  <r>
    <n v="3"/>
    <n v="73"/>
    <n v="0"/>
    <n v="1"/>
    <n v="3"/>
    <n v="8"/>
    <n v="2"/>
    <n v="1000"/>
    <n v="4"/>
    <n v="0"/>
    <n v="0.98497029108132028"/>
    <n v="1.5029708918679739E-2"/>
    <x v="9"/>
  </r>
  <r>
    <n v="5"/>
    <n v="78"/>
    <n v="3"/>
    <n v="2"/>
    <n v="0"/>
    <n v="4"/>
    <n v="2"/>
    <n v="1000"/>
    <n v="18"/>
    <n v="0"/>
    <n v="0.98586935730648106"/>
    <n v="1.413064269351891E-2"/>
    <x v="9"/>
  </r>
  <r>
    <n v="2"/>
    <n v="75"/>
    <n v="4"/>
    <n v="0"/>
    <n v="2"/>
    <n v="1"/>
    <n v="2"/>
    <n v="4085"/>
    <n v="23"/>
    <n v="0"/>
    <n v="0.98607632307785942"/>
    <n v="1.3923676922140631E-2"/>
    <x v="9"/>
  </r>
  <r>
    <n v="2"/>
    <n v="73"/>
    <n v="5"/>
    <n v="0"/>
    <n v="3"/>
    <n v="8"/>
    <n v="2"/>
    <n v="2000"/>
    <n v="0"/>
    <n v="0"/>
    <n v="0.9861546666451374"/>
    <n v="1.3845333354862641E-2"/>
    <x v="9"/>
  </r>
  <r>
    <n v="2"/>
    <n v="75"/>
    <n v="5"/>
    <n v="0"/>
    <n v="0"/>
    <n v="4"/>
    <n v="2"/>
    <n v="50"/>
    <n v="7"/>
    <n v="0"/>
    <n v="0.98625346701971117"/>
    <n v="1.3746532980288859E-2"/>
    <x v="9"/>
  </r>
  <r>
    <n v="3"/>
    <n v="70"/>
    <n v="2"/>
    <n v="2"/>
    <n v="1"/>
    <n v="7"/>
    <n v="2"/>
    <n v="4000"/>
    <n v="5"/>
    <n v="0"/>
    <n v="0.98636900516429948"/>
    <n v="1.3630994835700461E-2"/>
    <x v="9"/>
  </r>
  <r>
    <n v="4"/>
    <n v="73"/>
    <n v="4"/>
    <n v="2"/>
    <n v="2"/>
    <n v="6"/>
    <n v="2"/>
    <n v="3052.66"/>
    <n v="9"/>
    <n v="0"/>
    <n v="0.98648589810153176"/>
    <n v="1.351410189846828E-2"/>
    <x v="9"/>
  </r>
  <r>
    <n v="5"/>
    <n v="78"/>
    <n v="5"/>
    <n v="2"/>
    <n v="0"/>
    <n v="4"/>
    <n v="2"/>
    <n v="2035.1"/>
    <n v="5"/>
    <n v="0"/>
    <n v="0.98678136726285093"/>
    <n v="1.321863273714903E-2"/>
    <x v="9"/>
  </r>
  <r>
    <n v="2"/>
    <n v="67"/>
    <n v="0"/>
    <n v="2"/>
    <n v="0"/>
    <n v="11"/>
    <n v="3"/>
    <n v="0.01"/>
    <n v="8"/>
    <n v="0"/>
    <n v="0.98703444793901263"/>
    <n v="1.2965552060987351E-2"/>
    <x v="9"/>
  </r>
  <r>
    <n v="4"/>
    <n v="74"/>
    <n v="4"/>
    <n v="2"/>
    <n v="3"/>
    <n v="3"/>
    <n v="2"/>
    <n v="1452.75"/>
    <n v="31"/>
    <n v="0"/>
    <n v="0.98709118188330103"/>
    <n v="1.290881811669899E-2"/>
    <x v="9"/>
  </r>
  <r>
    <n v="4"/>
    <n v="74"/>
    <n v="3"/>
    <n v="2"/>
    <n v="3"/>
    <n v="3"/>
    <n v="2"/>
    <n v="4035.57"/>
    <n v="6"/>
    <n v="0"/>
    <n v="0.98711234845402251"/>
    <n v="1.288765154597751E-2"/>
    <x v="9"/>
  </r>
  <r>
    <n v="3"/>
    <n v="77"/>
    <n v="2"/>
    <n v="1"/>
    <n v="3"/>
    <n v="3"/>
    <n v="0"/>
    <n v="12000"/>
    <n v="2"/>
    <n v="0"/>
    <n v="0.9871978637858394"/>
    <n v="1.2802136214160599E-2"/>
    <x v="9"/>
  </r>
  <r>
    <n v="2"/>
    <n v="66"/>
    <n v="3"/>
    <n v="2"/>
    <n v="3"/>
    <n v="8"/>
    <n v="2"/>
    <n v="1000"/>
    <n v="5"/>
    <n v="0"/>
    <n v="0.98760734331240807"/>
    <n v="1.2392656687591879E-2"/>
    <x v="9"/>
  </r>
  <r>
    <n v="3"/>
    <n v="73"/>
    <n v="4"/>
    <n v="2"/>
    <n v="0"/>
    <n v="4"/>
    <n v="0"/>
    <n v="6000"/>
    <n v="2"/>
    <n v="0"/>
    <n v="0.98766041985720787"/>
    <n v="1.233958014279209E-2"/>
    <x v="9"/>
  </r>
  <r>
    <n v="3"/>
    <n v="79"/>
    <n v="4"/>
    <n v="1"/>
    <n v="3"/>
    <n v="3"/>
    <n v="0"/>
    <n v="5420"/>
    <n v="20"/>
    <n v="0"/>
    <n v="0.98907462234273502"/>
    <n v="1.0925377657264951E-2"/>
    <x v="9"/>
  </r>
  <r>
    <n v="4"/>
    <n v="79"/>
    <n v="3"/>
    <n v="2"/>
    <n v="1"/>
    <n v="7"/>
    <n v="0"/>
    <n v="10136"/>
    <n v="2"/>
    <n v="0"/>
    <n v="0.98914031509853284"/>
    <n v="1.085968490146721E-2"/>
    <x v="9"/>
  </r>
  <r>
    <n v="2"/>
    <n v="67"/>
    <n v="5"/>
    <n v="2"/>
    <n v="4"/>
    <n v="9"/>
    <n v="2"/>
    <n v="1300"/>
    <n v="9"/>
    <n v="0"/>
    <n v="0.98922027722219086"/>
    <n v="1.0779722777809111E-2"/>
    <x v="9"/>
  </r>
  <r>
    <n v="2"/>
    <n v="74"/>
    <n v="1"/>
    <n v="2"/>
    <n v="0"/>
    <n v="11"/>
    <n v="0"/>
    <n v="13648.19"/>
    <n v="17"/>
    <n v="0"/>
    <n v="0.99018846392704196"/>
    <n v="9.8115360729580711E-3"/>
    <x v="9"/>
  </r>
  <r>
    <n v="3"/>
    <n v="78"/>
    <n v="0"/>
    <n v="2"/>
    <n v="3"/>
    <n v="3"/>
    <n v="0"/>
    <n v="6000.01"/>
    <n v="16"/>
    <n v="0"/>
    <n v="0.99043448102397813"/>
    <n v="9.5655189760219025E-3"/>
    <x v="9"/>
  </r>
  <r>
    <n v="2"/>
    <n v="75"/>
    <n v="2"/>
    <n v="2"/>
    <n v="2"/>
    <n v="6"/>
    <n v="0"/>
    <n v="7000"/>
    <n v="7"/>
    <n v="0"/>
    <n v="0.99145457525698866"/>
    <n v="8.5454247430113411E-3"/>
    <x v="9"/>
  </r>
  <r>
    <n v="0"/>
    <n v="72"/>
    <n v="0"/>
    <n v="1"/>
    <n v="3"/>
    <n v="3"/>
    <n v="2"/>
    <n v="1250"/>
    <n v="9"/>
    <n v="0"/>
    <n v="0.99199206417367114"/>
    <n v="8.0079358263288568E-3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060260-1C34-4ECA-A374-BFB0BCECF1C9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Decile">
  <location ref="B2:E13" firstHeaderRow="0" firstDataRow="1" firstDataCol="1"/>
  <pivotFields count="1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axis="axisRow" dataField="1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" fld="12" subtotal="count" baseField="12" baseItem="0"/>
    <dataField name="Prob Threshold" fld="11" subtotal="min" baseField="12" baseItem="0" numFmtId="10"/>
    <dataField name="Correct Prediction" fld="9" baseField="12" baseItem="0"/>
  </dataFields>
  <formats count="14">
    <format dxfId="13">
      <pivotArea collapsedLevelsAreSubtotals="1" fieldPosition="0">
        <references count="1">
          <reference field="12" count="0"/>
        </references>
      </pivotArea>
    </format>
    <format dxfId="12">
      <pivotArea field="12" type="button" dataOnly="0" labelOnly="1" outline="0" axis="axisRow" fieldPosition="0"/>
    </format>
    <format dxfId="11">
      <pivotArea dataOnly="0" labelOnly="1" fieldPosition="0">
        <references count="1">
          <reference field="12" count="0"/>
        </references>
      </pivotArea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collapsedLevelsAreSubtotals="1" fieldPosition="0">
        <references count="1">
          <reference field="12" count="1">
            <x v="2"/>
          </reference>
        </references>
      </pivotArea>
    </format>
    <format dxfId="6">
      <pivotArea dataOnly="0" labelOnly="1" fieldPosition="0">
        <references count="1">
          <reference field="12" count="1">
            <x v="2"/>
          </reference>
        </references>
      </pivotArea>
    </format>
    <format dxfId="5">
      <pivotArea collapsedLevelsAreSubtotals="1" fieldPosition="0">
        <references count="1">
          <reference field="12" count="1">
            <x v="3"/>
          </reference>
        </references>
      </pivotArea>
    </format>
    <format dxfId="4">
      <pivotArea dataOnly="0" labelOnly="1" fieldPosition="0">
        <references count="1">
          <reference field="12" count="1">
            <x v="3"/>
          </reference>
        </references>
      </pivotArea>
    </format>
    <format dxfId="3">
      <pivotArea collapsedLevelsAreSubtotals="1" fieldPosition="0">
        <references count="1">
          <reference field="12" count="1">
            <x v="2"/>
          </reference>
        </references>
      </pivotArea>
    </format>
    <format dxfId="2">
      <pivotArea dataOnly="0" labelOnly="1" fieldPosition="0">
        <references count="1">
          <reference field="12" count="1">
            <x v="2"/>
          </reference>
        </references>
      </pivotArea>
    </format>
    <format dxfId="1">
      <pivotArea collapsedLevelsAreSubtotals="1" fieldPosition="0">
        <references count="1">
          <reference field="12" count="1">
            <x v="3"/>
          </reference>
        </references>
      </pivotArea>
    </format>
    <format dxfId="0">
      <pivotArea dataOnly="0" labelOnly="1" fieldPosition="0">
        <references count="1">
          <reference field="12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446"/>
  <sheetViews>
    <sheetView workbookViewId="0">
      <selection activeCell="A2" sqref="A2:A4446"/>
    </sheetView>
  </sheetViews>
  <sheetFormatPr defaultRowHeight="14.5" x14ac:dyDescent="0.35"/>
  <cols>
    <col min="11" max="11" width="19" bestFit="1" customWidth="1"/>
    <col min="12" max="13" width="11.36328125" style="4" bestFit="1" customWidth="1"/>
    <col min="14" max="14" width="10.36328125" bestFit="1" customWidth="1"/>
  </cols>
  <sheetData>
    <row r="1" spans="1:14" x14ac:dyDescent="0.35">
      <c r="B1" s="1">
        <v>0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 s="1">
        <v>6</v>
      </c>
      <c r="I1" s="1">
        <v>7</v>
      </c>
      <c r="J1" s="1">
        <v>8</v>
      </c>
      <c r="K1" s="1" t="s">
        <v>0</v>
      </c>
      <c r="L1" s="3" t="s">
        <v>1</v>
      </c>
      <c r="M1" s="3" t="s">
        <v>2</v>
      </c>
      <c r="N1" s="2" t="s">
        <v>3</v>
      </c>
    </row>
    <row r="2" spans="1:14" x14ac:dyDescent="0.35">
      <c r="A2" s="1">
        <v>4134</v>
      </c>
      <c r="B2">
        <v>29</v>
      </c>
      <c r="C2">
        <v>29</v>
      </c>
      <c r="D2">
        <v>2</v>
      </c>
      <c r="E2">
        <v>0</v>
      </c>
      <c r="F2">
        <v>3</v>
      </c>
      <c r="G2">
        <v>3</v>
      </c>
      <c r="H2">
        <v>0</v>
      </c>
      <c r="I2">
        <v>13500</v>
      </c>
      <c r="J2">
        <v>2</v>
      </c>
      <c r="K2">
        <v>1</v>
      </c>
      <c r="L2" s="4">
        <v>5.6099595884860909E-3</v>
      </c>
      <c r="M2" s="4">
        <v>0.99439004041151391</v>
      </c>
      <c r="N2">
        <v>1</v>
      </c>
    </row>
    <row r="3" spans="1:14" x14ac:dyDescent="0.35">
      <c r="A3" s="1">
        <v>317</v>
      </c>
      <c r="B3">
        <v>31</v>
      </c>
      <c r="C3">
        <v>35</v>
      </c>
      <c r="D3">
        <v>5</v>
      </c>
      <c r="E3">
        <v>1</v>
      </c>
      <c r="F3">
        <v>1</v>
      </c>
      <c r="G3">
        <v>7</v>
      </c>
      <c r="H3">
        <v>2</v>
      </c>
      <c r="I3">
        <v>300</v>
      </c>
      <c r="J3">
        <v>8</v>
      </c>
      <c r="K3">
        <v>1</v>
      </c>
      <c r="L3" s="4">
        <v>7.6687378830971884E-3</v>
      </c>
      <c r="M3" s="4">
        <v>0.99233126211690281</v>
      </c>
      <c r="N3">
        <v>1</v>
      </c>
    </row>
    <row r="4" spans="1:14" x14ac:dyDescent="0.35">
      <c r="A4" s="1">
        <v>3531</v>
      </c>
      <c r="B4">
        <v>30</v>
      </c>
      <c r="C4">
        <v>38</v>
      </c>
      <c r="D4">
        <v>4</v>
      </c>
      <c r="E4">
        <v>0</v>
      </c>
      <c r="F4">
        <v>2</v>
      </c>
      <c r="G4">
        <v>1</v>
      </c>
      <c r="H4">
        <v>2</v>
      </c>
      <c r="I4">
        <v>1000</v>
      </c>
      <c r="J4">
        <v>2</v>
      </c>
      <c r="K4">
        <v>1</v>
      </c>
      <c r="L4" s="4">
        <v>8.5065561564671155E-3</v>
      </c>
      <c r="M4" s="4">
        <v>0.99149344384353288</v>
      </c>
      <c r="N4">
        <v>1</v>
      </c>
    </row>
    <row r="5" spans="1:14" x14ac:dyDescent="0.35">
      <c r="A5" s="1">
        <v>3041</v>
      </c>
      <c r="B5">
        <v>28</v>
      </c>
      <c r="C5">
        <v>33</v>
      </c>
      <c r="D5">
        <v>5</v>
      </c>
      <c r="E5">
        <v>0</v>
      </c>
      <c r="F5">
        <v>0</v>
      </c>
      <c r="G5">
        <v>11</v>
      </c>
      <c r="H5">
        <v>3</v>
      </c>
      <c r="I5">
        <v>0.01</v>
      </c>
      <c r="J5">
        <v>8</v>
      </c>
      <c r="K5">
        <v>1</v>
      </c>
      <c r="L5" s="4">
        <v>1.088364196636382E-2</v>
      </c>
      <c r="M5" s="4">
        <v>0.98911635803363618</v>
      </c>
      <c r="N5">
        <v>1</v>
      </c>
    </row>
    <row r="6" spans="1:14" x14ac:dyDescent="0.35">
      <c r="A6" s="1">
        <v>3643</v>
      </c>
      <c r="B6">
        <v>25</v>
      </c>
      <c r="C6">
        <v>29</v>
      </c>
      <c r="D6">
        <v>0</v>
      </c>
      <c r="E6">
        <v>1</v>
      </c>
      <c r="F6">
        <v>0</v>
      </c>
      <c r="G6">
        <v>4</v>
      </c>
      <c r="H6">
        <v>0</v>
      </c>
      <c r="I6">
        <v>6000</v>
      </c>
      <c r="J6">
        <v>2</v>
      </c>
      <c r="K6">
        <v>1</v>
      </c>
      <c r="L6" s="4">
        <v>1.7505982545286462E-2</v>
      </c>
      <c r="M6" s="4">
        <v>0.98249401745471354</v>
      </c>
      <c r="N6">
        <v>1</v>
      </c>
    </row>
    <row r="7" spans="1:14" x14ac:dyDescent="0.35">
      <c r="A7" s="1">
        <v>3816</v>
      </c>
      <c r="B7">
        <v>25</v>
      </c>
      <c r="C7">
        <v>38</v>
      </c>
      <c r="D7">
        <v>2</v>
      </c>
      <c r="E7">
        <v>0</v>
      </c>
      <c r="F7">
        <v>0</v>
      </c>
      <c r="G7">
        <v>4</v>
      </c>
      <c r="H7">
        <v>2</v>
      </c>
      <c r="I7">
        <v>2000</v>
      </c>
      <c r="J7">
        <v>4</v>
      </c>
      <c r="K7">
        <v>1</v>
      </c>
      <c r="L7" s="4">
        <v>2.5656628607103941E-2</v>
      </c>
      <c r="M7" s="4">
        <v>0.97434337139289606</v>
      </c>
      <c r="N7">
        <v>1</v>
      </c>
    </row>
    <row r="8" spans="1:14" x14ac:dyDescent="0.35">
      <c r="A8" s="1">
        <v>3404</v>
      </c>
      <c r="B8">
        <v>24</v>
      </c>
      <c r="C8">
        <v>35</v>
      </c>
      <c r="D8">
        <v>2</v>
      </c>
      <c r="E8">
        <v>0</v>
      </c>
      <c r="F8">
        <v>1</v>
      </c>
      <c r="G8">
        <v>7</v>
      </c>
      <c r="H8">
        <v>2</v>
      </c>
      <c r="I8">
        <v>1000</v>
      </c>
      <c r="J8">
        <v>5</v>
      </c>
      <c r="K8">
        <v>1</v>
      </c>
      <c r="L8" s="4">
        <v>2.8510798912387281E-2</v>
      </c>
      <c r="M8" s="4">
        <v>0.97148920108761272</v>
      </c>
      <c r="N8">
        <v>1</v>
      </c>
    </row>
    <row r="9" spans="1:14" x14ac:dyDescent="0.35">
      <c r="A9" s="1">
        <v>4094</v>
      </c>
      <c r="B9">
        <v>23</v>
      </c>
      <c r="C9">
        <v>34</v>
      </c>
      <c r="D9">
        <v>3</v>
      </c>
      <c r="E9">
        <v>0</v>
      </c>
      <c r="F9">
        <v>0</v>
      </c>
      <c r="G9">
        <v>11</v>
      </c>
      <c r="H9">
        <v>2</v>
      </c>
      <c r="I9">
        <v>1000</v>
      </c>
      <c r="J9">
        <v>2</v>
      </c>
      <c r="K9">
        <v>1</v>
      </c>
      <c r="L9" s="4">
        <v>3.4847190365598801E-2</v>
      </c>
      <c r="M9" s="4">
        <v>0.9651528096344012</v>
      </c>
      <c r="N9">
        <v>1</v>
      </c>
    </row>
    <row r="10" spans="1:14" x14ac:dyDescent="0.35">
      <c r="A10" s="1">
        <v>1508</v>
      </c>
      <c r="B10">
        <v>20</v>
      </c>
      <c r="C10">
        <v>30</v>
      </c>
      <c r="D10">
        <v>2</v>
      </c>
      <c r="E10">
        <v>0</v>
      </c>
      <c r="F10">
        <v>1</v>
      </c>
      <c r="G10">
        <v>7</v>
      </c>
      <c r="H10">
        <v>2</v>
      </c>
      <c r="I10">
        <v>600</v>
      </c>
      <c r="J10">
        <v>4</v>
      </c>
      <c r="K10">
        <v>1</v>
      </c>
      <c r="L10" s="4">
        <v>5.4545986491610909E-2</v>
      </c>
      <c r="M10" s="4">
        <v>0.94545401350838909</v>
      </c>
      <c r="N10">
        <v>1</v>
      </c>
    </row>
    <row r="11" spans="1:14" x14ac:dyDescent="0.35">
      <c r="A11" s="1">
        <v>985</v>
      </c>
      <c r="B11">
        <v>24</v>
      </c>
      <c r="C11">
        <v>46</v>
      </c>
      <c r="D11">
        <v>5</v>
      </c>
      <c r="E11">
        <v>0</v>
      </c>
      <c r="F11">
        <v>0</v>
      </c>
      <c r="G11">
        <v>4</v>
      </c>
      <c r="H11">
        <v>2</v>
      </c>
      <c r="I11">
        <v>2000</v>
      </c>
      <c r="J11">
        <v>4</v>
      </c>
      <c r="K11">
        <v>1</v>
      </c>
      <c r="L11" s="4">
        <v>5.5569402813627322E-2</v>
      </c>
      <c r="M11" s="4">
        <v>0.94443059718637268</v>
      </c>
      <c r="N11">
        <v>1</v>
      </c>
    </row>
    <row r="12" spans="1:14" x14ac:dyDescent="0.35">
      <c r="A12" s="1">
        <v>3255</v>
      </c>
      <c r="B12">
        <v>21</v>
      </c>
      <c r="C12">
        <v>36</v>
      </c>
      <c r="D12">
        <v>2</v>
      </c>
      <c r="E12">
        <v>0</v>
      </c>
      <c r="F12">
        <v>4</v>
      </c>
      <c r="G12">
        <v>9</v>
      </c>
      <c r="H12">
        <v>0</v>
      </c>
      <c r="I12">
        <v>20000</v>
      </c>
      <c r="J12">
        <v>1</v>
      </c>
      <c r="K12">
        <v>1</v>
      </c>
      <c r="L12" s="4">
        <v>5.9834793779859452E-2</v>
      </c>
      <c r="M12" s="4">
        <v>0.94016520622014055</v>
      </c>
      <c r="N12">
        <v>1</v>
      </c>
    </row>
    <row r="13" spans="1:14" x14ac:dyDescent="0.35">
      <c r="A13" s="1">
        <v>2406</v>
      </c>
      <c r="B13">
        <v>22</v>
      </c>
      <c r="C13">
        <v>41</v>
      </c>
      <c r="D13">
        <v>3</v>
      </c>
      <c r="E13">
        <v>0</v>
      </c>
      <c r="F13">
        <v>0</v>
      </c>
      <c r="G13">
        <v>11</v>
      </c>
      <c r="H13">
        <v>0</v>
      </c>
      <c r="I13">
        <v>6000</v>
      </c>
      <c r="J13">
        <v>1</v>
      </c>
      <c r="K13">
        <v>1</v>
      </c>
      <c r="L13" s="4">
        <v>6.0020241977632893E-2</v>
      </c>
      <c r="M13" s="4">
        <v>0.93997975802236711</v>
      </c>
      <c r="N13">
        <v>1</v>
      </c>
    </row>
    <row r="14" spans="1:14" x14ac:dyDescent="0.35">
      <c r="A14" s="1">
        <v>1651</v>
      </c>
      <c r="B14">
        <v>20</v>
      </c>
      <c r="C14">
        <v>33</v>
      </c>
      <c r="D14">
        <v>1</v>
      </c>
      <c r="E14">
        <v>0</v>
      </c>
      <c r="F14">
        <v>3</v>
      </c>
      <c r="G14">
        <v>8</v>
      </c>
      <c r="H14">
        <v>2</v>
      </c>
      <c r="I14">
        <v>50</v>
      </c>
      <c r="J14">
        <v>11</v>
      </c>
      <c r="K14">
        <v>1</v>
      </c>
      <c r="L14" s="4">
        <v>6.6349053072172426E-2</v>
      </c>
      <c r="M14" s="4">
        <v>0.93365094692782757</v>
      </c>
      <c r="N14">
        <v>1</v>
      </c>
    </row>
    <row r="15" spans="1:14" x14ac:dyDescent="0.35">
      <c r="A15" s="1">
        <v>1881</v>
      </c>
      <c r="B15">
        <v>21</v>
      </c>
      <c r="C15">
        <v>36</v>
      </c>
      <c r="D15">
        <v>5</v>
      </c>
      <c r="E15">
        <v>0</v>
      </c>
      <c r="F15">
        <v>1</v>
      </c>
      <c r="G15">
        <v>12</v>
      </c>
      <c r="H15">
        <v>3</v>
      </c>
      <c r="I15">
        <v>0.01</v>
      </c>
      <c r="J15">
        <v>8</v>
      </c>
      <c r="K15">
        <v>1</v>
      </c>
      <c r="L15" s="4">
        <v>6.9843026242164652E-2</v>
      </c>
      <c r="M15" s="4">
        <v>0.93015697375783535</v>
      </c>
      <c r="N15">
        <v>1</v>
      </c>
    </row>
    <row r="16" spans="1:14" x14ac:dyDescent="0.35">
      <c r="A16" s="1">
        <v>427</v>
      </c>
      <c r="B16">
        <v>24</v>
      </c>
      <c r="C16">
        <v>51</v>
      </c>
      <c r="D16">
        <v>3</v>
      </c>
      <c r="E16">
        <v>0</v>
      </c>
      <c r="F16">
        <v>3</v>
      </c>
      <c r="G16">
        <v>8</v>
      </c>
      <c r="H16">
        <v>0</v>
      </c>
      <c r="I16">
        <v>11500</v>
      </c>
      <c r="J16">
        <v>1</v>
      </c>
      <c r="K16">
        <v>1</v>
      </c>
      <c r="L16" s="4">
        <v>7.0638082681981462E-2</v>
      </c>
      <c r="M16" s="4">
        <v>0.92936191731801854</v>
      </c>
      <c r="N16">
        <v>1</v>
      </c>
    </row>
    <row r="17" spans="1:14" x14ac:dyDescent="0.35">
      <c r="A17" s="1">
        <v>2424</v>
      </c>
      <c r="B17">
        <v>20</v>
      </c>
      <c r="C17">
        <v>34</v>
      </c>
      <c r="D17">
        <v>4</v>
      </c>
      <c r="E17">
        <v>0</v>
      </c>
      <c r="F17">
        <v>0</v>
      </c>
      <c r="G17">
        <v>4</v>
      </c>
      <c r="H17">
        <v>3</v>
      </c>
      <c r="I17">
        <v>0.01</v>
      </c>
      <c r="J17">
        <v>5</v>
      </c>
      <c r="K17">
        <v>1</v>
      </c>
      <c r="L17" s="4">
        <v>7.172279344394572E-2</v>
      </c>
      <c r="M17" s="4">
        <v>0.92827720655605428</v>
      </c>
      <c r="N17">
        <v>1</v>
      </c>
    </row>
    <row r="18" spans="1:14" x14ac:dyDescent="0.35">
      <c r="A18" s="1">
        <v>954</v>
      </c>
      <c r="B18">
        <v>21</v>
      </c>
      <c r="C18">
        <v>37</v>
      </c>
      <c r="D18">
        <v>4</v>
      </c>
      <c r="E18">
        <v>0</v>
      </c>
      <c r="F18">
        <v>3</v>
      </c>
      <c r="G18">
        <v>3</v>
      </c>
      <c r="H18">
        <v>3</v>
      </c>
      <c r="I18">
        <v>0.01</v>
      </c>
      <c r="J18">
        <v>10</v>
      </c>
      <c r="K18">
        <v>1</v>
      </c>
      <c r="L18" s="4">
        <v>7.2402452792847849E-2</v>
      </c>
      <c r="M18" s="4">
        <v>0.92759754720715215</v>
      </c>
      <c r="N18">
        <v>1</v>
      </c>
    </row>
    <row r="19" spans="1:14" x14ac:dyDescent="0.35">
      <c r="A19" s="1">
        <v>2267</v>
      </c>
      <c r="B19">
        <v>19</v>
      </c>
      <c r="C19">
        <v>30</v>
      </c>
      <c r="D19">
        <v>2</v>
      </c>
      <c r="E19">
        <v>0</v>
      </c>
      <c r="F19">
        <v>3</v>
      </c>
      <c r="G19">
        <v>3</v>
      </c>
      <c r="H19">
        <v>3</v>
      </c>
      <c r="I19">
        <v>0.01</v>
      </c>
      <c r="J19">
        <v>4</v>
      </c>
      <c r="K19">
        <v>1</v>
      </c>
      <c r="L19" s="4">
        <v>7.3847600225237953E-2</v>
      </c>
      <c r="M19" s="4">
        <v>0.92615239977476205</v>
      </c>
      <c r="N19">
        <v>1</v>
      </c>
    </row>
    <row r="20" spans="1:14" x14ac:dyDescent="0.35">
      <c r="A20" s="1">
        <v>2912</v>
      </c>
      <c r="B20">
        <v>17</v>
      </c>
      <c r="C20">
        <v>23</v>
      </c>
      <c r="D20">
        <v>2</v>
      </c>
      <c r="E20">
        <v>0</v>
      </c>
      <c r="F20">
        <v>3</v>
      </c>
      <c r="G20">
        <v>3</v>
      </c>
      <c r="H20">
        <v>2</v>
      </c>
      <c r="I20">
        <v>800</v>
      </c>
      <c r="J20">
        <v>1</v>
      </c>
      <c r="K20">
        <v>1</v>
      </c>
      <c r="L20" s="4">
        <v>7.5559841834290653E-2</v>
      </c>
      <c r="M20" s="4">
        <v>0.92444015816570935</v>
      </c>
      <c r="N20">
        <v>1</v>
      </c>
    </row>
    <row r="21" spans="1:14" x14ac:dyDescent="0.35">
      <c r="A21" s="1">
        <v>3392</v>
      </c>
      <c r="B21">
        <v>20</v>
      </c>
      <c r="C21">
        <v>34</v>
      </c>
      <c r="D21">
        <v>5</v>
      </c>
      <c r="E21">
        <v>0</v>
      </c>
      <c r="F21">
        <v>3</v>
      </c>
      <c r="G21">
        <v>3</v>
      </c>
      <c r="H21">
        <v>2</v>
      </c>
      <c r="I21">
        <v>50</v>
      </c>
      <c r="J21">
        <v>5</v>
      </c>
      <c r="K21">
        <v>1</v>
      </c>
      <c r="L21" s="4">
        <v>7.5961536585210654E-2</v>
      </c>
      <c r="M21" s="4">
        <v>0.92403846341478935</v>
      </c>
      <c r="N21">
        <v>1</v>
      </c>
    </row>
    <row r="22" spans="1:14" x14ac:dyDescent="0.35">
      <c r="A22" s="1">
        <v>1236</v>
      </c>
      <c r="B22">
        <v>20</v>
      </c>
      <c r="C22">
        <v>35</v>
      </c>
      <c r="D22">
        <v>5</v>
      </c>
      <c r="E22">
        <v>0</v>
      </c>
      <c r="F22">
        <v>0</v>
      </c>
      <c r="G22">
        <v>2</v>
      </c>
      <c r="H22">
        <v>3</v>
      </c>
      <c r="I22">
        <v>0.01</v>
      </c>
      <c r="J22">
        <v>5</v>
      </c>
      <c r="K22">
        <v>1</v>
      </c>
      <c r="L22" s="4">
        <v>7.6914699259015062E-2</v>
      </c>
      <c r="M22" s="4">
        <v>0.92308530074098494</v>
      </c>
      <c r="N22">
        <v>1</v>
      </c>
    </row>
    <row r="23" spans="1:14" x14ac:dyDescent="0.35">
      <c r="A23" s="1">
        <v>890</v>
      </c>
      <c r="B23">
        <v>21</v>
      </c>
      <c r="C23">
        <v>39</v>
      </c>
      <c r="D23">
        <v>2</v>
      </c>
      <c r="E23">
        <v>0</v>
      </c>
      <c r="F23">
        <v>1</v>
      </c>
      <c r="G23">
        <v>12</v>
      </c>
      <c r="H23">
        <v>3</v>
      </c>
      <c r="I23">
        <v>0.01</v>
      </c>
      <c r="J23">
        <v>5</v>
      </c>
      <c r="K23">
        <v>1</v>
      </c>
      <c r="L23" s="4">
        <v>7.701345207959065E-2</v>
      </c>
      <c r="M23" s="4">
        <v>0.92298654792040935</v>
      </c>
      <c r="N23">
        <v>1</v>
      </c>
    </row>
    <row r="24" spans="1:14" x14ac:dyDescent="0.35">
      <c r="A24" s="1">
        <v>3542</v>
      </c>
      <c r="B24">
        <v>20</v>
      </c>
      <c r="C24">
        <v>36</v>
      </c>
      <c r="D24">
        <v>0</v>
      </c>
      <c r="E24">
        <v>0</v>
      </c>
      <c r="F24">
        <v>3</v>
      </c>
      <c r="G24">
        <v>8</v>
      </c>
      <c r="H24">
        <v>2</v>
      </c>
      <c r="I24">
        <v>420</v>
      </c>
      <c r="J24">
        <v>4</v>
      </c>
      <c r="K24">
        <v>1</v>
      </c>
      <c r="L24" s="4">
        <v>7.7161361078387003E-2</v>
      </c>
      <c r="M24" s="4">
        <v>0.922838638921613</v>
      </c>
      <c r="N24">
        <v>1</v>
      </c>
    </row>
    <row r="25" spans="1:14" x14ac:dyDescent="0.35">
      <c r="A25" s="1">
        <v>3761</v>
      </c>
      <c r="B25">
        <v>19</v>
      </c>
      <c r="C25">
        <v>32</v>
      </c>
      <c r="D25">
        <v>2</v>
      </c>
      <c r="E25">
        <v>0</v>
      </c>
      <c r="F25">
        <v>2</v>
      </c>
      <c r="G25">
        <v>1</v>
      </c>
      <c r="H25">
        <v>3</v>
      </c>
      <c r="I25">
        <v>0.01</v>
      </c>
      <c r="J25">
        <v>4</v>
      </c>
      <c r="K25">
        <v>1</v>
      </c>
      <c r="L25" s="4">
        <v>7.957821161088785E-2</v>
      </c>
      <c r="M25" s="4">
        <v>0.92042178838911215</v>
      </c>
      <c r="N25">
        <v>1</v>
      </c>
    </row>
    <row r="26" spans="1:14" x14ac:dyDescent="0.35">
      <c r="A26" s="1">
        <v>2304</v>
      </c>
      <c r="B26">
        <v>19</v>
      </c>
      <c r="C26">
        <v>32</v>
      </c>
      <c r="D26">
        <v>3</v>
      </c>
      <c r="E26">
        <v>0</v>
      </c>
      <c r="F26">
        <v>3</v>
      </c>
      <c r="G26">
        <v>3</v>
      </c>
      <c r="H26">
        <v>2</v>
      </c>
      <c r="I26">
        <v>2701.27</v>
      </c>
      <c r="J26">
        <v>11</v>
      </c>
      <c r="K26">
        <v>1</v>
      </c>
      <c r="L26" s="4">
        <v>8.019173492416265E-2</v>
      </c>
      <c r="M26" s="4">
        <v>0.91980826507583735</v>
      </c>
      <c r="N26">
        <v>1</v>
      </c>
    </row>
    <row r="27" spans="1:14" x14ac:dyDescent="0.35">
      <c r="A27" s="1">
        <v>1533</v>
      </c>
      <c r="B27">
        <v>20</v>
      </c>
      <c r="C27">
        <v>33</v>
      </c>
      <c r="D27">
        <v>0</v>
      </c>
      <c r="E27">
        <v>1</v>
      </c>
      <c r="F27">
        <v>3</v>
      </c>
      <c r="G27">
        <v>3</v>
      </c>
      <c r="H27">
        <v>2</v>
      </c>
      <c r="I27">
        <v>1750</v>
      </c>
      <c r="J27">
        <v>9</v>
      </c>
      <c r="K27">
        <v>1</v>
      </c>
      <c r="L27" s="4">
        <v>8.2973375464543753E-2</v>
      </c>
      <c r="M27" s="4">
        <v>0.91702662453545625</v>
      </c>
      <c r="N27">
        <v>1</v>
      </c>
    </row>
    <row r="28" spans="1:14" x14ac:dyDescent="0.35">
      <c r="A28" s="1">
        <v>1613</v>
      </c>
      <c r="B28">
        <v>19</v>
      </c>
      <c r="C28">
        <v>31</v>
      </c>
      <c r="D28">
        <v>5</v>
      </c>
      <c r="E28">
        <v>0</v>
      </c>
      <c r="F28">
        <v>3</v>
      </c>
      <c r="G28">
        <v>3</v>
      </c>
      <c r="H28">
        <v>3</v>
      </c>
      <c r="I28">
        <v>0.01</v>
      </c>
      <c r="J28">
        <v>5</v>
      </c>
      <c r="K28">
        <v>1</v>
      </c>
      <c r="L28" s="4">
        <v>8.3843185225845218E-2</v>
      </c>
      <c r="M28" s="4">
        <v>0.91615681477415478</v>
      </c>
      <c r="N28">
        <v>1</v>
      </c>
    </row>
    <row r="29" spans="1:14" x14ac:dyDescent="0.35">
      <c r="A29" s="1">
        <v>1209</v>
      </c>
      <c r="B29">
        <v>24</v>
      </c>
      <c r="C29">
        <v>54</v>
      </c>
      <c r="D29">
        <v>2</v>
      </c>
      <c r="E29">
        <v>0</v>
      </c>
      <c r="F29">
        <v>1</v>
      </c>
      <c r="G29">
        <v>7</v>
      </c>
      <c r="H29">
        <v>2</v>
      </c>
      <c r="I29">
        <v>1000</v>
      </c>
      <c r="J29">
        <v>5</v>
      </c>
      <c r="K29">
        <v>1</v>
      </c>
      <c r="L29" s="4">
        <v>8.4304485690103514E-2</v>
      </c>
      <c r="M29" s="4">
        <v>0.91569551430989649</v>
      </c>
      <c r="N29">
        <v>1</v>
      </c>
    </row>
    <row r="30" spans="1:14" x14ac:dyDescent="0.35">
      <c r="A30" s="1">
        <v>1831</v>
      </c>
      <c r="B30">
        <v>24</v>
      </c>
      <c r="C30">
        <v>54</v>
      </c>
      <c r="D30">
        <v>2</v>
      </c>
      <c r="E30">
        <v>0</v>
      </c>
      <c r="F30">
        <v>2</v>
      </c>
      <c r="G30">
        <v>6</v>
      </c>
      <c r="H30">
        <v>2</v>
      </c>
      <c r="I30">
        <v>3000</v>
      </c>
      <c r="J30">
        <v>7</v>
      </c>
      <c r="K30">
        <v>1</v>
      </c>
      <c r="L30" s="4">
        <v>8.5637315888211329E-2</v>
      </c>
      <c r="M30" s="4">
        <v>0.91436268411178867</v>
      </c>
      <c r="N30">
        <v>1</v>
      </c>
    </row>
    <row r="31" spans="1:14" x14ac:dyDescent="0.35">
      <c r="A31" s="1">
        <v>1526</v>
      </c>
      <c r="B31">
        <v>19</v>
      </c>
      <c r="C31">
        <v>34</v>
      </c>
      <c r="D31">
        <v>2</v>
      </c>
      <c r="E31">
        <v>0</v>
      </c>
      <c r="F31">
        <v>2</v>
      </c>
      <c r="G31">
        <v>1</v>
      </c>
      <c r="H31">
        <v>3</v>
      </c>
      <c r="I31">
        <v>0.01</v>
      </c>
      <c r="J31">
        <v>4</v>
      </c>
      <c r="K31">
        <v>1</v>
      </c>
      <c r="L31" s="4">
        <v>8.8851091674684746E-2</v>
      </c>
      <c r="M31" s="4">
        <v>0.91114890832531525</v>
      </c>
      <c r="N31">
        <v>1</v>
      </c>
    </row>
    <row r="32" spans="1:14" x14ac:dyDescent="0.35">
      <c r="A32" s="1">
        <v>2586</v>
      </c>
      <c r="B32">
        <v>21</v>
      </c>
      <c r="C32">
        <v>37</v>
      </c>
      <c r="D32">
        <v>3</v>
      </c>
      <c r="E32">
        <v>1</v>
      </c>
      <c r="F32">
        <v>3</v>
      </c>
      <c r="G32">
        <v>3</v>
      </c>
      <c r="H32">
        <v>2</v>
      </c>
      <c r="I32">
        <v>600</v>
      </c>
      <c r="J32">
        <v>1</v>
      </c>
      <c r="K32">
        <v>1</v>
      </c>
      <c r="L32" s="4">
        <v>8.9921184954368627E-2</v>
      </c>
      <c r="M32" s="4">
        <v>0.91007881504563137</v>
      </c>
      <c r="N32">
        <v>1</v>
      </c>
    </row>
    <row r="33" spans="1:14" x14ac:dyDescent="0.35">
      <c r="A33" s="1">
        <v>3042</v>
      </c>
      <c r="B33">
        <v>19</v>
      </c>
      <c r="C33">
        <v>35</v>
      </c>
      <c r="D33">
        <v>2</v>
      </c>
      <c r="E33">
        <v>0</v>
      </c>
      <c r="F33">
        <v>0</v>
      </c>
      <c r="G33">
        <v>4</v>
      </c>
      <c r="H33">
        <v>3</v>
      </c>
      <c r="I33">
        <v>0.01</v>
      </c>
      <c r="J33">
        <v>5</v>
      </c>
      <c r="K33">
        <v>1</v>
      </c>
      <c r="L33" s="4">
        <v>9.0360839831293838E-2</v>
      </c>
      <c r="M33" s="4">
        <v>0.90963916016870616</v>
      </c>
      <c r="N33">
        <v>1</v>
      </c>
    </row>
    <row r="34" spans="1:14" x14ac:dyDescent="0.35">
      <c r="A34" s="1">
        <v>1853</v>
      </c>
      <c r="B34">
        <v>20</v>
      </c>
      <c r="C34">
        <v>36</v>
      </c>
      <c r="D34">
        <v>5</v>
      </c>
      <c r="E34">
        <v>0</v>
      </c>
      <c r="F34">
        <v>4</v>
      </c>
      <c r="G34">
        <v>9</v>
      </c>
      <c r="H34">
        <v>3</v>
      </c>
      <c r="I34">
        <v>0.01</v>
      </c>
      <c r="J34">
        <v>5</v>
      </c>
      <c r="K34">
        <v>1</v>
      </c>
      <c r="L34" s="4">
        <v>9.3407108664922633E-2</v>
      </c>
      <c r="M34" s="4">
        <v>0.90659289133507737</v>
      </c>
      <c r="N34">
        <v>1</v>
      </c>
    </row>
    <row r="35" spans="1:14" x14ac:dyDescent="0.35">
      <c r="A35" s="1">
        <v>3649</v>
      </c>
      <c r="B35">
        <v>19</v>
      </c>
      <c r="C35">
        <v>35</v>
      </c>
      <c r="D35">
        <v>5</v>
      </c>
      <c r="E35">
        <v>0</v>
      </c>
      <c r="F35">
        <v>1</v>
      </c>
      <c r="G35">
        <v>12</v>
      </c>
      <c r="H35">
        <v>2</v>
      </c>
      <c r="I35">
        <v>2500</v>
      </c>
      <c r="J35">
        <v>5</v>
      </c>
      <c r="K35">
        <v>1</v>
      </c>
      <c r="L35" s="4">
        <v>9.9210413369224759E-2</v>
      </c>
      <c r="M35" s="4">
        <v>0.90078958663077524</v>
      </c>
      <c r="N35">
        <v>1</v>
      </c>
    </row>
    <row r="36" spans="1:14" x14ac:dyDescent="0.35">
      <c r="A36" s="1">
        <v>3982</v>
      </c>
      <c r="B36">
        <v>19</v>
      </c>
      <c r="C36">
        <v>39</v>
      </c>
      <c r="D36">
        <v>0</v>
      </c>
      <c r="E36">
        <v>0</v>
      </c>
      <c r="F36">
        <v>3</v>
      </c>
      <c r="G36">
        <v>3</v>
      </c>
      <c r="H36">
        <v>0</v>
      </c>
      <c r="I36">
        <v>16517.580000000002</v>
      </c>
      <c r="J36">
        <v>3</v>
      </c>
      <c r="K36">
        <v>1</v>
      </c>
      <c r="L36" s="4">
        <v>9.9980553165524788E-2</v>
      </c>
      <c r="M36" s="4">
        <v>0.90001944683447521</v>
      </c>
      <c r="N36">
        <v>1</v>
      </c>
    </row>
    <row r="37" spans="1:14" x14ac:dyDescent="0.35">
      <c r="A37" s="1">
        <v>3846</v>
      </c>
      <c r="B37">
        <v>20</v>
      </c>
      <c r="C37">
        <v>41</v>
      </c>
      <c r="D37">
        <v>3</v>
      </c>
      <c r="E37">
        <v>0</v>
      </c>
      <c r="F37">
        <v>0</v>
      </c>
      <c r="G37">
        <v>4</v>
      </c>
      <c r="H37">
        <v>3</v>
      </c>
      <c r="I37">
        <v>0.01</v>
      </c>
      <c r="J37">
        <v>8</v>
      </c>
      <c r="K37">
        <v>1</v>
      </c>
      <c r="L37" s="4">
        <v>0.1025263192307235</v>
      </c>
      <c r="M37" s="4">
        <v>0.89747368076927647</v>
      </c>
      <c r="N37">
        <v>1</v>
      </c>
    </row>
    <row r="38" spans="1:14" x14ac:dyDescent="0.35">
      <c r="A38" s="1">
        <v>4036</v>
      </c>
      <c r="B38">
        <v>19</v>
      </c>
      <c r="C38">
        <v>34</v>
      </c>
      <c r="D38">
        <v>4</v>
      </c>
      <c r="E38">
        <v>1</v>
      </c>
      <c r="F38">
        <v>0</v>
      </c>
      <c r="G38">
        <v>11</v>
      </c>
      <c r="H38">
        <v>0</v>
      </c>
      <c r="I38">
        <v>5050</v>
      </c>
      <c r="J38">
        <v>2</v>
      </c>
      <c r="K38">
        <v>1</v>
      </c>
      <c r="L38" s="4">
        <v>0.1072427264424721</v>
      </c>
      <c r="M38" s="4">
        <v>0.89275727355752788</v>
      </c>
      <c r="N38">
        <v>1</v>
      </c>
    </row>
    <row r="39" spans="1:14" x14ac:dyDescent="0.35">
      <c r="A39" s="1">
        <v>2014</v>
      </c>
      <c r="B39">
        <v>20</v>
      </c>
      <c r="C39">
        <v>44</v>
      </c>
      <c r="D39">
        <v>4</v>
      </c>
      <c r="E39">
        <v>0</v>
      </c>
      <c r="F39">
        <v>0</v>
      </c>
      <c r="G39">
        <v>2</v>
      </c>
      <c r="H39">
        <v>0</v>
      </c>
      <c r="I39">
        <v>6000</v>
      </c>
      <c r="J39">
        <v>5</v>
      </c>
      <c r="K39">
        <v>1</v>
      </c>
      <c r="L39" s="4">
        <v>0.1079873479915755</v>
      </c>
      <c r="M39" s="4">
        <v>0.8920126520084245</v>
      </c>
      <c r="N39">
        <v>1</v>
      </c>
    </row>
    <row r="40" spans="1:14" x14ac:dyDescent="0.35">
      <c r="A40" s="1">
        <v>2341</v>
      </c>
      <c r="B40">
        <v>18</v>
      </c>
      <c r="C40">
        <v>35</v>
      </c>
      <c r="D40">
        <v>5</v>
      </c>
      <c r="E40">
        <v>0</v>
      </c>
      <c r="F40">
        <v>2</v>
      </c>
      <c r="G40">
        <v>6</v>
      </c>
      <c r="H40">
        <v>0</v>
      </c>
      <c r="I40">
        <v>7000</v>
      </c>
      <c r="J40">
        <v>10</v>
      </c>
      <c r="K40">
        <v>1</v>
      </c>
      <c r="L40" s="4">
        <v>0.1121940517854214</v>
      </c>
      <c r="M40" s="4">
        <v>0.88780594821457859</v>
      </c>
      <c r="N40">
        <v>1</v>
      </c>
    </row>
    <row r="41" spans="1:14" x14ac:dyDescent="0.35">
      <c r="A41" s="1">
        <v>2410</v>
      </c>
      <c r="B41">
        <v>18</v>
      </c>
      <c r="C41">
        <v>35</v>
      </c>
      <c r="D41">
        <v>2</v>
      </c>
      <c r="E41">
        <v>0</v>
      </c>
      <c r="F41">
        <v>3</v>
      </c>
      <c r="G41">
        <v>3</v>
      </c>
      <c r="H41">
        <v>2</v>
      </c>
      <c r="I41">
        <v>1000</v>
      </c>
      <c r="J41">
        <v>5</v>
      </c>
      <c r="K41">
        <v>1</v>
      </c>
      <c r="L41" s="4">
        <v>0.1159495653802731</v>
      </c>
      <c r="M41" s="4">
        <v>0.88405043461972688</v>
      </c>
      <c r="N41">
        <v>1</v>
      </c>
    </row>
    <row r="42" spans="1:14" x14ac:dyDescent="0.35">
      <c r="A42" s="1">
        <v>2867</v>
      </c>
      <c r="B42">
        <v>19</v>
      </c>
      <c r="C42">
        <v>40</v>
      </c>
      <c r="D42">
        <v>2</v>
      </c>
      <c r="E42">
        <v>0</v>
      </c>
      <c r="F42">
        <v>2</v>
      </c>
      <c r="G42">
        <v>0</v>
      </c>
      <c r="H42">
        <v>2</v>
      </c>
      <c r="I42">
        <v>5000</v>
      </c>
      <c r="J42">
        <v>3</v>
      </c>
      <c r="K42">
        <v>1</v>
      </c>
      <c r="L42" s="4">
        <v>0.1168117349877658</v>
      </c>
      <c r="M42" s="4">
        <v>0.88318826501223424</v>
      </c>
      <c r="N42">
        <v>1</v>
      </c>
    </row>
    <row r="43" spans="1:14" x14ac:dyDescent="0.35">
      <c r="A43" s="1">
        <v>148</v>
      </c>
      <c r="B43">
        <v>17</v>
      </c>
      <c r="C43">
        <v>31</v>
      </c>
      <c r="D43">
        <v>5</v>
      </c>
      <c r="E43">
        <v>0</v>
      </c>
      <c r="F43">
        <v>0</v>
      </c>
      <c r="G43">
        <v>4</v>
      </c>
      <c r="H43">
        <v>3</v>
      </c>
      <c r="I43">
        <v>0.01</v>
      </c>
      <c r="J43">
        <v>4</v>
      </c>
      <c r="K43">
        <v>1</v>
      </c>
      <c r="L43" s="4">
        <v>0.1210731616905233</v>
      </c>
      <c r="M43" s="4">
        <v>0.87892683830947671</v>
      </c>
      <c r="N43">
        <v>1</v>
      </c>
    </row>
    <row r="44" spans="1:14" x14ac:dyDescent="0.35">
      <c r="A44" s="1">
        <v>2430</v>
      </c>
      <c r="B44">
        <v>23</v>
      </c>
      <c r="C44">
        <v>53</v>
      </c>
      <c r="D44">
        <v>3</v>
      </c>
      <c r="E44">
        <v>1</v>
      </c>
      <c r="F44">
        <v>3</v>
      </c>
      <c r="G44">
        <v>3</v>
      </c>
      <c r="H44">
        <v>0</v>
      </c>
      <c r="I44">
        <v>17553.349999999999</v>
      </c>
      <c r="J44">
        <v>16</v>
      </c>
      <c r="K44">
        <v>1</v>
      </c>
      <c r="L44" s="4">
        <v>0.1219741486889262</v>
      </c>
      <c r="M44" s="4">
        <v>0.8780258513110738</v>
      </c>
      <c r="N44">
        <v>1</v>
      </c>
    </row>
    <row r="45" spans="1:14" x14ac:dyDescent="0.35">
      <c r="A45" s="1">
        <v>844</v>
      </c>
      <c r="B45">
        <v>14</v>
      </c>
      <c r="C45">
        <v>21</v>
      </c>
      <c r="D45">
        <v>0</v>
      </c>
      <c r="E45">
        <v>0</v>
      </c>
      <c r="F45">
        <v>3</v>
      </c>
      <c r="G45">
        <v>3</v>
      </c>
      <c r="H45">
        <v>2</v>
      </c>
      <c r="I45">
        <v>3000</v>
      </c>
      <c r="J45">
        <v>3</v>
      </c>
      <c r="K45">
        <v>1</v>
      </c>
      <c r="L45" s="4">
        <v>0.1243156336556259</v>
      </c>
      <c r="M45" s="4">
        <v>0.87568436634437408</v>
      </c>
      <c r="N45">
        <v>1</v>
      </c>
    </row>
    <row r="46" spans="1:14" x14ac:dyDescent="0.35">
      <c r="A46" s="1">
        <v>89</v>
      </c>
      <c r="B46">
        <v>18</v>
      </c>
      <c r="C46">
        <v>37</v>
      </c>
      <c r="D46">
        <v>2</v>
      </c>
      <c r="E46">
        <v>0</v>
      </c>
      <c r="F46">
        <v>3</v>
      </c>
      <c r="G46">
        <v>3</v>
      </c>
      <c r="H46">
        <v>2</v>
      </c>
      <c r="I46">
        <v>50</v>
      </c>
      <c r="J46">
        <v>9</v>
      </c>
      <c r="K46">
        <v>1</v>
      </c>
      <c r="L46" s="4">
        <v>0.12846257850666301</v>
      </c>
      <c r="M46" s="4">
        <v>0.87153742149333702</v>
      </c>
      <c r="N46">
        <v>1</v>
      </c>
    </row>
    <row r="47" spans="1:14" x14ac:dyDescent="0.35">
      <c r="A47" s="1">
        <v>2395</v>
      </c>
      <c r="B47">
        <v>19</v>
      </c>
      <c r="C47">
        <v>38</v>
      </c>
      <c r="D47">
        <v>5</v>
      </c>
      <c r="E47">
        <v>0</v>
      </c>
      <c r="F47">
        <v>4</v>
      </c>
      <c r="G47">
        <v>9</v>
      </c>
      <c r="H47">
        <v>3</v>
      </c>
      <c r="I47">
        <v>0.01</v>
      </c>
      <c r="J47">
        <v>9</v>
      </c>
      <c r="K47">
        <v>1</v>
      </c>
      <c r="L47" s="4">
        <v>0.12855421332178141</v>
      </c>
      <c r="M47" s="4">
        <v>0.87144578667821859</v>
      </c>
      <c r="N47">
        <v>1</v>
      </c>
    </row>
    <row r="48" spans="1:14" x14ac:dyDescent="0.35">
      <c r="A48" s="1">
        <v>2612</v>
      </c>
      <c r="B48">
        <v>13</v>
      </c>
      <c r="C48">
        <v>18</v>
      </c>
      <c r="D48">
        <v>2</v>
      </c>
      <c r="E48">
        <v>0</v>
      </c>
      <c r="F48">
        <v>3</v>
      </c>
      <c r="G48">
        <v>8</v>
      </c>
      <c r="H48">
        <v>0</v>
      </c>
      <c r="I48">
        <v>6000</v>
      </c>
      <c r="J48">
        <v>1</v>
      </c>
      <c r="K48">
        <v>0</v>
      </c>
      <c r="L48" s="4">
        <v>0.13019669705788359</v>
      </c>
      <c r="M48" s="4">
        <v>0.86980330294211639</v>
      </c>
      <c r="N48">
        <v>1</v>
      </c>
    </row>
    <row r="49" spans="1:14" x14ac:dyDescent="0.35">
      <c r="A49" s="1">
        <v>1988</v>
      </c>
      <c r="B49">
        <v>18</v>
      </c>
      <c r="C49">
        <v>35</v>
      </c>
      <c r="D49">
        <v>5</v>
      </c>
      <c r="E49">
        <v>0</v>
      </c>
      <c r="F49">
        <v>3</v>
      </c>
      <c r="G49">
        <v>8</v>
      </c>
      <c r="H49">
        <v>3</v>
      </c>
      <c r="I49">
        <v>0.01</v>
      </c>
      <c r="J49">
        <v>5</v>
      </c>
      <c r="K49">
        <v>1</v>
      </c>
      <c r="L49" s="4">
        <v>0.13245992891958991</v>
      </c>
      <c r="M49" s="4">
        <v>0.86754007108041009</v>
      </c>
      <c r="N49">
        <v>1</v>
      </c>
    </row>
    <row r="50" spans="1:14" x14ac:dyDescent="0.35">
      <c r="A50" s="1">
        <v>2937</v>
      </c>
      <c r="B50">
        <v>15</v>
      </c>
      <c r="C50">
        <v>27</v>
      </c>
      <c r="D50">
        <v>3</v>
      </c>
      <c r="E50">
        <v>0</v>
      </c>
      <c r="F50">
        <v>3</v>
      </c>
      <c r="G50">
        <v>3</v>
      </c>
      <c r="H50">
        <v>0</v>
      </c>
      <c r="I50">
        <v>6053.35</v>
      </c>
      <c r="J50">
        <v>6</v>
      </c>
      <c r="K50">
        <v>1</v>
      </c>
      <c r="L50" s="4">
        <v>0.13555072861220949</v>
      </c>
      <c r="M50" s="4">
        <v>0.86444927138779049</v>
      </c>
      <c r="N50">
        <v>1</v>
      </c>
    </row>
    <row r="51" spans="1:14" x14ac:dyDescent="0.35">
      <c r="A51" s="1">
        <v>2657</v>
      </c>
      <c r="B51">
        <v>20</v>
      </c>
      <c r="C51">
        <v>44</v>
      </c>
      <c r="D51">
        <v>5</v>
      </c>
      <c r="E51">
        <v>0</v>
      </c>
      <c r="F51">
        <v>3</v>
      </c>
      <c r="G51">
        <v>3</v>
      </c>
      <c r="H51">
        <v>3</v>
      </c>
      <c r="I51">
        <v>0.01</v>
      </c>
      <c r="J51">
        <v>5</v>
      </c>
      <c r="K51">
        <v>1</v>
      </c>
      <c r="L51" s="4">
        <v>0.13555635329038529</v>
      </c>
      <c r="M51" s="4">
        <v>0.86444364670961471</v>
      </c>
      <c r="N51">
        <v>1</v>
      </c>
    </row>
    <row r="52" spans="1:14" x14ac:dyDescent="0.35">
      <c r="A52" s="1">
        <v>3132</v>
      </c>
      <c r="B52">
        <v>18</v>
      </c>
      <c r="C52">
        <v>37</v>
      </c>
      <c r="D52">
        <v>5</v>
      </c>
      <c r="E52">
        <v>0</v>
      </c>
      <c r="F52">
        <v>0</v>
      </c>
      <c r="G52">
        <v>11</v>
      </c>
      <c r="H52">
        <v>3</v>
      </c>
      <c r="I52">
        <v>0.01</v>
      </c>
      <c r="J52">
        <v>5</v>
      </c>
      <c r="K52">
        <v>1</v>
      </c>
      <c r="L52" s="4">
        <v>0.13849578226443671</v>
      </c>
      <c r="M52" s="4">
        <v>0.86150421773556329</v>
      </c>
      <c r="N52">
        <v>1</v>
      </c>
    </row>
    <row r="53" spans="1:14" x14ac:dyDescent="0.35">
      <c r="A53" s="1">
        <v>2131</v>
      </c>
      <c r="B53">
        <v>17</v>
      </c>
      <c r="C53">
        <v>35</v>
      </c>
      <c r="D53">
        <v>2</v>
      </c>
      <c r="E53">
        <v>0</v>
      </c>
      <c r="F53">
        <v>3</v>
      </c>
      <c r="G53">
        <v>3</v>
      </c>
      <c r="H53">
        <v>2</v>
      </c>
      <c r="I53">
        <v>420.02</v>
      </c>
      <c r="J53">
        <v>8</v>
      </c>
      <c r="K53">
        <v>1</v>
      </c>
      <c r="L53" s="4">
        <v>0.1430036687906443</v>
      </c>
      <c r="M53" s="4">
        <v>0.8569963312093557</v>
      </c>
      <c r="N53">
        <v>1</v>
      </c>
    </row>
    <row r="54" spans="1:14" x14ac:dyDescent="0.35">
      <c r="A54" s="1">
        <v>2362</v>
      </c>
      <c r="B54">
        <v>17</v>
      </c>
      <c r="C54">
        <v>35</v>
      </c>
      <c r="D54">
        <v>2</v>
      </c>
      <c r="E54">
        <v>0</v>
      </c>
      <c r="F54">
        <v>3</v>
      </c>
      <c r="G54">
        <v>3</v>
      </c>
      <c r="H54">
        <v>2</v>
      </c>
      <c r="I54">
        <v>1620</v>
      </c>
      <c r="J54">
        <v>5</v>
      </c>
      <c r="K54">
        <v>1</v>
      </c>
      <c r="L54" s="4">
        <v>0.14323934441459479</v>
      </c>
      <c r="M54" s="4">
        <v>0.85676065558540515</v>
      </c>
      <c r="N54">
        <v>1</v>
      </c>
    </row>
    <row r="55" spans="1:14" x14ac:dyDescent="0.35">
      <c r="A55" s="1">
        <v>1782</v>
      </c>
      <c r="B55">
        <v>15</v>
      </c>
      <c r="C55">
        <v>27</v>
      </c>
      <c r="D55">
        <v>3</v>
      </c>
      <c r="E55">
        <v>0</v>
      </c>
      <c r="F55">
        <v>3</v>
      </c>
      <c r="G55">
        <v>3</v>
      </c>
      <c r="H55">
        <v>2</v>
      </c>
      <c r="I55">
        <v>1000</v>
      </c>
      <c r="J55">
        <v>1</v>
      </c>
      <c r="K55">
        <v>1</v>
      </c>
      <c r="L55" s="4">
        <v>0.14802746375472969</v>
      </c>
      <c r="M55" s="4">
        <v>0.85197253624527025</v>
      </c>
      <c r="N55">
        <v>1</v>
      </c>
    </row>
    <row r="56" spans="1:14" x14ac:dyDescent="0.35">
      <c r="A56" s="1">
        <v>3322</v>
      </c>
      <c r="B56">
        <v>20</v>
      </c>
      <c r="C56">
        <v>48</v>
      </c>
      <c r="D56">
        <v>5</v>
      </c>
      <c r="E56">
        <v>0</v>
      </c>
      <c r="F56">
        <v>3</v>
      </c>
      <c r="G56">
        <v>8</v>
      </c>
      <c r="H56">
        <v>0</v>
      </c>
      <c r="I56">
        <v>6053.35</v>
      </c>
      <c r="J56">
        <v>6</v>
      </c>
      <c r="K56">
        <v>1</v>
      </c>
      <c r="L56" s="4">
        <v>0.1508910367242646</v>
      </c>
      <c r="M56" s="4">
        <v>0.84910896327573537</v>
      </c>
      <c r="N56">
        <v>1</v>
      </c>
    </row>
    <row r="57" spans="1:14" x14ac:dyDescent="0.35">
      <c r="A57" s="1">
        <v>45</v>
      </c>
      <c r="B57">
        <v>20</v>
      </c>
      <c r="C57">
        <v>50</v>
      </c>
      <c r="D57">
        <v>0</v>
      </c>
      <c r="E57">
        <v>0</v>
      </c>
      <c r="F57">
        <v>1</v>
      </c>
      <c r="G57">
        <v>7</v>
      </c>
      <c r="H57">
        <v>2</v>
      </c>
      <c r="I57">
        <v>4884.25</v>
      </c>
      <c r="J57">
        <v>17</v>
      </c>
      <c r="K57">
        <v>1</v>
      </c>
      <c r="L57" s="4">
        <v>0.15118168937126769</v>
      </c>
      <c r="M57" s="4">
        <v>0.84881831062873225</v>
      </c>
      <c r="N57">
        <v>1</v>
      </c>
    </row>
    <row r="58" spans="1:14" x14ac:dyDescent="0.35">
      <c r="A58" s="1">
        <v>2585</v>
      </c>
      <c r="B58">
        <v>17</v>
      </c>
      <c r="C58">
        <v>38</v>
      </c>
      <c r="D58">
        <v>1</v>
      </c>
      <c r="E58">
        <v>0</v>
      </c>
      <c r="F58">
        <v>0</v>
      </c>
      <c r="G58">
        <v>11</v>
      </c>
      <c r="H58">
        <v>2</v>
      </c>
      <c r="I58">
        <v>4000</v>
      </c>
      <c r="J58">
        <v>4</v>
      </c>
      <c r="K58">
        <v>0</v>
      </c>
      <c r="L58" s="4">
        <v>0.15731653450806091</v>
      </c>
      <c r="M58" s="4">
        <v>0.84268346549193907</v>
      </c>
      <c r="N58">
        <v>1</v>
      </c>
    </row>
    <row r="59" spans="1:14" x14ac:dyDescent="0.35">
      <c r="A59" s="1">
        <v>2375</v>
      </c>
      <c r="B59">
        <v>21</v>
      </c>
      <c r="C59">
        <v>52</v>
      </c>
      <c r="D59">
        <v>4</v>
      </c>
      <c r="E59">
        <v>0</v>
      </c>
      <c r="F59">
        <v>3</v>
      </c>
      <c r="G59">
        <v>3</v>
      </c>
      <c r="H59">
        <v>3</v>
      </c>
      <c r="I59">
        <v>0.01</v>
      </c>
      <c r="J59">
        <v>5</v>
      </c>
      <c r="K59">
        <v>1</v>
      </c>
      <c r="L59" s="4">
        <v>0.1622843769677533</v>
      </c>
      <c r="M59" s="4">
        <v>0.83771562303224667</v>
      </c>
      <c r="N59">
        <v>1</v>
      </c>
    </row>
    <row r="60" spans="1:14" x14ac:dyDescent="0.35">
      <c r="A60" s="1">
        <v>3438</v>
      </c>
      <c r="B60">
        <v>16</v>
      </c>
      <c r="C60">
        <v>34</v>
      </c>
      <c r="D60">
        <v>2</v>
      </c>
      <c r="E60">
        <v>0</v>
      </c>
      <c r="F60">
        <v>3</v>
      </c>
      <c r="G60">
        <v>3</v>
      </c>
      <c r="H60">
        <v>2</v>
      </c>
      <c r="I60">
        <v>300</v>
      </c>
      <c r="J60">
        <v>8</v>
      </c>
      <c r="K60">
        <v>1</v>
      </c>
      <c r="L60" s="4">
        <v>0.16702954902896769</v>
      </c>
      <c r="M60" s="4">
        <v>0.83297045097103228</v>
      </c>
      <c r="N60">
        <v>1</v>
      </c>
    </row>
    <row r="61" spans="1:14" x14ac:dyDescent="0.35">
      <c r="A61" s="1">
        <v>3800</v>
      </c>
      <c r="B61">
        <v>15</v>
      </c>
      <c r="C61">
        <v>30</v>
      </c>
      <c r="D61">
        <v>3</v>
      </c>
      <c r="E61">
        <v>0</v>
      </c>
      <c r="F61">
        <v>1</v>
      </c>
      <c r="G61">
        <v>5</v>
      </c>
      <c r="H61">
        <v>3</v>
      </c>
      <c r="I61">
        <v>0.01</v>
      </c>
      <c r="J61">
        <v>5</v>
      </c>
      <c r="K61">
        <v>1</v>
      </c>
      <c r="L61" s="4">
        <v>0.1715013851179896</v>
      </c>
      <c r="M61" s="4">
        <v>0.82849861488201038</v>
      </c>
      <c r="N61">
        <v>1</v>
      </c>
    </row>
    <row r="62" spans="1:14" x14ac:dyDescent="0.35">
      <c r="A62" s="1">
        <v>966</v>
      </c>
      <c r="B62">
        <v>15</v>
      </c>
      <c r="C62">
        <v>29</v>
      </c>
      <c r="D62">
        <v>5</v>
      </c>
      <c r="E62">
        <v>0</v>
      </c>
      <c r="F62">
        <v>3</v>
      </c>
      <c r="G62">
        <v>3</v>
      </c>
      <c r="H62">
        <v>3</v>
      </c>
      <c r="I62">
        <v>0.01</v>
      </c>
      <c r="J62">
        <v>4</v>
      </c>
      <c r="K62">
        <v>1</v>
      </c>
      <c r="L62" s="4">
        <v>0.17719959213805281</v>
      </c>
      <c r="M62" s="4">
        <v>0.82280040786194719</v>
      </c>
      <c r="N62">
        <v>1</v>
      </c>
    </row>
    <row r="63" spans="1:14" x14ac:dyDescent="0.35">
      <c r="A63" s="1">
        <v>367</v>
      </c>
      <c r="B63">
        <v>15</v>
      </c>
      <c r="C63">
        <v>31</v>
      </c>
      <c r="D63">
        <v>2</v>
      </c>
      <c r="E63">
        <v>0</v>
      </c>
      <c r="F63">
        <v>3</v>
      </c>
      <c r="G63">
        <v>3</v>
      </c>
      <c r="H63">
        <v>3</v>
      </c>
      <c r="I63">
        <v>0.01</v>
      </c>
      <c r="J63">
        <v>5</v>
      </c>
      <c r="K63">
        <v>1</v>
      </c>
      <c r="L63" s="4">
        <v>0.18313022289922551</v>
      </c>
      <c r="M63" s="4">
        <v>0.81686977710077446</v>
      </c>
      <c r="N63">
        <v>1</v>
      </c>
    </row>
    <row r="64" spans="1:14" x14ac:dyDescent="0.35">
      <c r="A64" s="1">
        <v>1006</v>
      </c>
      <c r="B64">
        <v>15</v>
      </c>
      <c r="C64">
        <v>31</v>
      </c>
      <c r="D64">
        <v>5</v>
      </c>
      <c r="E64">
        <v>0</v>
      </c>
      <c r="F64">
        <v>3</v>
      </c>
      <c r="G64">
        <v>3</v>
      </c>
      <c r="H64">
        <v>2</v>
      </c>
      <c r="I64">
        <v>35</v>
      </c>
      <c r="J64">
        <v>2</v>
      </c>
      <c r="K64">
        <v>1</v>
      </c>
      <c r="L64" s="4">
        <v>0.18898983792225291</v>
      </c>
      <c r="M64" s="4">
        <v>0.81101016207774712</v>
      </c>
      <c r="N64">
        <v>1</v>
      </c>
    </row>
    <row r="65" spans="1:14" x14ac:dyDescent="0.35">
      <c r="A65" s="1">
        <v>2539</v>
      </c>
      <c r="B65">
        <v>21</v>
      </c>
      <c r="C65">
        <v>58</v>
      </c>
      <c r="D65">
        <v>3</v>
      </c>
      <c r="E65">
        <v>0</v>
      </c>
      <c r="F65">
        <v>3</v>
      </c>
      <c r="G65">
        <v>3</v>
      </c>
      <c r="H65">
        <v>1</v>
      </c>
      <c r="I65">
        <v>29673.439999999999</v>
      </c>
      <c r="J65">
        <v>2</v>
      </c>
      <c r="K65">
        <v>1</v>
      </c>
      <c r="L65" s="4">
        <v>0.19176720134325431</v>
      </c>
      <c r="M65" s="4">
        <v>0.80823279865674569</v>
      </c>
      <c r="N65">
        <v>1</v>
      </c>
    </row>
    <row r="66" spans="1:14" x14ac:dyDescent="0.35">
      <c r="A66" s="1">
        <v>3575</v>
      </c>
      <c r="B66">
        <v>19</v>
      </c>
      <c r="C66">
        <v>51</v>
      </c>
      <c r="D66">
        <v>1</v>
      </c>
      <c r="E66">
        <v>0</v>
      </c>
      <c r="F66">
        <v>3</v>
      </c>
      <c r="G66">
        <v>3</v>
      </c>
      <c r="H66">
        <v>0</v>
      </c>
      <c r="I66">
        <v>6000</v>
      </c>
      <c r="J66">
        <v>8</v>
      </c>
      <c r="K66">
        <v>0</v>
      </c>
      <c r="L66" s="4">
        <v>0.1917724805706896</v>
      </c>
      <c r="M66" s="4">
        <v>0.80822751942931037</v>
      </c>
      <c r="N66">
        <v>1</v>
      </c>
    </row>
    <row r="67" spans="1:14" x14ac:dyDescent="0.35">
      <c r="A67" s="1">
        <v>1751</v>
      </c>
      <c r="B67">
        <v>16</v>
      </c>
      <c r="C67">
        <v>39</v>
      </c>
      <c r="D67">
        <v>1</v>
      </c>
      <c r="E67">
        <v>0</v>
      </c>
      <c r="F67">
        <v>3</v>
      </c>
      <c r="G67">
        <v>3</v>
      </c>
      <c r="H67">
        <v>0</v>
      </c>
      <c r="I67">
        <v>10000</v>
      </c>
      <c r="J67">
        <v>8</v>
      </c>
      <c r="K67">
        <v>0</v>
      </c>
      <c r="L67" s="4">
        <v>0.1921789358014995</v>
      </c>
      <c r="M67" s="4">
        <v>0.80782106419850053</v>
      </c>
      <c r="N67">
        <v>1</v>
      </c>
    </row>
    <row r="68" spans="1:14" x14ac:dyDescent="0.35">
      <c r="A68" s="1">
        <v>4156</v>
      </c>
      <c r="B68">
        <v>17</v>
      </c>
      <c r="C68">
        <v>42</v>
      </c>
      <c r="D68">
        <v>0</v>
      </c>
      <c r="E68">
        <v>0</v>
      </c>
      <c r="F68">
        <v>3</v>
      </c>
      <c r="G68">
        <v>3</v>
      </c>
      <c r="H68">
        <v>2</v>
      </c>
      <c r="I68">
        <v>3000</v>
      </c>
      <c r="J68">
        <v>8</v>
      </c>
      <c r="K68">
        <v>1</v>
      </c>
      <c r="L68" s="4">
        <v>0.1937055045731905</v>
      </c>
      <c r="M68" s="4">
        <v>0.80629449542680953</v>
      </c>
      <c r="N68">
        <v>1</v>
      </c>
    </row>
    <row r="69" spans="1:14" x14ac:dyDescent="0.35">
      <c r="A69" s="1">
        <v>577</v>
      </c>
      <c r="B69">
        <v>16</v>
      </c>
      <c r="C69">
        <v>37</v>
      </c>
      <c r="D69">
        <v>4</v>
      </c>
      <c r="E69">
        <v>0</v>
      </c>
      <c r="F69">
        <v>0</v>
      </c>
      <c r="G69">
        <v>2</v>
      </c>
      <c r="H69">
        <v>3</v>
      </c>
      <c r="I69">
        <v>0.01</v>
      </c>
      <c r="J69">
        <v>5</v>
      </c>
      <c r="K69">
        <v>1</v>
      </c>
      <c r="L69" s="4">
        <v>0.19527129571919791</v>
      </c>
      <c r="M69" s="4">
        <v>0.80472870428080212</v>
      </c>
      <c r="N69">
        <v>1</v>
      </c>
    </row>
    <row r="70" spans="1:14" x14ac:dyDescent="0.35">
      <c r="A70" s="1">
        <v>3569</v>
      </c>
      <c r="B70">
        <v>15</v>
      </c>
      <c r="C70">
        <v>33</v>
      </c>
      <c r="D70">
        <v>4</v>
      </c>
      <c r="E70">
        <v>0</v>
      </c>
      <c r="F70">
        <v>0</v>
      </c>
      <c r="G70">
        <v>11</v>
      </c>
      <c r="H70">
        <v>2</v>
      </c>
      <c r="I70">
        <v>360</v>
      </c>
      <c r="J70">
        <v>9</v>
      </c>
      <c r="K70">
        <v>1</v>
      </c>
      <c r="L70" s="4">
        <v>0.1956951660519152</v>
      </c>
      <c r="M70" s="4">
        <v>0.80430483394808483</v>
      </c>
      <c r="N70">
        <v>1</v>
      </c>
    </row>
    <row r="71" spans="1:14" x14ac:dyDescent="0.35">
      <c r="A71" s="1">
        <v>3778</v>
      </c>
      <c r="B71">
        <v>15</v>
      </c>
      <c r="C71">
        <v>33</v>
      </c>
      <c r="D71">
        <v>3</v>
      </c>
      <c r="E71">
        <v>0</v>
      </c>
      <c r="F71">
        <v>0</v>
      </c>
      <c r="G71">
        <v>11</v>
      </c>
      <c r="H71">
        <v>3</v>
      </c>
      <c r="I71">
        <v>0.01</v>
      </c>
      <c r="J71">
        <v>8</v>
      </c>
      <c r="K71">
        <v>1</v>
      </c>
      <c r="L71" s="4">
        <v>0.1987944450615069</v>
      </c>
      <c r="M71" s="4">
        <v>0.8012055549384931</v>
      </c>
      <c r="N71">
        <v>1</v>
      </c>
    </row>
    <row r="72" spans="1:14" x14ac:dyDescent="0.35">
      <c r="A72" s="1">
        <v>566</v>
      </c>
      <c r="B72">
        <v>15</v>
      </c>
      <c r="C72">
        <v>32</v>
      </c>
      <c r="D72">
        <v>4</v>
      </c>
      <c r="E72">
        <v>0</v>
      </c>
      <c r="F72">
        <v>3</v>
      </c>
      <c r="G72">
        <v>3</v>
      </c>
      <c r="H72">
        <v>3</v>
      </c>
      <c r="I72">
        <v>0.01</v>
      </c>
      <c r="J72">
        <v>5</v>
      </c>
      <c r="K72">
        <v>1</v>
      </c>
      <c r="L72" s="4">
        <v>0.20060720387216471</v>
      </c>
      <c r="M72" s="4">
        <v>0.79939279612783531</v>
      </c>
      <c r="N72">
        <v>1</v>
      </c>
    </row>
    <row r="73" spans="1:14" x14ac:dyDescent="0.35">
      <c r="A73" s="1">
        <v>2680</v>
      </c>
      <c r="B73">
        <v>16</v>
      </c>
      <c r="C73">
        <v>41</v>
      </c>
      <c r="D73">
        <v>2</v>
      </c>
      <c r="E73">
        <v>0</v>
      </c>
      <c r="F73">
        <v>0</v>
      </c>
      <c r="G73">
        <v>2</v>
      </c>
      <c r="H73">
        <v>0</v>
      </c>
      <c r="I73">
        <v>6000</v>
      </c>
      <c r="J73">
        <v>1</v>
      </c>
      <c r="K73">
        <v>1</v>
      </c>
      <c r="L73" s="4">
        <v>0.20349577530322871</v>
      </c>
      <c r="M73" s="4">
        <v>0.79650422469677129</v>
      </c>
      <c r="N73">
        <v>1</v>
      </c>
    </row>
    <row r="74" spans="1:14" x14ac:dyDescent="0.35">
      <c r="A74" s="1">
        <v>440</v>
      </c>
      <c r="B74">
        <v>15</v>
      </c>
      <c r="C74">
        <v>32</v>
      </c>
      <c r="D74">
        <v>5</v>
      </c>
      <c r="E74">
        <v>0</v>
      </c>
      <c r="F74">
        <v>1</v>
      </c>
      <c r="G74">
        <v>12</v>
      </c>
      <c r="H74">
        <v>3</v>
      </c>
      <c r="I74">
        <v>0.01</v>
      </c>
      <c r="J74">
        <v>5</v>
      </c>
      <c r="K74">
        <v>1</v>
      </c>
      <c r="L74" s="4">
        <v>0.2036484511642955</v>
      </c>
      <c r="M74" s="4">
        <v>0.79635154883570447</v>
      </c>
      <c r="N74">
        <v>1</v>
      </c>
    </row>
    <row r="75" spans="1:14" x14ac:dyDescent="0.35">
      <c r="A75" s="1">
        <v>2772</v>
      </c>
      <c r="B75">
        <v>13</v>
      </c>
      <c r="C75">
        <v>28</v>
      </c>
      <c r="D75">
        <v>3</v>
      </c>
      <c r="E75">
        <v>0</v>
      </c>
      <c r="F75">
        <v>1</v>
      </c>
      <c r="G75">
        <v>5</v>
      </c>
      <c r="H75">
        <v>0</v>
      </c>
      <c r="I75">
        <v>8000</v>
      </c>
      <c r="J75">
        <v>1</v>
      </c>
      <c r="K75">
        <v>1</v>
      </c>
      <c r="L75" s="4">
        <v>0.20624296126277761</v>
      </c>
      <c r="M75" s="4">
        <v>0.79375703873722236</v>
      </c>
      <c r="N75">
        <v>1</v>
      </c>
    </row>
    <row r="76" spans="1:14" x14ac:dyDescent="0.35">
      <c r="A76" s="1">
        <v>2121</v>
      </c>
      <c r="B76">
        <v>16</v>
      </c>
      <c r="C76">
        <v>37</v>
      </c>
      <c r="D76">
        <v>5</v>
      </c>
      <c r="E76">
        <v>0</v>
      </c>
      <c r="F76">
        <v>0</v>
      </c>
      <c r="G76">
        <v>11</v>
      </c>
      <c r="H76">
        <v>3</v>
      </c>
      <c r="I76">
        <v>0.01</v>
      </c>
      <c r="J76">
        <v>5</v>
      </c>
      <c r="K76">
        <v>0</v>
      </c>
      <c r="L76" s="4">
        <v>0.20744300377818151</v>
      </c>
      <c r="M76" s="4">
        <v>0.79255699622181852</v>
      </c>
      <c r="N76">
        <v>1</v>
      </c>
    </row>
    <row r="77" spans="1:14" x14ac:dyDescent="0.35">
      <c r="A77" s="1">
        <v>2298</v>
      </c>
      <c r="B77">
        <v>12</v>
      </c>
      <c r="C77">
        <v>23</v>
      </c>
      <c r="D77">
        <v>0</v>
      </c>
      <c r="E77">
        <v>0</v>
      </c>
      <c r="F77">
        <v>3</v>
      </c>
      <c r="G77">
        <v>3</v>
      </c>
      <c r="H77">
        <v>2</v>
      </c>
      <c r="I77">
        <v>1000</v>
      </c>
      <c r="J77">
        <v>2</v>
      </c>
      <c r="K77">
        <v>1</v>
      </c>
      <c r="L77" s="4">
        <v>0.2075273385035559</v>
      </c>
      <c r="M77" s="4">
        <v>0.79247266149644413</v>
      </c>
      <c r="N77">
        <v>1</v>
      </c>
    </row>
    <row r="78" spans="1:14" x14ac:dyDescent="0.35">
      <c r="A78" s="1">
        <v>2770</v>
      </c>
      <c r="B78">
        <v>17</v>
      </c>
      <c r="C78">
        <v>36</v>
      </c>
      <c r="D78">
        <v>4</v>
      </c>
      <c r="E78">
        <v>1</v>
      </c>
      <c r="F78">
        <v>3</v>
      </c>
      <c r="G78">
        <v>3</v>
      </c>
      <c r="H78">
        <v>3</v>
      </c>
      <c r="I78">
        <v>0.01</v>
      </c>
      <c r="J78">
        <v>8</v>
      </c>
      <c r="K78">
        <v>1</v>
      </c>
      <c r="L78" s="4">
        <v>0.20790146714248631</v>
      </c>
      <c r="M78" s="4">
        <v>0.79209853285751375</v>
      </c>
      <c r="N78">
        <v>1</v>
      </c>
    </row>
    <row r="79" spans="1:14" x14ac:dyDescent="0.35">
      <c r="A79" s="1">
        <v>4240</v>
      </c>
      <c r="B79">
        <v>14</v>
      </c>
      <c r="C79">
        <v>30</v>
      </c>
      <c r="D79">
        <v>3</v>
      </c>
      <c r="E79">
        <v>0</v>
      </c>
      <c r="F79">
        <v>3</v>
      </c>
      <c r="G79">
        <v>3</v>
      </c>
      <c r="H79">
        <v>2</v>
      </c>
      <c r="I79">
        <v>50.01</v>
      </c>
      <c r="J79">
        <v>7</v>
      </c>
      <c r="K79">
        <v>1</v>
      </c>
      <c r="L79" s="4">
        <v>0.20881234033936319</v>
      </c>
      <c r="M79" s="4">
        <v>0.79118765966063676</v>
      </c>
      <c r="N79">
        <v>1</v>
      </c>
    </row>
    <row r="80" spans="1:14" x14ac:dyDescent="0.35">
      <c r="A80" s="1">
        <v>62</v>
      </c>
      <c r="B80">
        <v>15</v>
      </c>
      <c r="C80">
        <v>35</v>
      </c>
      <c r="D80">
        <v>1</v>
      </c>
      <c r="E80">
        <v>0</v>
      </c>
      <c r="F80">
        <v>3</v>
      </c>
      <c r="G80">
        <v>3</v>
      </c>
      <c r="H80">
        <v>2</v>
      </c>
      <c r="I80">
        <v>1000</v>
      </c>
      <c r="J80">
        <v>4</v>
      </c>
      <c r="K80">
        <v>1</v>
      </c>
      <c r="L80" s="4">
        <v>0.20994984004858561</v>
      </c>
      <c r="M80" s="4">
        <v>0.79005015995141437</v>
      </c>
      <c r="N80">
        <v>1</v>
      </c>
    </row>
    <row r="81" spans="1:14" x14ac:dyDescent="0.35">
      <c r="A81" s="1">
        <v>2474</v>
      </c>
      <c r="B81">
        <v>15</v>
      </c>
      <c r="C81">
        <v>34</v>
      </c>
      <c r="D81">
        <v>4</v>
      </c>
      <c r="E81">
        <v>0</v>
      </c>
      <c r="F81">
        <v>3</v>
      </c>
      <c r="G81">
        <v>3</v>
      </c>
      <c r="H81">
        <v>2</v>
      </c>
      <c r="I81">
        <v>5000</v>
      </c>
      <c r="J81">
        <v>10</v>
      </c>
      <c r="K81">
        <v>1</v>
      </c>
      <c r="L81" s="4">
        <v>0.21071028541955991</v>
      </c>
      <c r="M81" s="4">
        <v>0.78928971458044006</v>
      </c>
      <c r="N81">
        <v>1</v>
      </c>
    </row>
    <row r="82" spans="1:14" x14ac:dyDescent="0.35">
      <c r="A82" s="1">
        <v>682</v>
      </c>
      <c r="B82">
        <v>19</v>
      </c>
      <c r="C82">
        <v>51</v>
      </c>
      <c r="D82">
        <v>2</v>
      </c>
      <c r="E82">
        <v>0</v>
      </c>
      <c r="F82">
        <v>3</v>
      </c>
      <c r="G82">
        <v>3</v>
      </c>
      <c r="H82">
        <v>2</v>
      </c>
      <c r="I82">
        <v>3000</v>
      </c>
      <c r="J82">
        <v>7</v>
      </c>
      <c r="K82">
        <v>0</v>
      </c>
      <c r="L82" s="4">
        <v>0.21113625291791441</v>
      </c>
      <c r="M82" s="4">
        <v>0.78886374708208562</v>
      </c>
      <c r="N82">
        <v>1</v>
      </c>
    </row>
    <row r="83" spans="1:14" x14ac:dyDescent="0.35">
      <c r="A83" s="1">
        <v>2858</v>
      </c>
      <c r="B83">
        <v>16</v>
      </c>
      <c r="C83">
        <v>37</v>
      </c>
      <c r="D83">
        <v>5</v>
      </c>
      <c r="E83">
        <v>0</v>
      </c>
      <c r="F83">
        <v>1</v>
      </c>
      <c r="G83">
        <v>12</v>
      </c>
      <c r="H83">
        <v>3</v>
      </c>
      <c r="I83">
        <v>0.01</v>
      </c>
      <c r="J83">
        <v>5</v>
      </c>
      <c r="K83">
        <v>1</v>
      </c>
      <c r="L83" s="4">
        <v>0.21307417608767121</v>
      </c>
      <c r="M83" s="4">
        <v>0.78692582391232879</v>
      </c>
      <c r="N83">
        <v>1</v>
      </c>
    </row>
    <row r="84" spans="1:14" x14ac:dyDescent="0.35">
      <c r="A84" s="1">
        <v>3905</v>
      </c>
      <c r="B84">
        <v>13</v>
      </c>
      <c r="C84">
        <v>26</v>
      </c>
      <c r="D84">
        <v>4</v>
      </c>
      <c r="E84">
        <v>0</v>
      </c>
      <c r="F84">
        <v>1</v>
      </c>
      <c r="G84">
        <v>12</v>
      </c>
      <c r="H84">
        <v>2</v>
      </c>
      <c r="I84">
        <v>1250</v>
      </c>
      <c r="J84">
        <v>1</v>
      </c>
      <c r="K84">
        <v>1</v>
      </c>
      <c r="L84" s="4">
        <v>0.21341830801310241</v>
      </c>
      <c r="M84" s="4">
        <v>0.78658169198689765</v>
      </c>
      <c r="N84">
        <v>1</v>
      </c>
    </row>
    <row r="85" spans="1:14" x14ac:dyDescent="0.35">
      <c r="A85" s="1">
        <v>1021</v>
      </c>
      <c r="B85">
        <v>16</v>
      </c>
      <c r="C85">
        <v>37</v>
      </c>
      <c r="D85">
        <v>5</v>
      </c>
      <c r="E85">
        <v>0</v>
      </c>
      <c r="F85">
        <v>3</v>
      </c>
      <c r="G85">
        <v>3</v>
      </c>
      <c r="H85">
        <v>3</v>
      </c>
      <c r="I85">
        <v>0.01</v>
      </c>
      <c r="J85">
        <v>8</v>
      </c>
      <c r="K85">
        <v>1</v>
      </c>
      <c r="L85" s="4">
        <v>0.21367660074148209</v>
      </c>
      <c r="M85" s="4">
        <v>0.78632339925851791</v>
      </c>
      <c r="N85">
        <v>1</v>
      </c>
    </row>
    <row r="86" spans="1:14" x14ac:dyDescent="0.35">
      <c r="A86" s="1">
        <v>2625</v>
      </c>
      <c r="B86">
        <v>15</v>
      </c>
      <c r="C86">
        <v>34</v>
      </c>
      <c r="D86">
        <v>5</v>
      </c>
      <c r="E86">
        <v>0</v>
      </c>
      <c r="F86">
        <v>3</v>
      </c>
      <c r="G86">
        <v>3</v>
      </c>
      <c r="H86">
        <v>2</v>
      </c>
      <c r="I86">
        <v>1600</v>
      </c>
      <c r="J86">
        <v>0</v>
      </c>
      <c r="K86">
        <v>1</v>
      </c>
      <c r="L86" s="4">
        <v>0.218228808358399</v>
      </c>
      <c r="M86" s="4">
        <v>0.78177119164160103</v>
      </c>
      <c r="N86">
        <v>1</v>
      </c>
    </row>
    <row r="87" spans="1:14" x14ac:dyDescent="0.35">
      <c r="A87" s="1">
        <v>677</v>
      </c>
      <c r="B87">
        <v>14</v>
      </c>
      <c r="C87">
        <v>32</v>
      </c>
      <c r="D87">
        <v>2</v>
      </c>
      <c r="E87">
        <v>0</v>
      </c>
      <c r="F87">
        <v>0</v>
      </c>
      <c r="G87">
        <v>4</v>
      </c>
      <c r="H87">
        <v>3</v>
      </c>
      <c r="I87">
        <v>0.01</v>
      </c>
      <c r="J87">
        <v>8</v>
      </c>
      <c r="K87">
        <v>0</v>
      </c>
      <c r="L87" s="4">
        <v>0.21839702357870711</v>
      </c>
      <c r="M87" s="4">
        <v>0.78160297642129295</v>
      </c>
      <c r="N87">
        <v>1</v>
      </c>
    </row>
    <row r="88" spans="1:14" x14ac:dyDescent="0.35">
      <c r="A88" s="1">
        <v>3052</v>
      </c>
      <c r="B88">
        <v>16</v>
      </c>
      <c r="C88">
        <v>39</v>
      </c>
      <c r="D88">
        <v>2</v>
      </c>
      <c r="E88">
        <v>0</v>
      </c>
      <c r="F88">
        <v>1</v>
      </c>
      <c r="G88">
        <v>12</v>
      </c>
      <c r="H88">
        <v>3</v>
      </c>
      <c r="I88">
        <v>0.01</v>
      </c>
      <c r="J88">
        <v>5</v>
      </c>
      <c r="K88">
        <v>1</v>
      </c>
      <c r="L88" s="4">
        <v>0.22010512606802771</v>
      </c>
      <c r="M88" s="4">
        <v>0.77989487393197232</v>
      </c>
      <c r="N88">
        <v>1</v>
      </c>
    </row>
    <row r="89" spans="1:14" x14ac:dyDescent="0.35">
      <c r="A89" s="1">
        <v>4238</v>
      </c>
      <c r="B89">
        <v>18</v>
      </c>
      <c r="C89">
        <v>48</v>
      </c>
      <c r="D89">
        <v>3</v>
      </c>
      <c r="E89">
        <v>0</v>
      </c>
      <c r="F89">
        <v>2</v>
      </c>
      <c r="G89">
        <v>0</v>
      </c>
      <c r="H89">
        <v>2</v>
      </c>
      <c r="I89">
        <v>600</v>
      </c>
      <c r="J89">
        <v>2</v>
      </c>
      <c r="K89">
        <v>0</v>
      </c>
      <c r="L89" s="4">
        <v>0.22042473948676761</v>
      </c>
      <c r="M89" s="4">
        <v>0.77957526051323245</v>
      </c>
      <c r="N89">
        <v>1</v>
      </c>
    </row>
    <row r="90" spans="1:14" x14ac:dyDescent="0.35">
      <c r="A90" s="1">
        <v>103</v>
      </c>
      <c r="B90">
        <v>14</v>
      </c>
      <c r="C90">
        <v>29</v>
      </c>
      <c r="D90">
        <v>4</v>
      </c>
      <c r="E90">
        <v>0</v>
      </c>
      <c r="F90">
        <v>4</v>
      </c>
      <c r="G90">
        <v>9</v>
      </c>
      <c r="H90">
        <v>3</v>
      </c>
      <c r="I90">
        <v>0.01</v>
      </c>
      <c r="J90">
        <v>7</v>
      </c>
      <c r="K90">
        <v>1</v>
      </c>
      <c r="L90" s="4">
        <v>0.22088490591288709</v>
      </c>
      <c r="M90" s="4">
        <v>0.77911509408711288</v>
      </c>
      <c r="N90">
        <v>1</v>
      </c>
    </row>
    <row r="91" spans="1:14" x14ac:dyDescent="0.35">
      <c r="A91" s="1">
        <v>2414</v>
      </c>
      <c r="B91">
        <v>15</v>
      </c>
      <c r="C91">
        <v>36</v>
      </c>
      <c r="D91">
        <v>1</v>
      </c>
      <c r="E91">
        <v>0</v>
      </c>
      <c r="F91">
        <v>3</v>
      </c>
      <c r="G91">
        <v>8</v>
      </c>
      <c r="H91">
        <v>2</v>
      </c>
      <c r="I91">
        <v>4400</v>
      </c>
      <c r="J91">
        <v>4</v>
      </c>
      <c r="K91">
        <v>1</v>
      </c>
      <c r="L91" s="4">
        <v>0.22389942771048069</v>
      </c>
      <c r="M91" s="4">
        <v>0.77610057228951934</v>
      </c>
      <c r="N91">
        <v>1</v>
      </c>
    </row>
    <row r="92" spans="1:14" x14ac:dyDescent="0.35">
      <c r="A92" s="1">
        <v>836</v>
      </c>
      <c r="B92">
        <v>15</v>
      </c>
      <c r="C92">
        <v>37</v>
      </c>
      <c r="D92">
        <v>0</v>
      </c>
      <c r="E92">
        <v>0</v>
      </c>
      <c r="F92">
        <v>3</v>
      </c>
      <c r="G92">
        <v>3</v>
      </c>
      <c r="H92">
        <v>2</v>
      </c>
      <c r="I92">
        <v>1500</v>
      </c>
      <c r="J92">
        <v>8</v>
      </c>
      <c r="K92">
        <v>1</v>
      </c>
      <c r="L92" s="4">
        <v>0.22493613322146311</v>
      </c>
      <c r="M92" s="4">
        <v>0.77506386677853689</v>
      </c>
      <c r="N92">
        <v>1</v>
      </c>
    </row>
    <row r="93" spans="1:14" x14ac:dyDescent="0.35">
      <c r="A93" s="1">
        <v>1357</v>
      </c>
      <c r="B93">
        <v>16</v>
      </c>
      <c r="C93">
        <v>42</v>
      </c>
      <c r="D93">
        <v>2</v>
      </c>
      <c r="E93">
        <v>0</v>
      </c>
      <c r="F93">
        <v>3</v>
      </c>
      <c r="G93">
        <v>3</v>
      </c>
      <c r="H93">
        <v>0</v>
      </c>
      <c r="I93">
        <v>14160.99</v>
      </c>
      <c r="J93">
        <v>6</v>
      </c>
      <c r="K93">
        <v>1</v>
      </c>
      <c r="L93" s="4">
        <v>0.22561753401222451</v>
      </c>
      <c r="M93" s="4">
        <v>0.77438246598777549</v>
      </c>
      <c r="N93">
        <v>1</v>
      </c>
    </row>
    <row r="94" spans="1:14" x14ac:dyDescent="0.35">
      <c r="A94" s="1">
        <v>173</v>
      </c>
      <c r="B94">
        <v>19</v>
      </c>
      <c r="C94">
        <v>54</v>
      </c>
      <c r="D94">
        <v>5</v>
      </c>
      <c r="E94">
        <v>0</v>
      </c>
      <c r="F94">
        <v>0</v>
      </c>
      <c r="G94">
        <v>4</v>
      </c>
      <c r="H94">
        <v>0</v>
      </c>
      <c r="I94">
        <v>6053.35</v>
      </c>
      <c r="J94">
        <v>5</v>
      </c>
      <c r="K94">
        <v>0</v>
      </c>
      <c r="L94" s="4">
        <v>0.22638825022432771</v>
      </c>
      <c r="M94" s="4">
        <v>0.77361174977567226</v>
      </c>
      <c r="N94">
        <v>1</v>
      </c>
    </row>
    <row r="95" spans="1:14" x14ac:dyDescent="0.35">
      <c r="A95" s="1">
        <v>2264</v>
      </c>
      <c r="B95">
        <v>18</v>
      </c>
      <c r="C95">
        <v>39</v>
      </c>
      <c r="D95">
        <v>3</v>
      </c>
      <c r="E95">
        <v>2</v>
      </c>
      <c r="F95">
        <v>1</v>
      </c>
      <c r="G95">
        <v>7</v>
      </c>
      <c r="H95">
        <v>2</v>
      </c>
      <c r="I95">
        <v>600</v>
      </c>
      <c r="J95">
        <v>8</v>
      </c>
      <c r="K95">
        <v>0</v>
      </c>
      <c r="L95" s="4">
        <v>0.22943329744123739</v>
      </c>
      <c r="M95" s="4">
        <v>0.77056670255876258</v>
      </c>
      <c r="N95">
        <v>1</v>
      </c>
    </row>
    <row r="96" spans="1:14" x14ac:dyDescent="0.35">
      <c r="A96" s="1">
        <v>343</v>
      </c>
      <c r="B96">
        <v>14</v>
      </c>
      <c r="C96">
        <v>32</v>
      </c>
      <c r="D96">
        <v>3</v>
      </c>
      <c r="E96">
        <v>0</v>
      </c>
      <c r="F96">
        <v>1</v>
      </c>
      <c r="G96">
        <v>5</v>
      </c>
      <c r="H96">
        <v>3</v>
      </c>
      <c r="I96">
        <v>0.01</v>
      </c>
      <c r="J96">
        <v>5</v>
      </c>
      <c r="K96">
        <v>1</v>
      </c>
      <c r="L96" s="4">
        <v>0.22953114873002181</v>
      </c>
      <c r="M96" s="4">
        <v>0.77046885126997822</v>
      </c>
      <c r="N96">
        <v>1</v>
      </c>
    </row>
    <row r="97" spans="1:14" x14ac:dyDescent="0.35">
      <c r="A97" s="1">
        <v>800</v>
      </c>
      <c r="B97">
        <v>15</v>
      </c>
      <c r="C97">
        <v>32</v>
      </c>
      <c r="D97">
        <v>4</v>
      </c>
      <c r="E97">
        <v>1</v>
      </c>
      <c r="F97">
        <v>0</v>
      </c>
      <c r="G97">
        <v>4</v>
      </c>
      <c r="H97">
        <v>2</v>
      </c>
      <c r="I97">
        <v>600</v>
      </c>
      <c r="J97">
        <v>3</v>
      </c>
      <c r="K97">
        <v>1</v>
      </c>
      <c r="L97" s="4">
        <v>0.2298388940912747</v>
      </c>
      <c r="M97" s="4">
        <v>0.77016110590872533</v>
      </c>
      <c r="N97">
        <v>1</v>
      </c>
    </row>
    <row r="98" spans="1:14" x14ac:dyDescent="0.35">
      <c r="A98" s="1">
        <v>1778</v>
      </c>
      <c r="B98">
        <v>13</v>
      </c>
      <c r="C98">
        <v>30</v>
      </c>
      <c r="D98">
        <v>5</v>
      </c>
      <c r="E98">
        <v>0</v>
      </c>
      <c r="F98">
        <v>0</v>
      </c>
      <c r="G98">
        <v>4</v>
      </c>
      <c r="H98">
        <v>0</v>
      </c>
      <c r="I98">
        <v>6000</v>
      </c>
      <c r="J98">
        <v>1</v>
      </c>
      <c r="K98">
        <v>1</v>
      </c>
      <c r="L98" s="4">
        <v>0.2305049732854686</v>
      </c>
      <c r="M98" s="4">
        <v>0.7694950267145314</v>
      </c>
      <c r="N98">
        <v>1</v>
      </c>
    </row>
    <row r="99" spans="1:14" x14ac:dyDescent="0.35">
      <c r="A99" s="1">
        <v>272</v>
      </c>
      <c r="B99">
        <v>14</v>
      </c>
      <c r="C99">
        <v>32</v>
      </c>
      <c r="D99">
        <v>5</v>
      </c>
      <c r="E99">
        <v>0</v>
      </c>
      <c r="F99">
        <v>0</v>
      </c>
      <c r="G99">
        <v>2</v>
      </c>
      <c r="H99">
        <v>3</v>
      </c>
      <c r="I99">
        <v>0.01</v>
      </c>
      <c r="J99">
        <v>4</v>
      </c>
      <c r="K99">
        <v>0</v>
      </c>
      <c r="L99" s="4">
        <v>0.23112609670840559</v>
      </c>
      <c r="M99" s="4">
        <v>0.76887390329159444</v>
      </c>
      <c r="N99">
        <v>1</v>
      </c>
    </row>
    <row r="100" spans="1:14" x14ac:dyDescent="0.35">
      <c r="A100" s="1">
        <v>3231</v>
      </c>
      <c r="B100">
        <v>15</v>
      </c>
      <c r="C100">
        <v>36</v>
      </c>
      <c r="D100">
        <v>2</v>
      </c>
      <c r="E100">
        <v>0</v>
      </c>
      <c r="F100">
        <v>3</v>
      </c>
      <c r="G100">
        <v>3</v>
      </c>
      <c r="H100">
        <v>3</v>
      </c>
      <c r="I100">
        <v>0.01</v>
      </c>
      <c r="J100">
        <v>8</v>
      </c>
      <c r="K100">
        <v>1</v>
      </c>
      <c r="L100" s="4">
        <v>0.23178322887115149</v>
      </c>
      <c r="M100" s="4">
        <v>0.76821677112884845</v>
      </c>
      <c r="N100">
        <v>1</v>
      </c>
    </row>
    <row r="101" spans="1:14" x14ac:dyDescent="0.35">
      <c r="A101" s="1">
        <v>3235</v>
      </c>
      <c r="B101">
        <v>15</v>
      </c>
      <c r="C101">
        <v>36</v>
      </c>
      <c r="D101">
        <v>2</v>
      </c>
      <c r="E101">
        <v>0</v>
      </c>
      <c r="F101">
        <v>3</v>
      </c>
      <c r="G101">
        <v>3</v>
      </c>
      <c r="H101">
        <v>3</v>
      </c>
      <c r="I101">
        <v>0.01</v>
      </c>
      <c r="J101">
        <v>8</v>
      </c>
      <c r="K101">
        <v>1</v>
      </c>
      <c r="L101" s="4">
        <v>0.23178322887115149</v>
      </c>
      <c r="M101" s="4">
        <v>0.76821677112884845</v>
      </c>
      <c r="N101">
        <v>1</v>
      </c>
    </row>
    <row r="102" spans="1:14" x14ac:dyDescent="0.35">
      <c r="A102" s="1">
        <v>1433</v>
      </c>
      <c r="B102">
        <v>14</v>
      </c>
      <c r="C102">
        <v>32</v>
      </c>
      <c r="D102">
        <v>5</v>
      </c>
      <c r="E102">
        <v>0</v>
      </c>
      <c r="F102">
        <v>0</v>
      </c>
      <c r="G102">
        <v>4</v>
      </c>
      <c r="H102">
        <v>3</v>
      </c>
      <c r="I102">
        <v>0.01</v>
      </c>
      <c r="J102">
        <v>8</v>
      </c>
      <c r="K102">
        <v>1</v>
      </c>
      <c r="L102" s="4">
        <v>0.23216529597232349</v>
      </c>
      <c r="M102" s="4">
        <v>0.76783470402767651</v>
      </c>
      <c r="N102">
        <v>1</v>
      </c>
    </row>
    <row r="103" spans="1:14" x14ac:dyDescent="0.35">
      <c r="A103" s="1">
        <v>4018</v>
      </c>
      <c r="B103">
        <v>15</v>
      </c>
      <c r="C103">
        <v>35</v>
      </c>
      <c r="D103">
        <v>5</v>
      </c>
      <c r="E103">
        <v>0</v>
      </c>
      <c r="F103">
        <v>1</v>
      </c>
      <c r="G103">
        <v>12</v>
      </c>
      <c r="H103">
        <v>3</v>
      </c>
      <c r="I103">
        <v>0.01</v>
      </c>
      <c r="J103">
        <v>4</v>
      </c>
      <c r="K103">
        <v>1</v>
      </c>
      <c r="L103" s="4">
        <v>0.2347215846972224</v>
      </c>
      <c r="M103" s="4">
        <v>0.76527841530277763</v>
      </c>
      <c r="N103">
        <v>1</v>
      </c>
    </row>
    <row r="104" spans="1:14" x14ac:dyDescent="0.35">
      <c r="A104" s="1">
        <v>1793</v>
      </c>
      <c r="B104">
        <v>16</v>
      </c>
      <c r="C104">
        <v>42</v>
      </c>
      <c r="D104">
        <v>5</v>
      </c>
      <c r="E104">
        <v>0</v>
      </c>
      <c r="F104">
        <v>2</v>
      </c>
      <c r="G104">
        <v>0</v>
      </c>
      <c r="H104">
        <v>0</v>
      </c>
      <c r="I104">
        <v>6000</v>
      </c>
      <c r="J104">
        <v>2</v>
      </c>
      <c r="K104">
        <v>1</v>
      </c>
      <c r="L104" s="4">
        <v>0.2348866863071519</v>
      </c>
      <c r="M104" s="4">
        <v>0.76511331369284807</v>
      </c>
      <c r="N104">
        <v>1</v>
      </c>
    </row>
    <row r="105" spans="1:14" x14ac:dyDescent="0.35">
      <c r="A105" s="1">
        <v>1033</v>
      </c>
      <c r="B105">
        <v>18</v>
      </c>
      <c r="C105">
        <v>51</v>
      </c>
      <c r="D105">
        <v>2</v>
      </c>
      <c r="E105">
        <v>0</v>
      </c>
      <c r="F105">
        <v>1</v>
      </c>
      <c r="G105">
        <v>12</v>
      </c>
      <c r="H105">
        <v>0</v>
      </c>
      <c r="I105">
        <v>11500</v>
      </c>
      <c r="J105">
        <v>4</v>
      </c>
      <c r="K105">
        <v>0</v>
      </c>
      <c r="L105" s="4">
        <v>0.23510951515331491</v>
      </c>
      <c r="M105" s="4">
        <v>0.76489048484668509</v>
      </c>
      <c r="N105">
        <v>1</v>
      </c>
    </row>
    <row r="106" spans="1:14" x14ac:dyDescent="0.35">
      <c r="A106" s="1">
        <v>1389</v>
      </c>
      <c r="B106">
        <v>15</v>
      </c>
      <c r="C106">
        <v>37</v>
      </c>
      <c r="D106">
        <v>4</v>
      </c>
      <c r="E106">
        <v>0</v>
      </c>
      <c r="F106">
        <v>0</v>
      </c>
      <c r="G106">
        <v>11</v>
      </c>
      <c r="H106">
        <v>2</v>
      </c>
      <c r="I106">
        <v>500</v>
      </c>
      <c r="J106">
        <v>13</v>
      </c>
      <c r="K106">
        <v>1</v>
      </c>
      <c r="L106" s="4">
        <v>0.23539550770652809</v>
      </c>
      <c r="M106" s="4">
        <v>0.76460449229347194</v>
      </c>
      <c r="N106">
        <v>1</v>
      </c>
    </row>
    <row r="107" spans="1:14" x14ac:dyDescent="0.35">
      <c r="A107" s="1">
        <v>2102</v>
      </c>
      <c r="B107">
        <v>12</v>
      </c>
      <c r="C107">
        <v>25</v>
      </c>
      <c r="D107">
        <v>0</v>
      </c>
      <c r="E107">
        <v>0</v>
      </c>
      <c r="F107">
        <v>3</v>
      </c>
      <c r="G107">
        <v>3</v>
      </c>
      <c r="H107">
        <v>3</v>
      </c>
      <c r="I107">
        <v>0.01</v>
      </c>
      <c r="J107">
        <v>5</v>
      </c>
      <c r="K107">
        <v>1</v>
      </c>
      <c r="L107" s="4">
        <v>0.23545153610429231</v>
      </c>
      <c r="M107" s="4">
        <v>0.76454846389570774</v>
      </c>
      <c r="N107">
        <v>1</v>
      </c>
    </row>
    <row r="108" spans="1:14" x14ac:dyDescent="0.35">
      <c r="A108" s="1">
        <v>2150</v>
      </c>
      <c r="B108">
        <v>14</v>
      </c>
      <c r="C108">
        <v>32</v>
      </c>
      <c r="D108">
        <v>4</v>
      </c>
      <c r="E108">
        <v>0</v>
      </c>
      <c r="F108">
        <v>2</v>
      </c>
      <c r="G108">
        <v>1</v>
      </c>
      <c r="H108">
        <v>3</v>
      </c>
      <c r="I108">
        <v>0.01</v>
      </c>
      <c r="J108">
        <v>4</v>
      </c>
      <c r="K108">
        <v>1</v>
      </c>
      <c r="L108" s="4">
        <v>0.2356089506334971</v>
      </c>
      <c r="M108" s="4">
        <v>0.76439104936650293</v>
      </c>
      <c r="N108">
        <v>1</v>
      </c>
    </row>
    <row r="109" spans="1:14" x14ac:dyDescent="0.35">
      <c r="A109" s="1">
        <v>3644</v>
      </c>
      <c r="B109">
        <v>14</v>
      </c>
      <c r="C109">
        <v>35</v>
      </c>
      <c r="D109">
        <v>1</v>
      </c>
      <c r="E109">
        <v>0</v>
      </c>
      <c r="F109">
        <v>3</v>
      </c>
      <c r="G109">
        <v>3</v>
      </c>
      <c r="H109">
        <v>0</v>
      </c>
      <c r="I109">
        <v>5400</v>
      </c>
      <c r="J109">
        <v>4</v>
      </c>
      <c r="K109">
        <v>1</v>
      </c>
      <c r="L109" s="4">
        <v>0.23565978008455921</v>
      </c>
      <c r="M109" s="4">
        <v>0.76434021991544077</v>
      </c>
      <c r="N109">
        <v>1</v>
      </c>
    </row>
    <row r="110" spans="1:14" x14ac:dyDescent="0.35">
      <c r="A110" s="1">
        <v>1657</v>
      </c>
      <c r="B110">
        <v>12</v>
      </c>
      <c r="C110">
        <v>27</v>
      </c>
      <c r="D110">
        <v>1</v>
      </c>
      <c r="E110">
        <v>0</v>
      </c>
      <c r="F110">
        <v>0</v>
      </c>
      <c r="G110">
        <v>2</v>
      </c>
      <c r="H110">
        <v>2</v>
      </c>
      <c r="I110">
        <v>1320</v>
      </c>
      <c r="J110">
        <v>1</v>
      </c>
      <c r="K110">
        <v>1</v>
      </c>
      <c r="L110" s="4">
        <v>0.2381421617962545</v>
      </c>
      <c r="M110" s="4">
        <v>0.76185783820374553</v>
      </c>
      <c r="N110">
        <v>1</v>
      </c>
    </row>
    <row r="111" spans="1:14" x14ac:dyDescent="0.35">
      <c r="A111" s="1">
        <v>31</v>
      </c>
      <c r="B111">
        <v>15</v>
      </c>
      <c r="C111">
        <v>36</v>
      </c>
      <c r="D111">
        <v>5</v>
      </c>
      <c r="E111">
        <v>0</v>
      </c>
      <c r="F111">
        <v>0</v>
      </c>
      <c r="G111">
        <v>11</v>
      </c>
      <c r="H111">
        <v>3</v>
      </c>
      <c r="I111">
        <v>0.01</v>
      </c>
      <c r="J111">
        <v>4</v>
      </c>
      <c r="K111">
        <v>1</v>
      </c>
      <c r="L111" s="4">
        <v>0.23947131286565959</v>
      </c>
      <c r="M111" s="4">
        <v>0.76052868713434041</v>
      </c>
      <c r="N111">
        <v>1</v>
      </c>
    </row>
    <row r="112" spans="1:14" x14ac:dyDescent="0.35">
      <c r="A112" s="1">
        <v>2317</v>
      </c>
      <c r="B112">
        <v>13</v>
      </c>
      <c r="C112">
        <v>28</v>
      </c>
      <c r="D112">
        <v>5</v>
      </c>
      <c r="E112">
        <v>0</v>
      </c>
      <c r="F112">
        <v>3</v>
      </c>
      <c r="G112">
        <v>3</v>
      </c>
      <c r="H112">
        <v>2</v>
      </c>
      <c r="I112">
        <v>425</v>
      </c>
      <c r="J112">
        <v>4</v>
      </c>
      <c r="K112">
        <v>0</v>
      </c>
      <c r="L112" s="4">
        <v>0.23996446014007999</v>
      </c>
      <c r="M112" s="4">
        <v>0.76003553985992001</v>
      </c>
      <c r="N112">
        <v>1</v>
      </c>
    </row>
    <row r="113" spans="1:14" x14ac:dyDescent="0.35">
      <c r="A113" s="1">
        <v>3050</v>
      </c>
      <c r="B113">
        <v>16</v>
      </c>
      <c r="C113">
        <v>39</v>
      </c>
      <c r="D113">
        <v>2</v>
      </c>
      <c r="E113">
        <v>1</v>
      </c>
      <c r="F113">
        <v>1</v>
      </c>
      <c r="G113">
        <v>7</v>
      </c>
      <c r="H113">
        <v>0</v>
      </c>
      <c r="I113">
        <v>12105.32</v>
      </c>
      <c r="J113">
        <v>7</v>
      </c>
      <c r="K113">
        <v>1</v>
      </c>
      <c r="L113" s="4">
        <v>0.24028187484146421</v>
      </c>
      <c r="M113" s="4">
        <v>0.75971812515853576</v>
      </c>
      <c r="N113">
        <v>1</v>
      </c>
    </row>
    <row r="114" spans="1:14" x14ac:dyDescent="0.35">
      <c r="A114" s="1">
        <v>3834</v>
      </c>
      <c r="B114">
        <v>14</v>
      </c>
      <c r="C114">
        <v>34</v>
      </c>
      <c r="D114">
        <v>5</v>
      </c>
      <c r="E114">
        <v>0</v>
      </c>
      <c r="F114">
        <v>0</v>
      </c>
      <c r="G114">
        <v>2</v>
      </c>
      <c r="H114">
        <v>2</v>
      </c>
      <c r="I114">
        <v>2500</v>
      </c>
      <c r="J114">
        <v>12</v>
      </c>
      <c r="K114">
        <v>1</v>
      </c>
      <c r="L114" s="4">
        <v>0.2423320596173606</v>
      </c>
      <c r="M114" s="4">
        <v>0.7576679403826394</v>
      </c>
      <c r="N114">
        <v>1</v>
      </c>
    </row>
    <row r="115" spans="1:14" x14ac:dyDescent="0.35">
      <c r="A115" s="1">
        <v>2503</v>
      </c>
      <c r="B115">
        <v>18</v>
      </c>
      <c r="C115">
        <v>51</v>
      </c>
      <c r="D115">
        <v>1</v>
      </c>
      <c r="E115">
        <v>0</v>
      </c>
      <c r="F115">
        <v>0</v>
      </c>
      <c r="G115">
        <v>11</v>
      </c>
      <c r="H115">
        <v>2</v>
      </c>
      <c r="I115">
        <v>3000</v>
      </c>
      <c r="J115">
        <v>3</v>
      </c>
      <c r="K115">
        <v>0</v>
      </c>
      <c r="L115" s="4">
        <v>0.24289098739721149</v>
      </c>
      <c r="M115" s="4">
        <v>0.75710901260278851</v>
      </c>
      <c r="N115">
        <v>1</v>
      </c>
    </row>
    <row r="116" spans="1:14" x14ac:dyDescent="0.35">
      <c r="A116" s="1">
        <v>2743</v>
      </c>
      <c r="B116">
        <v>13</v>
      </c>
      <c r="C116">
        <v>29</v>
      </c>
      <c r="D116">
        <v>3</v>
      </c>
      <c r="E116">
        <v>0</v>
      </c>
      <c r="F116">
        <v>1</v>
      </c>
      <c r="G116">
        <v>7</v>
      </c>
      <c r="H116">
        <v>3</v>
      </c>
      <c r="I116">
        <v>0.01</v>
      </c>
      <c r="J116">
        <v>5</v>
      </c>
      <c r="K116">
        <v>1</v>
      </c>
      <c r="L116" s="4">
        <v>0.24291090038291169</v>
      </c>
      <c r="M116" s="4">
        <v>0.75708909961708826</v>
      </c>
      <c r="N116">
        <v>1</v>
      </c>
    </row>
    <row r="117" spans="1:14" x14ac:dyDescent="0.35">
      <c r="A117" s="1">
        <v>3177</v>
      </c>
      <c r="B117">
        <v>15</v>
      </c>
      <c r="C117">
        <v>37</v>
      </c>
      <c r="D117">
        <v>4</v>
      </c>
      <c r="E117">
        <v>0</v>
      </c>
      <c r="F117">
        <v>3</v>
      </c>
      <c r="G117">
        <v>3</v>
      </c>
      <c r="H117">
        <v>2</v>
      </c>
      <c r="I117">
        <v>3000</v>
      </c>
      <c r="J117">
        <v>8</v>
      </c>
      <c r="K117">
        <v>1</v>
      </c>
      <c r="L117" s="4">
        <v>0.24336181295171039</v>
      </c>
      <c r="M117" s="4">
        <v>0.75663818704828956</v>
      </c>
      <c r="N117">
        <v>1</v>
      </c>
    </row>
    <row r="118" spans="1:14" x14ac:dyDescent="0.35">
      <c r="A118" s="1">
        <v>4073</v>
      </c>
      <c r="B118">
        <v>14</v>
      </c>
      <c r="C118">
        <v>33</v>
      </c>
      <c r="D118">
        <v>4</v>
      </c>
      <c r="E118">
        <v>0</v>
      </c>
      <c r="F118">
        <v>3</v>
      </c>
      <c r="G118">
        <v>3</v>
      </c>
      <c r="H118">
        <v>2</v>
      </c>
      <c r="I118">
        <v>2800.02</v>
      </c>
      <c r="J118">
        <v>8</v>
      </c>
      <c r="K118">
        <v>1</v>
      </c>
      <c r="L118" s="4">
        <v>0.24397808657703821</v>
      </c>
      <c r="M118" s="4">
        <v>0.75602191342296177</v>
      </c>
      <c r="N118">
        <v>1</v>
      </c>
    </row>
    <row r="119" spans="1:14" x14ac:dyDescent="0.35">
      <c r="A119" s="1">
        <v>727</v>
      </c>
      <c r="B119">
        <v>13</v>
      </c>
      <c r="C119">
        <v>28</v>
      </c>
      <c r="D119">
        <v>5</v>
      </c>
      <c r="E119">
        <v>0</v>
      </c>
      <c r="F119">
        <v>1</v>
      </c>
      <c r="G119">
        <v>12</v>
      </c>
      <c r="H119">
        <v>3</v>
      </c>
      <c r="I119">
        <v>0.01</v>
      </c>
      <c r="J119">
        <v>4</v>
      </c>
      <c r="K119">
        <v>1</v>
      </c>
      <c r="L119" s="4">
        <v>0.24682415513236569</v>
      </c>
      <c r="M119" s="4">
        <v>0.75317584486763434</v>
      </c>
      <c r="N119">
        <v>1</v>
      </c>
    </row>
    <row r="120" spans="1:14" x14ac:dyDescent="0.35">
      <c r="A120" s="1">
        <v>2936</v>
      </c>
      <c r="B120">
        <v>14</v>
      </c>
      <c r="C120">
        <v>34</v>
      </c>
      <c r="D120">
        <v>2</v>
      </c>
      <c r="E120">
        <v>0</v>
      </c>
      <c r="F120">
        <v>3</v>
      </c>
      <c r="G120">
        <v>3</v>
      </c>
      <c r="H120">
        <v>2</v>
      </c>
      <c r="I120">
        <v>3000</v>
      </c>
      <c r="J120">
        <v>1</v>
      </c>
      <c r="K120">
        <v>1</v>
      </c>
      <c r="L120" s="4">
        <v>0.246986386728579</v>
      </c>
      <c r="M120" s="4">
        <v>0.75301361327142102</v>
      </c>
      <c r="N120">
        <v>1</v>
      </c>
    </row>
    <row r="121" spans="1:14" x14ac:dyDescent="0.35">
      <c r="A121" s="1">
        <v>1735</v>
      </c>
      <c r="B121">
        <v>15</v>
      </c>
      <c r="C121">
        <v>38</v>
      </c>
      <c r="D121">
        <v>4</v>
      </c>
      <c r="E121">
        <v>0</v>
      </c>
      <c r="F121">
        <v>1</v>
      </c>
      <c r="G121">
        <v>7</v>
      </c>
      <c r="H121">
        <v>2</v>
      </c>
      <c r="I121">
        <v>300</v>
      </c>
      <c r="J121">
        <v>11</v>
      </c>
      <c r="K121">
        <v>1</v>
      </c>
      <c r="L121" s="4">
        <v>0.24813968418740079</v>
      </c>
      <c r="M121" s="4">
        <v>0.75186031581259916</v>
      </c>
      <c r="N121">
        <v>1</v>
      </c>
    </row>
    <row r="122" spans="1:14" x14ac:dyDescent="0.35">
      <c r="A122" s="1">
        <v>4400</v>
      </c>
      <c r="B122">
        <v>16</v>
      </c>
      <c r="C122">
        <v>44</v>
      </c>
      <c r="D122">
        <v>3</v>
      </c>
      <c r="E122">
        <v>0</v>
      </c>
      <c r="F122">
        <v>1</v>
      </c>
      <c r="G122">
        <v>7</v>
      </c>
      <c r="H122">
        <v>0</v>
      </c>
      <c r="I122">
        <v>7500</v>
      </c>
      <c r="J122">
        <v>3</v>
      </c>
      <c r="K122">
        <v>1</v>
      </c>
      <c r="L122" s="4">
        <v>0.24845321052048591</v>
      </c>
      <c r="M122" s="4">
        <v>0.75154678947951414</v>
      </c>
      <c r="N122">
        <v>1</v>
      </c>
    </row>
    <row r="123" spans="1:14" x14ac:dyDescent="0.35">
      <c r="A123" s="1">
        <v>4007</v>
      </c>
      <c r="B123">
        <v>13</v>
      </c>
      <c r="C123">
        <v>31</v>
      </c>
      <c r="D123">
        <v>2</v>
      </c>
      <c r="E123">
        <v>0</v>
      </c>
      <c r="F123">
        <v>1</v>
      </c>
      <c r="G123">
        <v>5</v>
      </c>
      <c r="H123">
        <v>2</v>
      </c>
      <c r="I123">
        <v>420</v>
      </c>
      <c r="J123">
        <v>5</v>
      </c>
      <c r="K123">
        <v>1</v>
      </c>
      <c r="L123" s="4">
        <v>0.25003821510624119</v>
      </c>
      <c r="M123" s="4">
        <v>0.74996178489375875</v>
      </c>
      <c r="N123">
        <v>1</v>
      </c>
    </row>
    <row r="124" spans="1:14" x14ac:dyDescent="0.35">
      <c r="A124" s="1">
        <v>2742</v>
      </c>
      <c r="B124">
        <v>14</v>
      </c>
      <c r="C124">
        <v>33</v>
      </c>
      <c r="D124">
        <v>5</v>
      </c>
      <c r="E124">
        <v>0</v>
      </c>
      <c r="F124">
        <v>3</v>
      </c>
      <c r="G124">
        <v>3</v>
      </c>
      <c r="H124">
        <v>2</v>
      </c>
      <c r="I124">
        <v>41.62</v>
      </c>
      <c r="J124">
        <v>2</v>
      </c>
      <c r="K124">
        <v>1</v>
      </c>
      <c r="L124" s="4">
        <v>0.25114128490780269</v>
      </c>
      <c r="M124" s="4">
        <v>0.74885871509219726</v>
      </c>
      <c r="N124">
        <v>1</v>
      </c>
    </row>
    <row r="125" spans="1:14" x14ac:dyDescent="0.35">
      <c r="A125" s="1">
        <v>3949</v>
      </c>
      <c r="B125">
        <v>16</v>
      </c>
      <c r="C125">
        <v>37</v>
      </c>
      <c r="D125">
        <v>5</v>
      </c>
      <c r="E125">
        <v>1</v>
      </c>
      <c r="F125">
        <v>1</v>
      </c>
      <c r="G125">
        <v>7</v>
      </c>
      <c r="H125">
        <v>2</v>
      </c>
      <c r="I125">
        <v>0.02</v>
      </c>
      <c r="J125">
        <v>5</v>
      </c>
      <c r="K125">
        <v>1</v>
      </c>
      <c r="L125" s="4">
        <v>0.25303752959739811</v>
      </c>
      <c r="M125" s="4">
        <v>0.74696247040260189</v>
      </c>
      <c r="N125">
        <v>1</v>
      </c>
    </row>
    <row r="126" spans="1:14" x14ac:dyDescent="0.35">
      <c r="A126" s="1">
        <v>4214</v>
      </c>
      <c r="B126">
        <v>14</v>
      </c>
      <c r="C126">
        <v>37</v>
      </c>
      <c r="D126">
        <v>0</v>
      </c>
      <c r="E126">
        <v>0</v>
      </c>
      <c r="F126">
        <v>3</v>
      </c>
      <c r="G126">
        <v>3</v>
      </c>
      <c r="H126">
        <v>0</v>
      </c>
      <c r="I126">
        <v>6000</v>
      </c>
      <c r="J126">
        <v>1</v>
      </c>
      <c r="K126">
        <v>1</v>
      </c>
      <c r="L126" s="4">
        <v>0.25356455623141438</v>
      </c>
      <c r="M126" s="4">
        <v>0.74643544376858562</v>
      </c>
      <c r="N126">
        <v>1</v>
      </c>
    </row>
    <row r="127" spans="1:14" x14ac:dyDescent="0.35">
      <c r="A127" s="1">
        <v>2000</v>
      </c>
      <c r="B127">
        <v>15</v>
      </c>
      <c r="C127">
        <v>37</v>
      </c>
      <c r="D127">
        <v>2</v>
      </c>
      <c r="E127">
        <v>0</v>
      </c>
      <c r="F127">
        <v>4</v>
      </c>
      <c r="G127">
        <v>9</v>
      </c>
      <c r="H127">
        <v>3</v>
      </c>
      <c r="I127">
        <v>0.01</v>
      </c>
      <c r="J127">
        <v>8</v>
      </c>
      <c r="K127">
        <v>1</v>
      </c>
      <c r="L127" s="4">
        <v>0.2541245091271418</v>
      </c>
      <c r="M127" s="4">
        <v>0.7458754908728582</v>
      </c>
      <c r="N127">
        <v>1</v>
      </c>
    </row>
    <row r="128" spans="1:14" x14ac:dyDescent="0.35">
      <c r="A128" s="1">
        <v>2723</v>
      </c>
      <c r="B128">
        <v>14</v>
      </c>
      <c r="C128">
        <v>35</v>
      </c>
      <c r="D128">
        <v>1</v>
      </c>
      <c r="E128">
        <v>0</v>
      </c>
      <c r="F128">
        <v>1</v>
      </c>
      <c r="G128">
        <v>7</v>
      </c>
      <c r="H128">
        <v>3</v>
      </c>
      <c r="I128">
        <v>0.01</v>
      </c>
      <c r="J128">
        <v>8</v>
      </c>
      <c r="K128">
        <v>1</v>
      </c>
      <c r="L128" s="4">
        <v>0.25427872469360158</v>
      </c>
      <c r="M128" s="4">
        <v>0.74572127530639842</v>
      </c>
      <c r="N128">
        <v>1</v>
      </c>
    </row>
    <row r="129" spans="1:14" x14ac:dyDescent="0.35">
      <c r="A129" s="1">
        <v>3385</v>
      </c>
      <c r="B129">
        <v>12</v>
      </c>
      <c r="C129">
        <v>27</v>
      </c>
      <c r="D129">
        <v>5</v>
      </c>
      <c r="E129">
        <v>0</v>
      </c>
      <c r="F129">
        <v>1</v>
      </c>
      <c r="G129">
        <v>12</v>
      </c>
      <c r="H129">
        <v>0</v>
      </c>
      <c r="I129">
        <v>6107.64</v>
      </c>
      <c r="J129">
        <v>5</v>
      </c>
      <c r="K129">
        <v>1</v>
      </c>
      <c r="L129" s="4">
        <v>0.2544078486684398</v>
      </c>
      <c r="M129" s="4">
        <v>0.7455921513315602</v>
      </c>
      <c r="N129">
        <v>1</v>
      </c>
    </row>
    <row r="130" spans="1:14" x14ac:dyDescent="0.35">
      <c r="A130" s="1">
        <v>1077</v>
      </c>
      <c r="B130">
        <v>16</v>
      </c>
      <c r="C130">
        <v>43</v>
      </c>
      <c r="D130">
        <v>2</v>
      </c>
      <c r="E130">
        <v>0</v>
      </c>
      <c r="F130">
        <v>3</v>
      </c>
      <c r="G130">
        <v>3</v>
      </c>
      <c r="H130">
        <v>2</v>
      </c>
      <c r="I130">
        <v>3000</v>
      </c>
      <c r="J130">
        <v>11</v>
      </c>
      <c r="K130">
        <v>1</v>
      </c>
      <c r="L130" s="4">
        <v>0.25474363887892859</v>
      </c>
      <c r="M130" s="4">
        <v>0.74525636112107141</v>
      </c>
      <c r="N130">
        <v>1</v>
      </c>
    </row>
    <row r="131" spans="1:14" x14ac:dyDescent="0.35">
      <c r="A131" s="1">
        <v>3265</v>
      </c>
      <c r="B131">
        <v>15</v>
      </c>
      <c r="C131">
        <v>40</v>
      </c>
      <c r="D131">
        <v>2</v>
      </c>
      <c r="E131">
        <v>0</v>
      </c>
      <c r="F131">
        <v>0</v>
      </c>
      <c r="G131">
        <v>11</v>
      </c>
      <c r="H131">
        <v>2</v>
      </c>
      <c r="I131">
        <v>550</v>
      </c>
      <c r="J131">
        <v>9</v>
      </c>
      <c r="K131">
        <v>1</v>
      </c>
      <c r="L131" s="4">
        <v>0.26016405587521568</v>
      </c>
      <c r="M131" s="4">
        <v>0.73983594412478426</v>
      </c>
      <c r="N131">
        <v>1</v>
      </c>
    </row>
    <row r="132" spans="1:14" x14ac:dyDescent="0.35">
      <c r="A132" s="1">
        <v>2542</v>
      </c>
      <c r="B132">
        <v>15</v>
      </c>
      <c r="C132">
        <v>40</v>
      </c>
      <c r="D132">
        <v>2</v>
      </c>
      <c r="E132">
        <v>0</v>
      </c>
      <c r="F132">
        <v>1</v>
      </c>
      <c r="G132">
        <v>7</v>
      </c>
      <c r="H132">
        <v>2</v>
      </c>
      <c r="I132">
        <v>1200</v>
      </c>
      <c r="J132">
        <v>8</v>
      </c>
      <c r="K132">
        <v>0</v>
      </c>
      <c r="L132" s="4">
        <v>0.26145663060873658</v>
      </c>
      <c r="M132" s="4">
        <v>0.73854336939126342</v>
      </c>
      <c r="N132">
        <v>1</v>
      </c>
    </row>
    <row r="133" spans="1:14" x14ac:dyDescent="0.35">
      <c r="A133" s="1">
        <v>3309</v>
      </c>
      <c r="B133">
        <v>18</v>
      </c>
      <c r="C133">
        <v>52</v>
      </c>
      <c r="D133">
        <v>1</v>
      </c>
      <c r="E133">
        <v>0</v>
      </c>
      <c r="F133">
        <v>3</v>
      </c>
      <c r="G133">
        <v>3</v>
      </c>
      <c r="H133">
        <v>2</v>
      </c>
      <c r="I133">
        <v>50.01</v>
      </c>
      <c r="J133">
        <v>7</v>
      </c>
      <c r="K133">
        <v>1</v>
      </c>
      <c r="L133" s="4">
        <v>0.26197095826294331</v>
      </c>
      <c r="M133" s="4">
        <v>0.73802904173705675</v>
      </c>
      <c r="N133">
        <v>1</v>
      </c>
    </row>
    <row r="134" spans="1:14" x14ac:dyDescent="0.35">
      <c r="A134" s="1">
        <v>2930</v>
      </c>
      <c r="B134">
        <v>13</v>
      </c>
      <c r="C134">
        <v>31</v>
      </c>
      <c r="D134">
        <v>1</v>
      </c>
      <c r="E134">
        <v>0</v>
      </c>
      <c r="F134">
        <v>3</v>
      </c>
      <c r="G134">
        <v>3</v>
      </c>
      <c r="H134">
        <v>3</v>
      </c>
      <c r="I134">
        <v>0.01</v>
      </c>
      <c r="J134">
        <v>5</v>
      </c>
      <c r="K134">
        <v>1</v>
      </c>
      <c r="L134" s="4">
        <v>0.26227987042392342</v>
      </c>
      <c r="M134" s="4">
        <v>0.73772012957607658</v>
      </c>
      <c r="N134">
        <v>1</v>
      </c>
    </row>
    <row r="135" spans="1:14" x14ac:dyDescent="0.35">
      <c r="A135" s="1">
        <v>999</v>
      </c>
      <c r="B135">
        <v>11</v>
      </c>
      <c r="C135">
        <v>24</v>
      </c>
      <c r="D135">
        <v>3</v>
      </c>
      <c r="E135">
        <v>0</v>
      </c>
      <c r="F135">
        <v>3</v>
      </c>
      <c r="G135">
        <v>8</v>
      </c>
      <c r="H135">
        <v>0</v>
      </c>
      <c r="I135">
        <v>6053.35</v>
      </c>
      <c r="J135">
        <v>6</v>
      </c>
      <c r="K135">
        <v>1</v>
      </c>
      <c r="L135" s="4">
        <v>0.26289887384178529</v>
      </c>
      <c r="M135" s="4">
        <v>0.73710112615821466</v>
      </c>
      <c r="N135">
        <v>1</v>
      </c>
    </row>
    <row r="136" spans="1:14" x14ac:dyDescent="0.35">
      <c r="A136" s="1">
        <v>1664</v>
      </c>
      <c r="B136">
        <v>14</v>
      </c>
      <c r="C136">
        <v>37</v>
      </c>
      <c r="D136">
        <v>3</v>
      </c>
      <c r="E136">
        <v>0</v>
      </c>
      <c r="F136">
        <v>1</v>
      </c>
      <c r="G136">
        <v>7</v>
      </c>
      <c r="H136">
        <v>1</v>
      </c>
      <c r="I136">
        <v>24901</v>
      </c>
      <c r="J136">
        <v>7</v>
      </c>
      <c r="K136">
        <v>1</v>
      </c>
      <c r="L136" s="4">
        <v>0.26311745954855492</v>
      </c>
      <c r="M136" s="4">
        <v>0.73688254045144508</v>
      </c>
      <c r="N136">
        <v>1</v>
      </c>
    </row>
    <row r="137" spans="1:14" x14ac:dyDescent="0.35">
      <c r="A137" s="1">
        <v>458</v>
      </c>
      <c r="B137">
        <v>15</v>
      </c>
      <c r="C137">
        <v>41</v>
      </c>
      <c r="D137">
        <v>4</v>
      </c>
      <c r="E137">
        <v>0</v>
      </c>
      <c r="F137">
        <v>1</v>
      </c>
      <c r="G137">
        <v>7</v>
      </c>
      <c r="H137">
        <v>0</v>
      </c>
      <c r="I137">
        <v>6107.64</v>
      </c>
      <c r="J137">
        <v>6</v>
      </c>
      <c r="K137">
        <v>1</v>
      </c>
      <c r="L137" s="4">
        <v>0.26522362366700841</v>
      </c>
      <c r="M137" s="4">
        <v>0.73477637633299164</v>
      </c>
      <c r="N137">
        <v>1</v>
      </c>
    </row>
    <row r="138" spans="1:14" x14ac:dyDescent="0.35">
      <c r="A138" s="1">
        <v>788</v>
      </c>
      <c r="B138">
        <v>15</v>
      </c>
      <c r="C138">
        <v>40</v>
      </c>
      <c r="D138">
        <v>3</v>
      </c>
      <c r="E138">
        <v>0</v>
      </c>
      <c r="F138">
        <v>1</v>
      </c>
      <c r="G138">
        <v>7</v>
      </c>
      <c r="H138">
        <v>2</v>
      </c>
      <c r="I138">
        <v>360</v>
      </c>
      <c r="J138">
        <v>9</v>
      </c>
      <c r="K138">
        <v>1</v>
      </c>
      <c r="L138" s="4">
        <v>0.26658070158324942</v>
      </c>
      <c r="M138" s="4">
        <v>0.73341929841675058</v>
      </c>
      <c r="N138">
        <v>1</v>
      </c>
    </row>
    <row r="139" spans="1:14" x14ac:dyDescent="0.35">
      <c r="A139" s="1">
        <v>1111</v>
      </c>
      <c r="B139">
        <v>14</v>
      </c>
      <c r="C139">
        <v>36</v>
      </c>
      <c r="D139">
        <v>2</v>
      </c>
      <c r="E139">
        <v>0</v>
      </c>
      <c r="F139">
        <v>3</v>
      </c>
      <c r="G139">
        <v>3</v>
      </c>
      <c r="H139">
        <v>2</v>
      </c>
      <c r="I139">
        <v>1000</v>
      </c>
      <c r="J139">
        <v>8</v>
      </c>
      <c r="K139">
        <v>0</v>
      </c>
      <c r="L139" s="4">
        <v>0.26890685391412977</v>
      </c>
      <c r="M139" s="4">
        <v>0.73109314608587017</v>
      </c>
      <c r="N139">
        <v>1</v>
      </c>
    </row>
    <row r="140" spans="1:14" x14ac:dyDescent="0.35">
      <c r="A140" s="1">
        <v>3450</v>
      </c>
      <c r="B140">
        <v>18</v>
      </c>
      <c r="C140">
        <v>51</v>
      </c>
      <c r="D140">
        <v>1</v>
      </c>
      <c r="E140">
        <v>0</v>
      </c>
      <c r="F140">
        <v>4</v>
      </c>
      <c r="G140">
        <v>9</v>
      </c>
      <c r="H140">
        <v>3</v>
      </c>
      <c r="I140">
        <v>0.01</v>
      </c>
      <c r="J140">
        <v>8</v>
      </c>
      <c r="K140">
        <v>1</v>
      </c>
      <c r="L140" s="4">
        <v>0.2705656050649542</v>
      </c>
      <c r="M140" s="4">
        <v>0.7294343949350458</v>
      </c>
      <c r="N140">
        <v>1</v>
      </c>
    </row>
    <row r="141" spans="1:14" x14ac:dyDescent="0.35">
      <c r="A141" s="1">
        <v>3035</v>
      </c>
      <c r="B141">
        <v>15</v>
      </c>
      <c r="C141">
        <v>34</v>
      </c>
      <c r="D141">
        <v>3</v>
      </c>
      <c r="E141">
        <v>1</v>
      </c>
      <c r="F141">
        <v>3</v>
      </c>
      <c r="G141">
        <v>3</v>
      </c>
      <c r="H141">
        <v>3</v>
      </c>
      <c r="I141">
        <v>0.01</v>
      </c>
      <c r="J141">
        <v>4</v>
      </c>
      <c r="K141">
        <v>1</v>
      </c>
      <c r="L141" s="4">
        <v>0.27057668434487459</v>
      </c>
      <c r="M141" s="4">
        <v>0.72942331565512541</v>
      </c>
      <c r="N141">
        <v>1</v>
      </c>
    </row>
    <row r="142" spans="1:14" x14ac:dyDescent="0.35">
      <c r="A142" s="1">
        <v>451</v>
      </c>
      <c r="B142">
        <v>16</v>
      </c>
      <c r="C142">
        <v>44</v>
      </c>
      <c r="D142">
        <v>5</v>
      </c>
      <c r="E142">
        <v>0</v>
      </c>
      <c r="F142">
        <v>0</v>
      </c>
      <c r="G142">
        <v>4</v>
      </c>
      <c r="H142">
        <v>3</v>
      </c>
      <c r="I142">
        <v>0.01</v>
      </c>
      <c r="J142">
        <v>9</v>
      </c>
      <c r="K142">
        <v>1</v>
      </c>
      <c r="L142" s="4">
        <v>0.27632613373793652</v>
      </c>
      <c r="M142" s="4">
        <v>0.72367386626206354</v>
      </c>
      <c r="N142">
        <v>1</v>
      </c>
    </row>
    <row r="143" spans="1:14" x14ac:dyDescent="0.35">
      <c r="A143" s="1">
        <v>2177</v>
      </c>
      <c r="B143">
        <v>10</v>
      </c>
      <c r="C143">
        <v>19</v>
      </c>
      <c r="D143">
        <v>5</v>
      </c>
      <c r="E143">
        <v>0</v>
      </c>
      <c r="F143">
        <v>3</v>
      </c>
      <c r="G143">
        <v>3</v>
      </c>
      <c r="H143">
        <v>2</v>
      </c>
      <c r="I143">
        <v>1500</v>
      </c>
      <c r="J143">
        <v>1</v>
      </c>
      <c r="K143">
        <v>0</v>
      </c>
      <c r="L143" s="4">
        <v>0.27664495235549003</v>
      </c>
      <c r="M143" s="4">
        <v>0.72335504764450997</v>
      </c>
      <c r="N143">
        <v>1</v>
      </c>
    </row>
    <row r="144" spans="1:14" x14ac:dyDescent="0.35">
      <c r="A144" s="1">
        <v>1554</v>
      </c>
      <c r="B144">
        <v>13</v>
      </c>
      <c r="C144">
        <v>33</v>
      </c>
      <c r="D144">
        <v>5</v>
      </c>
      <c r="E144">
        <v>0</v>
      </c>
      <c r="F144">
        <v>0</v>
      </c>
      <c r="G144">
        <v>2</v>
      </c>
      <c r="H144">
        <v>2</v>
      </c>
      <c r="I144">
        <v>1575</v>
      </c>
      <c r="J144">
        <v>5</v>
      </c>
      <c r="K144">
        <v>1</v>
      </c>
      <c r="L144" s="4">
        <v>0.27970851586661599</v>
      </c>
      <c r="M144" s="4">
        <v>0.72029148413338395</v>
      </c>
      <c r="N144">
        <v>1</v>
      </c>
    </row>
    <row r="145" spans="1:14" x14ac:dyDescent="0.35">
      <c r="A145" s="1">
        <v>2781</v>
      </c>
      <c r="B145">
        <v>16</v>
      </c>
      <c r="C145">
        <v>42</v>
      </c>
      <c r="D145">
        <v>2</v>
      </c>
      <c r="E145">
        <v>1</v>
      </c>
      <c r="F145">
        <v>3</v>
      </c>
      <c r="G145">
        <v>3</v>
      </c>
      <c r="H145">
        <v>0</v>
      </c>
      <c r="I145">
        <v>19214.64</v>
      </c>
      <c r="J145">
        <v>5</v>
      </c>
      <c r="K145">
        <v>0</v>
      </c>
      <c r="L145" s="4">
        <v>0.27997067274318688</v>
      </c>
      <c r="M145" s="4">
        <v>0.72002932725681312</v>
      </c>
      <c r="N145">
        <v>1</v>
      </c>
    </row>
    <row r="146" spans="1:14" x14ac:dyDescent="0.35">
      <c r="A146" s="1">
        <v>259</v>
      </c>
      <c r="B146">
        <v>13</v>
      </c>
      <c r="C146">
        <v>29</v>
      </c>
      <c r="D146">
        <v>1</v>
      </c>
      <c r="E146">
        <v>1</v>
      </c>
      <c r="F146">
        <v>0</v>
      </c>
      <c r="G146">
        <v>11</v>
      </c>
      <c r="H146">
        <v>2</v>
      </c>
      <c r="I146">
        <v>600</v>
      </c>
      <c r="J146">
        <v>1</v>
      </c>
      <c r="K146">
        <v>1</v>
      </c>
      <c r="L146" s="4">
        <v>0.28085575283320319</v>
      </c>
      <c r="M146" s="4">
        <v>0.71914424716679681</v>
      </c>
      <c r="N146">
        <v>1</v>
      </c>
    </row>
    <row r="147" spans="1:14" x14ac:dyDescent="0.35">
      <c r="A147" s="1">
        <v>2589</v>
      </c>
      <c r="B147">
        <v>13</v>
      </c>
      <c r="C147">
        <v>33</v>
      </c>
      <c r="D147">
        <v>2</v>
      </c>
      <c r="E147">
        <v>0</v>
      </c>
      <c r="F147">
        <v>3</v>
      </c>
      <c r="G147">
        <v>3</v>
      </c>
      <c r="H147">
        <v>2</v>
      </c>
      <c r="I147">
        <v>3276.91</v>
      </c>
      <c r="J147">
        <v>6</v>
      </c>
      <c r="K147">
        <v>1</v>
      </c>
      <c r="L147" s="4">
        <v>0.28128853538719362</v>
      </c>
      <c r="M147" s="4">
        <v>0.71871146461280644</v>
      </c>
      <c r="N147">
        <v>1</v>
      </c>
    </row>
    <row r="148" spans="1:14" x14ac:dyDescent="0.35">
      <c r="A148" s="1">
        <v>100</v>
      </c>
      <c r="B148">
        <v>17</v>
      </c>
      <c r="C148">
        <v>50</v>
      </c>
      <c r="D148">
        <v>0</v>
      </c>
      <c r="E148">
        <v>0</v>
      </c>
      <c r="F148">
        <v>1</v>
      </c>
      <c r="G148">
        <v>7</v>
      </c>
      <c r="H148">
        <v>3</v>
      </c>
      <c r="I148">
        <v>0.01</v>
      </c>
      <c r="J148">
        <v>8</v>
      </c>
      <c r="K148">
        <v>1</v>
      </c>
      <c r="L148" s="4">
        <v>0.28276897348118563</v>
      </c>
      <c r="M148" s="4">
        <v>0.71723102651881443</v>
      </c>
      <c r="N148">
        <v>1</v>
      </c>
    </row>
    <row r="149" spans="1:14" x14ac:dyDescent="0.35">
      <c r="A149" s="1">
        <v>2629</v>
      </c>
      <c r="B149">
        <v>14</v>
      </c>
      <c r="C149">
        <v>38</v>
      </c>
      <c r="D149">
        <v>2</v>
      </c>
      <c r="E149">
        <v>0</v>
      </c>
      <c r="F149">
        <v>0</v>
      </c>
      <c r="G149">
        <v>2</v>
      </c>
      <c r="H149">
        <v>3</v>
      </c>
      <c r="I149">
        <v>0.01</v>
      </c>
      <c r="J149">
        <v>8</v>
      </c>
      <c r="K149">
        <v>0</v>
      </c>
      <c r="L149" s="4">
        <v>0.28394638704509562</v>
      </c>
      <c r="M149" s="4">
        <v>0.71605361295490444</v>
      </c>
      <c r="N149">
        <v>1</v>
      </c>
    </row>
    <row r="150" spans="1:14" x14ac:dyDescent="0.35">
      <c r="A150" s="1">
        <v>785</v>
      </c>
      <c r="B150">
        <v>14</v>
      </c>
      <c r="C150">
        <v>39</v>
      </c>
      <c r="D150">
        <v>3</v>
      </c>
      <c r="E150">
        <v>0</v>
      </c>
      <c r="F150">
        <v>2</v>
      </c>
      <c r="G150">
        <v>1</v>
      </c>
      <c r="H150">
        <v>0</v>
      </c>
      <c r="I150">
        <v>6000</v>
      </c>
      <c r="J150">
        <v>4</v>
      </c>
      <c r="K150">
        <v>1</v>
      </c>
      <c r="L150" s="4">
        <v>0.28420563876434107</v>
      </c>
      <c r="M150" s="4">
        <v>0.71579436123565887</v>
      </c>
      <c r="N150">
        <v>1</v>
      </c>
    </row>
    <row r="151" spans="1:14" x14ac:dyDescent="0.35">
      <c r="A151" s="1">
        <v>2726</v>
      </c>
      <c r="B151">
        <v>13</v>
      </c>
      <c r="C151">
        <v>32</v>
      </c>
      <c r="D151">
        <v>3</v>
      </c>
      <c r="E151">
        <v>0</v>
      </c>
      <c r="F151">
        <v>3</v>
      </c>
      <c r="G151">
        <v>3</v>
      </c>
      <c r="H151">
        <v>3</v>
      </c>
      <c r="I151">
        <v>0.01</v>
      </c>
      <c r="J151">
        <v>5</v>
      </c>
      <c r="K151">
        <v>0</v>
      </c>
      <c r="L151" s="4">
        <v>0.28467804745750053</v>
      </c>
      <c r="M151" s="4">
        <v>0.71532195254249953</v>
      </c>
      <c r="N151">
        <v>1</v>
      </c>
    </row>
    <row r="152" spans="1:14" x14ac:dyDescent="0.35">
      <c r="A152" s="1">
        <v>2483</v>
      </c>
      <c r="B152">
        <v>17</v>
      </c>
      <c r="C152">
        <v>39</v>
      </c>
      <c r="D152">
        <v>3</v>
      </c>
      <c r="E152">
        <v>2</v>
      </c>
      <c r="F152">
        <v>1</v>
      </c>
      <c r="G152">
        <v>7</v>
      </c>
      <c r="H152">
        <v>3</v>
      </c>
      <c r="I152">
        <v>0.01</v>
      </c>
      <c r="J152">
        <v>5</v>
      </c>
      <c r="K152">
        <v>1</v>
      </c>
      <c r="L152" s="4">
        <v>0.28516893906695701</v>
      </c>
      <c r="M152" s="4">
        <v>0.71483106093304305</v>
      </c>
      <c r="N152">
        <v>1</v>
      </c>
    </row>
    <row r="153" spans="1:14" x14ac:dyDescent="0.35">
      <c r="A153" s="1">
        <v>4291</v>
      </c>
      <c r="B153">
        <v>18</v>
      </c>
      <c r="C153">
        <v>53</v>
      </c>
      <c r="D153">
        <v>2</v>
      </c>
      <c r="E153">
        <v>0</v>
      </c>
      <c r="F153">
        <v>3</v>
      </c>
      <c r="G153">
        <v>3</v>
      </c>
      <c r="H153">
        <v>3</v>
      </c>
      <c r="I153">
        <v>0.01</v>
      </c>
      <c r="J153">
        <v>8</v>
      </c>
      <c r="K153">
        <v>1</v>
      </c>
      <c r="L153" s="4">
        <v>0.28772342670815088</v>
      </c>
      <c r="M153" s="4">
        <v>0.71227657329184912</v>
      </c>
      <c r="N153">
        <v>1</v>
      </c>
    </row>
    <row r="154" spans="1:14" x14ac:dyDescent="0.35">
      <c r="A154" s="1">
        <v>4127</v>
      </c>
      <c r="B154">
        <v>14</v>
      </c>
      <c r="C154">
        <v>37</v>
      </c>
      <c r="D154">
        <v>3</v>
      </c>
      <c r="E154">
        <v>0</v>
      </c>
      <c r="F154">
        <v>0</v>
      </c>
      <c r="G154">
        <v>11</v>
      </c>
      <c r="H154">
        <v>3</v>
      </c>
      <c r="I154">
        <v>0.01</v>
      </c>
      <c r="J154">
        <v>5</v>
      </c>
      <c r="K154">
        <v>0</v>
      </c>
      <c r="L154" s="4">
        <v>0.28790506143900152</v>
      </c>
      <c r="M154" s="4">
        <v>0.71209493856099848</v>
      </c>
      <c r="N154">
        <v>1</v>
      </c>
    </row>
    <row r="155" spans="1:14" x14ac:dyDescent="0.35">
      <c r="A155" s="1">
        <v>3079</v>
      </c>
      <c r="B155">
        <v>13</v>
      </c>
      <c r="C155">
        <v>33</v>
      </c>
      <c r="D155">
        <v>3</v>
      </c>
      <c r="E155">
        <v>0</v>
      </c>
      <c r="F155">
        <v>0</v>
      </c>
      <c r="G155">
        <v>11</v>
      </c>
      <c r="H155">
        <v>3</v>
      </c>
      <c r="I155">
        <v>0.01</v>
      </c>
      <c r="J155">
        <v>5</v>
      </c>
      <c r="K155">
        <v>1</v>
      </c>
      <c r="L155" s="4">
        <v>0.28852496226542318</v>
      </c>
      <c r="M155" s="4">
        <v>0.71147503773457677</v>
      </c>
      <c r="N155">
        <v>1</v>
      </c>
    </row>
    <row r="156" spans="1:14" x14ac:dyDescent="0.35">
      <c r="A156" s="1">
        <v>2698</v>
      </c>
      <c r="B156">
        <v>14</v>
      </c>
      <c r="C156">
        <v>37</v>
      </c>
      <c r="D156">
        <v>5</v>
      </c>
      <c r="E156">
        <v>0</v>
      </c>
      <c r="F156">
        <v>0</v>
      </c>
      <c r="G156">
        <v>2</v>
      </c>
      <c r="H156">
        <v>3</v>
      </c>
      <c r="I156">
        <v>0.01</v>
      </c>
      <c r="J156">
        <v>5</v>
      </c>
      <c r="K156">
        <v>1</v>
      </c>
      <c r="L156" s="4">
        <v>0.28856152783817979</v>
      </c>
      <c r="M156" s="4">
        <v>0.71143847216182021</v>
      </c>
      <c r="N156">
        <v>1</v>
      </c>
    </row>
    <row r="157" spans="1:14" x14ac:dyDescent="0.35">
      <c r="A157" s="1">
        <v>818</v>
      </c>
      <c r="B157">
        <v>12</v>
      </c>
      <c r="C157">
        <v>30</v>
      </c>
      <c r="D157">
        <v>1</v>
      </c>
      <c r="E157">
        <v>0</v>
      </c>
      <c r="F157">
        <v>3</v>
      </c>
      <c r="G157">
        <v>3</v>
      </c>
      <c r="H157">
        <v>2</v>
      </c>
      <c r="I157">
        <v>10</v>
      </c>
      <c r="J157">
        <v>6</v>
      </c>
      <c r="K157">
        <v>1</v>
      </c>
      <c r="L157" s="4">
        <v>0.289889172779632</v>
      </c>
      <c r="M157" s="4">
        <v>0.710110827220368</v>
      </c>
      <c r="N157">
        <v>1</v>
      </c>
    </row>
    <row r="158" spans="1:14" x14ac:dyDescent="0.35">
      <c r="A158" s="1">
        <v>2303</v>
      </c>
      <c r="B158">
        <v>11</v>
      </c>
      <c r="C158">
        <v>27</v>
      </c>
      <c r="D158">
        <v>2</v>
      </c>
      <c r="E158">
        <v>0</v>
      </c>
      <c r="F158">
        <v>0</v>
      </c>
      <c r="G158">
        <v>2</v>
      </c>
      <c r="H158">
        <v>2</v>
      </c>
      <c r="I158">
        <v>1500</v>
      </c>
      <c r="J158">
        <v>1</v>
      </c>
      <c r="K158">
        <v>1</v>
      </c>
      <c r="L158" s="4">
        <v>0.29045740852047891</v>
      </c>
      <c r="M158" s="4">
        <v>0.70954259147952115</v>
      </c>
      <c r="N158">
        <v>1</v>
      </c>
    </row>
    <row r="159" spans="1:14" x14ac:dyDescent="0.35">
      <c r="A159" s="1">
        <v>1462</v>
      </c>
      <c r="B159">
        <v>14</v>
      </c>
      <c r="C159">
        <v>39</v>
      </c>
      <c r="D159">
        <v>3</v>
      </c>
      <c r="E159">
        <v>0</v>
      </c>
      <c r="F159">
        <v>3</v>
      </c>
      <c r="G159">
        <v>3</v>
      </c>
      <c r="H159">
        <v>0</v>
      </c>
      <c r="I159">
        <v>6000</v>
      </c>
      <c r="J159">
        <v>7</v>
      </c>
      <c r="K159">
        <v>1</v>
      </c>
      <c r="L159" s="4">
        <v>0.29149248664868349</v>
      </c>
      <c r="M159" s="4">
        <v>0.70850751335131645</v>
      </c>
      <c r="N159">
        <v>1</v>
      </c>
    </row>
    <row r="160" spans="1:14" x14ac:dyDescent="0.35">
      <c r="A160" s="1">
        <v>3293</v>
      </c>
      <c r="B160">
        <v>14</v>
      </c>
      <c r="C160">
        <v>39</v>
      </c>
      <c r="D160">
        <v>1</v>
      </c>
      <c r="E160">
        <v>0</v>
      </c>
      <c r="F160">
        <v>0</v>
      </c>
      <c r="G160">
        <v>4</v>
      </c>
      <c r="H160">
        <v>3</v>
      </c>
      <c r="I160">
        <v>0.01</v>
      </c>
      <c r="J160">
        <v>9</v>
      </c>
      <c r="K160">
        <v>1</v>
      </c>
      <c r="L160" s="4">
        <v>0.29288679085303743</v>
      </c>
      <c r="M160" s="4">
        <v>0.70711320914696263</v>
      </c>
      <c r="N160">
        <v>1</v>
      </c>
    </row>
    <row r="161" spans="1:14" x14ac:dyDescent="0.35">
      <c r="A161" s="1">
        <v>2908</v>
      </c>
      <c r="B161">
        <v>17</v>
      </c>
      <c r="C161">
        <v>51</v>
      </c>
      <c r="D161">
        <v>0</v>
      </c>
      <c r="E161">
        <v>0</v>
      </c>
      <c r="F161">
        <v>3</v>
      </c>
      <c r="G161">
        <v>3</v>
      </c>
      <c r="H161">
        <v>2</v>
      </c>
      <c r="I161">
        <v>3750</v>
      </c>
      <c r="J161">
        <v>4</v>
      </c>
      <c r="K161">
        <v>1</v>
      </c>
      <c r="L161" s="4">
        <v>0.29305017455402682</v>
      </c>
      <c r="M161" s="4">
        <v>0.70694982544597318</v>
      </c>
      <c r="N161">
        <v>1</v>
      </c>
    </row>
    <row r="162" spans="1:14" x14ac:dyDescent="0.35">
      <c r="A162" s="1">
        <v>4216</v>
      </c>
      <c r="B162">
        <v>15</v>
      </c>
      <c r="C162">
        <v>43</v>
      </c>
      <c r="D162">
        <v>1</v>
      </c>
      <c r="E162">
        <v>0</v>
      </c>
      <c r="F162">
        <v>1</v>
      </c>
      <c r="G162">
        <v>7</v>
      </c>
      <c r="H162">
        <v>2</v>
      </c>
      <c r="I162">
        <v>1000</v>
      </c>
      <c r="J162">
        <v>5</v>
      </c>
      <c r="K162">
        <v>1</v>
      </c>
      <c r="L162" s="4">
        <v>0.29317453653078368</v>
      </c>
      <c r="M162" s="4">
        <v>0.70682546346921626</v>
      </c>
      <c r="N162">
        <v>1</v>
      </c>
    </row>
    <row r="163" spans="1:14" x14ac:dyDescent="0.35">
      <c r="A163" s="1">
        <v>4075</v>
      </c>
      <c r="B163">
        <v>18</v>
      </c>
      <c r="C163">
        <v>55</v>
      </c>
      <c r="D163">
        <v>2</v>
      </c>
      <c r="E163">
        <v>0</v>
      </c>
      <c r="F163">
        <v>0</v>
      </c>
      <c r="G163">
        <v>11</v>
      </c>
      <c r="H163">
        <v>2</v>
      </c>
      <c r="I163">
        <v>3000</v>
      </c>
      <c r="J163">
        <v>7</v>
      </c>
      <c r="K163">
        <v>0</v>
      </c>
      <c r="L163" s="4">
        <v>0.29420710470766159</v>
      </c>
      <c r="M163" s="4">
        <v>0.70579289529233835</v>
      </c>
      <c r="N163">
        <v>1</v>
      </c>
    </row>
    <row r="164" spans="1:14" x14ac:dyDescent="0.35">
      <c r="A164" s="1">
        <v>2568</v>
      </c>
      <c r="B164">
        <v>13</v>
      </c>
      <c r="C164">
        <v>32</v>
      </c>
      <c r="D164">
        <v>5</v>
      </c>
      <c r="E164">
        <v>0</v>
      </c>
      <c r="F164">
        <v>3</v>
      </c>
      <c r="G164">
        <v>3</v>
      </c>
      <c r="H164">
        <v>3</v>
      </c>
      <c r="I164">
        <v>0.01</v>
      </c>
      <c r="J164">
        <v>4</v>
      </c>
      <c r="K164">
        <v>1</v>
      </c>
      <c r="L164" s="4">
        <v>0.29577813244797901</v>
      </c>
      <c r="M164" s="4">
        <v>0.70422186755202099</v>
      </c>
      <c r="N164">
        <v>1</v>
      </c>
    </row>
    <row r="165" spans="1:14" x14ac:dyDescent="0.35">
      <c r="A165" s="1">
        <v>2134</v>
      </c>
      <c r="B165">
        <v>19</v>
      </c>
      <c r="C165">
        <v>57</v>
      </c>
      <c r="D165">
        <v>5</v>
      </c>
      <c r="E165">
        <v>0</v>
      </c>
      <c r="F165">
        <v>2</v>
      </c>
      <c r="G165">
        <v>1</v>
      </c>
      <c r="H165">
        <v>3</v>
      </c>
      <c r="I165">
        <v>0.01</v>
      </c>
      <c r="J165">
        <v>6</v>
      </c>
      <c r="K165">
        <v>1</v>
      </c>
      <c r="L165" s="4">
        <v>0.29579259536175201</v>
      </c>
      <c r="M165" s="4">
        <v>0.70420740463824805</v>
      </c>
      <c r="N165">
        <v>1</v>
      </c>
    </row>
    <row r="166" spans="1:14" x14ac:dyDescent="0.35">
      <c r="A166" s="1">
        <v>735</v>
      </c>
      <c r="B166">
        <v>13</v>
      </c>
      <c r="C166">
        <v>34</v>
      </c>
      <c r="D166">
        <v>4</v>
      </c>
      <c r="E166">
        <v>0</v>
      </c>
      <c r="F166">
        <v>0</v>
      </c>
      <c r="G166">
        <v>11</v>
      </c>
      <c r="H166">
        <v>2</v>
      </c>
      <c r="I166">
        <v>5000</v>
      </c>
      <c r="J166">
        <v>3</v>
      </c>
      <c r="K166">
        <v>1</v>
      </c>
      <c r="L166" s="4">
        <v>0.29617482370456749</v>
      </c>
      <c r="M166" s="4">
        <v>0.70382517629543251</v>
      </c>
      <c r="N166">
        <v>1</v>
      </c>
    </row>
    <row r="167" spans="1:14" x14ac:dyDescent="0.35">
      <c r="A167" s="1">
        <v>649</v>
      </c>
      <c r="B167">
        <v>9</v>
      </c>
      <c r="C167">
        <v>19</v>
      </c>
      <c r="D167">
        <v>0</v>
      </c>
      <c r="E167">
        <v>0</v>
      </c>
      <c r="F167">
        <v>3</v>
      </c>
      <c r="G167">
        <v>3</v>
      </c>
      <c r="H167">
        <v>2</v>
      </c>
      <c r="I167">
        <v>1000</v>
      </c>
      <c r="J167">
        <v>1</v>
      </c>
      <c r="K167">
        <v>0</v>
      </c>
      <c r="L167" s="4">
        <v>0.29981985342603878</v>
      </c>
      <c r="M167" s="4">
        <v>0.70018014657396122</v>
      </c>
      <c r="N167">
        <v>1</v>
      </c>
    </row>
    <row r="168" spans="1:14" x14ac:dyDescent="0.35">
      <c r="A168" s="1">
        <v>1981</v>
      </c>
      <c r="B168">
        <v>14</v>
      </c>
      <c r="C168">
        <v>34</v>
      </c>
      <c r="D168">
        <v>1</v>
      </c>
      <c r="E168">
        <v>1</v>
      </c>
      <c r="F168">
        <v>3</v>
      </c>
      <c r="G168">
        <v>3</v>
      </c>
      <c r="H168">
        <v>2</v>
      </c>
      <c r="I168">
        <v>100</v>
      </c>
      <c r="J168">
        <v>1</v>
      </c>
      <c r="K168">
        <v>0</v>
      </c>
      <c r="L168" s="4">
        <v>0.30134425918832047</v>
      </c>
      <c r="M168" s="4">
        <v>0.69865574081167947</v>
      </c>
      <c r="N168">
        <v>1</v>
      </c>
    </row>
    <row r="169" spans="1:14" x14ac:dyDescent="0.35">
      <c r="A169" s="1">
        <v>32</v>
      </c>
      <c r="B169">
        <v>15</v>
      </c>
      <c r="C169">
        <v>43</v>
      </c>
      <c r="D169">
        <v>5</v>
      </c>
      <c r="E169">
        <v>0</v>
      </c>
      <c r="F169">
        <v>3</v>
      </c>
      <c r="G169">
        <v>3</v>
      </c>
      <c r="H169">
        <v>0</v>
      </c>
      <c r="I169">
        <v>12000</v>
      </c>
      <c r="J169">
        <v>1</v>
      </c>
      <c r="K169">
        <v>1</v>
      </c>
      <c r="L169" s="4">
        <v>0.30142520935549638</v>
      </c>
      <c r="M169" s="4">
        <v>0.69857479064450356</v>
      </c>
      <c r="N169">
        <v>1</v>
      </c>
    </row>
    <row r="170" spans="1:14" x14ac:dyDescent="0.35">
      <c r="A170" s="1">
        <v>1223</v>
      </c>
      <c r="B170">
        <v>13</v>
      </c>
      <c r="C170">
        <v>38</v>
      </c>
      <c r="D170">
        <v>1</v>
      </c>
      <c r="E170">
        <v>0</v>
      </c>
      <c r="F170">
        <v>0</v>
      </c>
      <c r="G170">
        <v>4</v>
      </c>
      <c r="H170">
        <v>0</v>
      </c>
      <c r="I170">
        <v>12000</v>
      </c>
      <c r="J170">
        <v>2</v>
      </c>
      <c r="K170">
        <v>1</v>
      </c>
      <c r="L170" s="4">
        <v>0.30148515557934819</v>
      </c>
      <c r="M170" s="4">
        <v>0.69851484442065181</v>
      </c>
      <c r="N170">
        <v>1</v>
      </c>
    </row>
    <row r="171" spans="1:14" x14ac:dyDescent="0.35">
      <c r="A171" s="1">
        <v>1646</v>
      </c>
      <c r="B171">
        <v>19</v>
      </c>
      <c r="C171">
        <v>51</v>
      </c>
      <c r="D171">
        <v>1</v>
      </c>
      <c r="E171">
        <v>2</v>
      </c>
      <c r="F171">
        <v>3</v>
      </c>
      <c r="G171">
        <v>3</v>
      </c>
      <c r="H171">
        <v>0</v>
      </c>
      <c r="I171">
        <v>6000</v>
      </c>
      <c r="J171">
        <v>2</v>
      </c>
      <c r="K171">
        <v>0</v>
      </c>
      <c r="L171" s="4">
        <v>0.30156148198534288</v>
      </c>
      <c r="M171" s="4">
        <v>0.69843851801465706</v>
      </c>
      <c r="N171">
        <v>1</v>
      </c>
    </row>
    <row r="172" spans="1:14" x14ac:dyDescent="0.35">
      <c r="A172" s="1">
        <v>3744</v>
      </c>
      <c r="B172">
        <v>10</v>
      </c>
      <c r="C172">
        <v>22</v>
      </c>
      <c r="D172">
        <v>2</v>
      </c>
      <c r="E172">
        <v>0</v>
      </c>
      <c r="F172">
        <v>3</v>
      </c>
      <c r="G172">
        <v>8</v>
      </c>
      <c r="H172">
        <v>2</v>
      </c>
      <c r="I172">
        <v>4257.16</v>
      </c>
      <c r="J172">
        <v>1</v>
      </c>
      <c r="K172">
        <v>1</v>
      </c>
      <c r="L172" s="4">
        <v>0.30226251287508582</v>
      </c>
      <c r="M172" s="4">
        <v>0.69773748712491424</v>
      </c>
      <c r="N172">
        <v>1</v>
      </c>
    </row>
    <row r="173" spans="1:14" x14ac:dyDescent="0.35">
      <c r="A173" s="1">
        <v>2153</v>
      </c>
      <c r="B173">
        <v>13</v>
      </c>
      <c r="C173">
        <v>35</v>
      </c>
      <c r="D173">
        <v>3</v>
      </c>
      <c r="E173">
        <v>0</v>
      </c>
      <c r="F173">
        <v>0</v>
      </c>
      <c r="G173">
        <v>2</v>
      </c>
      <c r="H173">
        <v>3</v>
      </c>
      <c r="I173">
        <v>0.01</v>
      </c>
      <c r="J173">
        <v>8</v>
      </c>
      <c r="K173">
        <v>1</v>
      </c>
      <c r="L173" s="4">
        <v>0.30248933350385349</v>
      </c>
      <c r="M173" s="4">
        <v>0.69751066649614646</v>
      </c>
      <c r="N173">
        <v>1</v>
      </c>
    </row>
    <row r="174" spans="1:14" x14ac:dyDescent="0.35">
      <c r="A174" s="1">
        <v>2010</v>
      </c>
      <c r="B174">
        <v>15</v>
      </c>
      <c r="C174">
        <v>38</v>
      </c>
      <c r="D174">
        <v>3</v>
      </c>
      <c r="E174">
        <v>1</v>
      </c>
      <c r="F174">
        <v>0</v>
      </c>
      <c r="G174">
        <v>4</v>
      </c>
      <c r="H174">
        <v>3</v>
      </c>
      <c r="I174">
        <v>0.01</v>
      </c>
      <c r="J174">
        <v>4</v>
      </c>
      <c r="K174">
        <v>0</v>
      </c>
      <c r="L174" s="4">
        <v>0.30347827559918439</v>
      </c>
      <c r="M174" s="4">
        <v>0.69652172440081561</v>
      </c>
      <c r="N174">
        <v>1</v>
      </c>
    </row>
    <row r="175" spans="1:14" x14ac:dyDescent="0.35">
      <c r="A175" s="1">
        <v>1391</v>
      </c>
      <c r="B175">
        <v>15</v>
      </c>
      <c r="C175">
        <v>38</v>
      </c>
      <c r="D175">
        <v>5</v>
      </c>
      <c r="E175">
        <v>1</v>
      </c>
      <c r="F175">
        <v>0</v>
      </c>
      <c r="G175">
        <v>4</v>
      </c>
      <c r="H175">
        <v>2</v>
      </c>
      <c r="I175">
        <v>50</v>
      </c>
      <c r="J175">
        <v>10</v>
      </c>
      <c r="K175">
        <v>1</v>
      </c>
      <c r="L175" s="4">
        <v>0.30364796999658489</v>
      </c>
      <c r="M175" s="4">
        <v>0.69635203000341506</v>
      </c>
      <c r="N175">
        <v>1</v>
      </c>
    </row>
    <row r="176" spans="1:14" x14ac:dyDescent="0.35">
      <c r="A176" s="1">
        <v>4205</v>
      </c>
      <c r="B176">
        <v>17</v>
      </c>
      <c r="C176">
        <v>51</v>
      </c>
      <c r="D176">
        <v>2</v>
      </c>
      <c r="E176">
        <v>0</v>
      </c>
      <c r="F176">
        <v>3</v>
      </c>
      <c r="G176">
        <v>3</v>
      </c>
      <c r="H176">
        <v>2</v>
      </c>
      <c r="I176">
        <v>500</v>
      </c>
      <c r="J176">
        <v>9</v>
      </c>
      <c r="K176">
        <v>0</v>
      </c>
      <c r="L176" s="4">
        <v>0.30381432063650488</v>
      </c>
      <c r="M176" s="4">
        <v>0.69618567936349507</v>
      </c>
      <c r="N176">
        <v>1</v>
      </c>
    </row>
    <row r="177" spans="1:14" x14ac:dyDescent="0.35">
      <c r="A177" s="1">
        <v>194</v>
      </c>
      <c r="B177">
        <v>16</v>
      </c>
      <c r="C177">
        <v>49</v>
      </c>
      <c r="D177">
        <v>1</v>
      </c>
      <c r="E177">
        <v>0</v>
      </c>
      <c r="F177">
        <v>3</v>
      </c>
      <c r="G177">
        <v>3</v>
      </c>
      <c r="H177">
        <v>0</v>
      </c>
      <c r="I177">
        <v>10000</v>
      </c>
      <c r="J177">
        <v>1</v>
      </c>
      <c r="K177">
        <v>1</v>
      </c>
      <c r="L177" s="4">
        <v>0.30466471846232862</v>
      </c>
      <c r="M177" s="4">
        <v>0.69533528153767143</v>
      </c>
      <c r="N177">
        <v>1</v>
      </c>
    </row>
    <row r="178" spans="1:14" x14ac:dyDescent="0.35">
      <c r="A178" s="1">
        <v>252</v>
      </c>
      <c r="B178">
        <v>15</v>
      </c>
      <c r="C178">
        <v>42</v>
      </c>
      <c r="D178">
        <v>2</v>
      </c>
      <c r="E178">
        <v>0</v>
      </c>
      <c r="F178">
        <v>3</v>
      </c>
      <c r="G178">
        <v>8</v>
      </c>
      <c r="H178">
        <v>3</v>
      </c>
      <c r="I178">
        <v>0.01</v>
      </c>
      <c r="J178">
        <v>9</v>
      </c>
      <c r="K178">
        <v>1</v>
      </c>
      <c r="L178" s="4">
        <v>0.30766347733738508</v>
      </c>
      <c r="M178" s="4">
        <v>0.69233652266261492</v>
      </c>
      <c r="N178">
        <v>1</v>
      </c>
    </row>
    <row r="179" spans="1:14" x14ac:dyDescent="0.35">
      <c r="A179" s="1">
        <v>1711</v>
      </c>
      <c r="B179">
        <v>14</v>
      </c>
      <c r="C179">
        <v>38</v>
      </c>
      <c r="D179">
        <v>3</v>
      </c>
      <c r="E179">
        <v>0</v>
      </c>
      <c r="F179">
        <v>3</v>
      </c>
      <c r="G179">
        <v>3</v>
      </c>
      <c r="H179">
        <v>3</v>
      </c>
      <c r="I179">
        <v>0.01</v>
      </c>
      <c r="J179">
        <v>8</v>
      </c>
      <c r="K179">
        <v>1</v>
      </c>
      <c r="L179" s="4">
        <v>0.3083374140748073</v>
      </c>
      <c r="M179" s="4">
        <v>0.6916625859251927</v>
      </c>
      <c r="N179">
        <v>1</v>
      </c>
    </row>
    <row r="180" spans="1:14" x14ac:dyDescent="0.35">
      <c r="A180" s="1">
        <v>3330</v>
      </c>
      <c r="B180">
        <v>15</v>
      </c>
      <c r="C180">
        <v>37</v>
      </c>
      <c r="D180">
        <v>4</v>
      </c>
      <c r="E180">
        <v>1</v>
      </c>
      <c r="F180">
        <v>3</v>
      </c>
      <c r="G180">
        <v>8</v>
      </c>
      <c r="H180">
        <v>2</v>
      </c>
      <c r="I180">
        <v>1500</v>
      </c>
      <c r="J180">
        <v>4</v>
      </c>
      <c r="K180">
        <v>1</v>
      </c>
      <c r="L180" s="4">
        <v>0.30920120954407859</v>
      </c>
      <c r="M180" s="4">
        <v>0.69079879045592141</v>
      </c>
      <c r="N180">
        <v>1</v>
      </c>
    </row>
    <row r="181" spans="1:14" x14ac:dyDescent="0.35">
      <c r="A181" s="1">
        <v>1538</v>
      </c>
      <c r="B181">
        <v>13</v>
      </c>
      <c r="C181">
        <v>34</v>
      </c>
      <c r="D181">
        <v>3</v>
      </c>
      <c r="E181">
        <v>0</v>
      </c>
      <c r="F181">
        <v>3</v>
      </c>
      <c r="G181">
        <v>3</v>
      </c>
      <c r="H181">
        <v>3</v>
      </c>
      <c r="I181">
        <v>0.01</v>
      </c>
      <c r="J181">
        <v>6</v>
      </c>
      <c r="K181">
        <v>1</v>
      </c>
      <c r="L181" s="4">
        <v>0.3095312408815718</v>
      </c>
      <c r="M181" s="4">
        <v>0.6904687591184282</v>
      </c>
      <c r="N181">
        <v>1</v>
      </c>
    </row>
    <row r="182" spans="1:14" x14ac:dyDescent="0.35">
      <c r="A182" s="1">
        <v>3605</v>
      </c>
      <c r="B182">
        <v>18</v>
      </c>
      <c r="C182">
        <v>51</v>
      </c>
      <c r="D182">
        <v>1</v>
      </c>
      <c r="E182">
        <v>1</v>
      </c>
      <c r="F182">
        <v>3</v>
      </c>
      <c r="G182">
        <v>3</v>
      </c>
      <c r="H182">
        <v>2</v>
      </c>
      <c r="I182">
        <v>50.01</v>
      </c>
      <c r="J182">
        <v>8</v>
      </c>
      <c r="K182">
        <v>1</v>
      </c>
      <c r="L182" s="4">
        <v>0.3096549311173431</v>
      </c>
      <c r="M182" s="4">
        <v>0.6903450688826569</v>
      </c>
      <c r="N182">
        <v>1</v>
      </c>
    </row>
    <row r="183" spans="1:14" x14ac:dyDescent="0.35">
      <c r="A183" s="1">
        <v>1428</v>
      </c>
      <c r="B183">
        <v>13</v>
      </c>
      <c r="C183">
        <v>36</v>
      </c>
      <c r="D183">
        <v>3</v>
      </c>
      <c r="E183">
        <v>0</v>
      </c>
      <c r="F183">
        <v>3</v>
      </c>
      <c r="G183">
        <v>8</v>
      </c>
      <c r="H183">
        <v>0</v>
      </c>
      <c r="I183">
        <v>6000</v>
      </c>
      <c r="J183">
        <v>8</v>
      </c>
      <c r="K183">
        <v>1</v>
      </c>
      <c r="L183" s="4">
        <v>0.31028464748835372</v>
      </c>
      <c r="M183" s="4">
        <v>0.68971535251164628</v>
      </c>
      <c r="N183">
        <v>1</v>
      </c>
    </row>
    <row r="184" spans="1:14" x14ac:dyDescent="0.35">
      <c r="A184" s="1">
        <v>1435</v>
      </c>
      <c r="B184">
        <v>15</v>
      </c>
      <c r="C184">
        <v>43</v>
      </c>
      <c r="D184">
        <v>3</v>
      </c>
      <c r="E184">
        <v>0</v>
      </c>
      <c r="F184">
        <v>3</v>
      </c>
      <c r="G184">
        <v>3</v>
      </c>
      <c r="H184">
        <v>2</v>
      </c>
      <c r="I184">
        <v>3000</v>
      </c>
      <c r="J184">
        <v>5</v>
      </c>
      <c r="K184">
        <v>1</v>
      </c>
      <c r="L184" s="4">
        <v>0.31093716927785198</v>
      </c>
      <c r="M184" s="4">
        <v>0.68906283072214802</v>
      </c>
      <c r="N184">
        <v>1</v>
      </c>
    </row>
    <row r="185" spans="1:14" x14ac:dyDescent="0.35">
      <c r="A185" s="1">
        <v>378</v>
      </c>
      <c r="B185">
        <v>15</v>
      </c>
      <c r="C185">
        <v>47</v>
      </c>
      <c r="D185">
        <v>1</v>
      </c>
      <c r="E185">
        <v>0</v>
      </c>
      <c r="F185">
        <v>0</v>
      </c>
      <c r="G185">
        <v>4</v>
      </c>
      <c r="H185">
        <v>0</v>
      </c>
      <c r="I185">
        <v>6053.35</v>
      </c>
      <c r="J185">
        <v>6</v>
      </c>
      <c r="K185">
        <v>1</v>
      </c>
      <c r="L185" s="4">
        <v>0.31396130772589242</v>
      </c>
      <c r="M185" s="4">
        <v>0.68603869227410763</v>
      </c>
      <c r="N185">
        <v>1</v>
      </c>
    </row>
    <row r="186" spans="1:14" x14ac:dyDescent="0.35">
      <c r="A186" s="1">
        <v>273</v>
      </c>
      <c r="B186">
        <v>16</v>
      </c>
      <c r="C186">
        <v>47</v>
      </c>
      <c r="D186">
        <v>3</v>
      </c>
      <c r="E186">
        <v>0</v>
      </c>
      <c r="F186">
        <v>3</v>
      </c>
      <c r="G186">
        <v>8</v>
      </c>
      <c r="H186">
        <v>2</v>
      </c>
      <c r="I186">
        <v>2790</v>
      </c>
      <c r="J186">
        <v>8</v>
      </c>
      <c r="K186">
        <v>1</v>
      </c>
      <c r="L186" s="4">
        <v>0.31543458470736652</v>
      </c>
      <c r="M186" s="4">
        <v>0.68456541529263348</v>
      </c>
      <c r="N186">
        <v>1</v>
      </c>
    </row>
    <row r="187" spans="1:14" x14ac:dyDescent="0.35">
      <c r="A187" s="1">
        <v>722</v>
      </c>
      <c r="B187">
        <v>11</v>
      </c>
      <c r="C187">
        <v>21</v>
      </c>
      <c r="D187">
        <v>0</v>
      </c>
      <c r="E187">
        <v>2</v>
      </c>
      <c r="F187">
        <v>1</v>
      </c>
      <c r="G187">
        <v>7</v>
      </c>
      <c r="H187">
        <v>0</v>
      </c>
      <c r="I187">
        <v>6000</v>
      </c>
      <c r="J187">
        <v>2</v>
      </c>
      <c r="K187">
        <v>0</v>
      </c>
      <c r="L187" s="4">
        <v>0.3193965939199428</v>
      </c>
      <c r="M187" s="4">
        <v>0.6806034060800572</v>
      </c>
      <c r="N187">
        <v>1</v>
      </c>
    </row>
    <row r="188" spans="1:14" x14ac:dyDescent="0.35">
      <c r="A188" s="1">
        <v>2394</v>
      </c>
      <c r="B188">
        <v>12</v>
      </c>
      <c r="C188">
        <v>32</v>
      </c>
      <c r="D188">
        <v>2</v>
      </c>
      <c r="E188">
        <v>0</v>
      </c>
      <c r="F188">
        <v>3</v>
      </c>
      <c r="G188">
        <v>3</v>
      </c>
      <c r="H188">
        <v>2</v>
      </c>
      <c r="I188">
        <v>300.01</v>
      </c>
      <c r="J188">
        <v>9</v>
      </c>
      <c r="K188">
        <v>1</v>
      </c>
      <c r="L188" s="4">
        <v>0.32003844043362251</v>
      </c>
      <c r="M188" s="4">
        <v>0.67996155956637749</v>
      </c>
      <c r="N188">
        <v>1</v>
      </c>
    </row>
    <row r="189" spans="1:14" x14ac:dyDescent="0.35">
      <c r="A189" s="1">
        <v>3295</v>
      </c>
      <c r="B189">
        <v>12</v>
      </c>
      <c r="C189">
        <v>33</v>
      </c>
      <c r="D189">
        <v>3</v>
      </c>
      <c r="E189">
        <v>0</v>
      </c>
      <c r="F189">
        <v>0</v>
      </c>
      <c r="G189">
        <v>4</v>
      </c>
      <c r="H189">
        <v>2</v>
      </c>
      <c r="I189">
        <v>4200</v>
      </c>
      <c r="J189">
        <v>9</v>
      </c>
      <c r="K189">
        <v>1</v>
      </c>
      <c r="L189" s="4">
        <v>0.32012714204917803</v>
      </c>
      <c r="M189" s="4">
        <v>0.67987285795082197</v>
      </c>
      <c r="N189">
        <v>1</v>
      </c>
    </row>
    <row r="190" spans="1:14" x14ac:dyDescent="0.35">
      <c r="A190" s="1">
        <v>1557</v>
      </c>
      <c r="B190">
        <v>11</v>
      </c>
      <c r="C190">
        <v>28</v>
      </c>
      <c r="D190">
        <v>2</v>
      </c>
      <c r="E190">
        <v>0</v>
      </c>
      <c r="F190">
        <v>3</v>
      </c>
      <c r="G190">
        <v>3</v>
      </c>
      <c r="H190">
        <v>2</v>
      </c>
      <c r="I190">
        <v>600</v>
      </c>
      <c r="J190">
        <v>10</v>
      </c>
      <c r="K190">
        <v>1</v>
      </c>
      <c r="L190" s="4">
        <v>0.3203112421066252</v>
      </c>
      <c r="M190" s="4">
        <v>0.6796887578933748</v>
      </c>
      <c r="N190">
        <v>1</v>
      </c>
    </row>
    <row r="191" spans="1:14" x14ac:dyDescent="0.35">
      <c r="A191" s="1">
        <v>4439</v>
      </c>
      <c r="B191">
        <v>16</v>
      </c>
      <c r="C191">
        <v>50</v>
      </c>
      <c r="D191">
        <v>3</v>
      </c>
      <c r="E191">
        <v>0</v>
      </c>
      <c r="F191">
        <v>1</v>
      </c>
      <c r="G191">
        <v>7</v>
      </c>
      <c r="H191">
        <v>0</v>
      </c>
      <c r="I191">
        <v>6053.35</v>
      </c>
      <c r="J191">
        <v>6</v>
      </c>
      <c r="K191">
        <v>1</v>
      </c>
      <c r="L191" s="4">
        <v>0.32139646543897371</v>
      </c>
      <c r="M191" s="4">
        <v>0.67860353456102629</v>
      </c>
      <c r="N191">
        <v>1</v>
      </c>
    </row>
    <row r="192" spans="1:14" x14ac:dyDescent="0.35">
      <c r="A192" s="1">
        <v>2384</v>
      </c>
      <c r="B192">
        <v>15</v>
      </c>
      <c r="C192">
        <v>43</v>
      </c>
      <c r="D192">
        <v>2</v>
      </c>
      <c r="E192">
        <v>0</v>
      </c>
      <c r="F192">
        <v>3</v>
      </c>
      <c r="G192">
        <v>8</v>
      </c>
      <c r="H192">
        <v>3</v>
      </c>
      <c r="I192">
        <v>0.01</v>
      </c>
      <c r="J192">
        <v>5</v>
      </c>
      <c r="K192">
        <v>0</v>
      </c>
      <c r="L192" s="4">
        <v>0.32174768334049142</v>
      </c>
      <c r="M192" s="4">
        <v>0.67825231665950858</v>
      </c>
      <c r="N192">
        <v>1</v>
      </c>
    </row>
    <row r="193" spans="1:14" x14ac:dyDescent="0.35">
      <c r="A193" s="1">
        <v>3329</v>
      </c>
      <c r="B193">
        <v>9</v>
      </c>
      <c r="C193">
        <v>20</v>
      </c>
      <c r="D193">
        <v>3</v>
      </c>
      <c r="E193">
        <v>0</v>
      </c>
      <c r="F193">
        <v>1</v>
      </c>
      <c r="G193">
        <v>7</v>
      </c>
      <c r="H193">
        <v>2</v>
      </c>
      <c r="I193">
        <v>1000</v>
      </c>
      <c r="J193">
        <v>2</v>
      </c>
      <c r="K193">
        <v>0</v>
      </c>
      <c r="L193" s="4">
        <v>0.32185685633294719</v>
      </c>
      <c r="M193" s="4">
        <v>0.67814314366705275</v>
      </c>
      <c r="N193">
        <v>1</v>
      </c>
    </row>
    <row r="194" spans="1:14" x14ac:dyDescent="0.35">
      <c r="A194" s="1">
        <v>1170</v>
      </c>
      <c r="B194">
        <v>15</v>
      </c>
      <c r="C194">
        <v>40</v>
      </c>
      <c r="D194">
        <v>2</v>
      </c>
      <c r="E194">
        <v>1</v>
      </c>
      <c r="F194">
        <v>0</v>
      </c>
      <c r="G194">
        <v>4</v>
      </c>
      <c r="H194">
        <v>3</v>
      </c>
      <c r="I194">
        <v>0.01</v>
      </c>
      <c r="J194">
        <v>10</v>
      </c>
      <c r="K194">
        <v>0</v>
      </c>
      <c r="L194" s="4">
        <v>0.32203081705095338</v>
      </c>
      <c r="M194" s="4">
        <v>0.67796918294904662</v>
      </c>
      <c r="N194">
        <v>1</v>
      </c>
    </row>
    <row r="195" spans="1:14" x14ac:dyDescent="0.35">
      <c r="A195" s="1">
        <v>1465</v>
      </c>
      <c r="B195">
        <v>13</v>
      </c>
      <c r="C195">
        <v>36</v>
      </c>
      <c r="D195">
        <v>2</v>
      </c>
      <c r="E195">
        <v>0</v>
      </c>
      <c r="F195">
        <v>1</v>
      </c>
      <c r="G195">
        <v>7</v>
      </c>
      <c r="H195">
        <v>3</v>
      </c>
      <c r="I195">
        <v>0.01</v>
      </c>
      <c r="J195">
        <v>4</v>
      </c>
      <c r="K195">
        <v>0</v>
      </c>
      <c r="L195" s="4">
        <v>0.32287548009172817</v>
      </c>
      <c r="M195" s="4">
        <v>0.67712451990827183</v>
      </c>
      <c r="N195">
        <v>1</v>
      </c>
    </row>
    <row r="196" spans="1:14" x14ac:dyDescent="0.35">
      <c r="A196" s="1">
        <v>3209</v>
      </c>
      <c r="B196">
        <v>15</v>
      </c>
      <c r="C196">
        <v>44</v>
      </c>
      <c r="D196">
        <v>1</v>
      </c>
      <c r="E196">
        <v>0</v>
      </c>
      <c r="F196">
        <v>3</v>
      </c>
      <c r="G196">
        <v>3</v>
      </c>
      <c r="H196">
        <v>3</v>
      </c>
      <c r="I196">
        <v>0.01</v>
      </c>
      <c r="J196">
        <v>5</v>
      </c>
      <c r="K196">
        <v>1</v>
      </c>
      <c r="L196" s="4">
        <v>0.32315113969021608</v>
      </c>
      <c r="M196" s="4">
        <v>0.67684886030978386</v>
      </c>
      <c r="N196">
        <v>1</v>
      </c>
    </row>
    <row r="197" spans="1:14" x14ac:dyDescent="0.35">
      <c r="A197" s="1">
        <v>215</v>
      </c>
      <c r="B197">
        <v>13</v>
      </c>
      <c r="C197">
        <v>35</v>
      </c>
      <c r="D197">
        <v>5</v>
      </c>
      <c r="E197">
        <v>0</v>
      </c>
      <c r="F197">
        <v>3</v>
      </c>
      <c r="G197">
        <v>3</v>
      </c>
      <c r="H197">
        <v>2</v>
      </c>
      <c r="I197">
        <v>1620</v>
      </c>
      <c r="J197">
        <v>6</v>
      </c>
      <c r="K197">
        <v>0</v>
      </c>
      <c r="L197" s="4">
        <v>0.32384557218638588</v>
      </c>
      <c r="M197" s="4">
        <v>0.67615442781361412</v>
      </c>
      <c r="N197">
        <v>1</v>
      </c>
    </row>
    <row r="198" spans="1:14" x14ac:dyDescent="0.35">
      <c r="A198" s="1">
        <v>1064</v>
      </c>
      <c r="B198">
        <v>17</v>
      </c>
      <c r="C198">
        <v>49</v>
      </c>
      <c r="D198">
        <v>2</v>
      </c>
      <c r="E198">
        <v>1</v>
      </c>
      <c r="F198">
        <v>0</v>
      </c>
      <c r="G198">
        <v>4</v>
      </c>
      <c r="H198">
        <v>2</v>
      </c>
      <c r="I198">
        <v>3045</v>
      </c>
      <c r="J198">
        <v>6</v>
      </c>
      <c r="K198">
        <v>0</v>
      </c>
      <c r="L198" s="4">
        <v>0.32429526049191248</v>
      </c>
      <c r="M198" s="4">
        <v>0.67570473950808752</v>
      </c>
      <c r="N198">
        <v>1</v>
      </c>
    </row>
    <row r="199" spans="1:14" x14ac:dyDescent="0.35">
      <c r="A199" s="1">
        <v>2124</v>
      </c>
      <c r="B199">
        <v>16</v>
      </c>
      <c r="C199">
        <v>43</v>
      </c>
      <c r="D199">
        <v>3</v>
      </c>
      <c r="E199">
        <v>1</v>
      </c>
      <c r="F199">
        <v>1</v>
      </c>
      <c r="G199">
        <v>7</v>
      </c>
      <c r="H199">
        <v>3</v>
      </c>
      <c r="I199">
        <v>0.01</v>
      </c>
      <c r="J199">
        <v>7</v>
      </c>
      <c r="K199">
        <v>0</v>
      </c>
      <c r="L199" s="4">
        <v>0.32462460830063422</v>
      </c>
      <c r="M199" s="4">
        <v>0.67537539169936578</v>
      </c>
      <c r="N199">
        <v>1</v>
      </c>
    </row>
    <row r="200" spans="1:14" x14ac:dyDescent="0.35">
      <c r="A200" s="1">
        <v>384</v>
      </c>
      <c r="B200">
        <v>13</v>
      </c>
      <c r="C200">
        <v>32</v>
      </c>
      <c r="D200">
        <v>2</v>
      </c>
      <c r="E200">
        <v>1</v>
      </c>
      <c r="F200">
        <v>2</v>
      </c>
      <c r="G200">
        <v>1</v>
      </c>
      <c r="H200">
        <v>2</v>
      </c>
      <c r="I200">
        <v>1000</v>
      </c>
      <c r="J200">
        <v>1</v>
      </c>
      <c r="K200">
        <v>1</v>
      </c>
      <c r="L200" s="4">
        <v>0.32473689276963302</v>
      </c>
      <c r="M200" s="4">
        <v>0.67526310723036698</v>
      </c>
      <c r="N200">
        <v>1</v>
      </c>
    </row>
    <row r="201" spans="1:14" x14ac:dyDescent="0.35">
      <c r="A201" s="1">
        <v>3654</v>
      </c>
      <c r="B201">
        <v>11</v>
      </c>
      <c r="C201">
        <v>28</v>
      </c>
      <c r="D201">
        <v>4</v>
      </c>
      <c r="E201">
        <v>0</v>
      </c>
      <c r="F201">
        <v>0</v>
      </c>
      <c r="G201">
        <v>4</v>
      </c>
      <c r="H201">
        <v>3</v>
      </c>
      <c r="I201">
        <v>0.01</v>
      </c>
      <c r="J201">
        <v>8</v>
      </c>
      <c r="K201">
        <v>0</v>
      </c>
      <c r="L201" s="4">
        <v>0.32476184226142379</v>
      </c>
      <c r="M201" s="4">
        <v>0.67523815773857621</v>
      </c>
      <c r="N201">
        <v>1</v>
      </c>
    </row>
    <row r="202" spans="1:14" x14ac:dyDescent="0.35">
      <c r="A202" s="1">
        <v>742</v>
      </c>
      <c r="B202">
        <v>14</v>
      </c>
      <c r="C202">
        <v>40</v>
      </c>
      <c r="D202">
        <v>3</v>
      </c>
      <c r="E202">
        <v>0</v>
      </c>
      <c r="F202">
        <v>3</v>
      </c>
      <c r="G202">
        <v>3</v>
      </c>
      <c r="H202">
        <v>2</v>
      </c>
      <c r="I202">
        <v>2000</v>
      </c>
      <c r="J202">
        <v>4</v>
      </c>
      <c r="K202">
        <v>1</v>
      </c>
      <c r="L202" s="4">
        <v>0.32527154759712901</v>
      </c>
      <c r="M202" s="4">
        <v>0.67472845240287105</v>
      </c>
      <c r="N202">
        <v>1</v>
      </c>
    </row>
    <row r="203" spans="1:14" x14ac:dyDescent="0.35">
      <c r="A203" s="1">
        <v>1154</v>
      </c>
      <c r="B203">
        <v>14</v>
      </c>
      <c r="C203">
        <v>38</v>
      </c>
      <c r="D203">
        <v>5</v>
      </c>
      <c r="E203">
        <v>0</v>
      </c>
      <c r="F203">
        <v>3</v>
      </c>
      <c r="G203">
        <v>8</v>
      </c>
      <c r="H203">
        <v>3</v>
      </c>
      <c r="I203">
        <v>0.01</v>
      </c>
      <c r="J203">
        <v>8</v>
      </c>
      <c r="K203">
        <v>1</v>
      </c>
      <c r="L203" s="4">
        <v>0.32566641084825498</v>
      </c>
      <c r="M203" s="4">
        <v>0.67433358915174502</v>
      </c>
      <c r="N203">
        <v>1</v>
      </c>
    </row>
    <row r="204" spans="1:14" x14ac:dyDescent="0.35">
      <c r="A204" s="1">
        <v>63</v>
      </c>
      <c r="B204">
        <v>13</v>
      </c>
      <c r="C204">
        <v>36</v>
      </c>
      <c r="D204">
        <v>3</v>
      </c>
      <c r="E204">
        <v>0</v>
      </c>
      <c r="F204">
        <v>0</v>
      </c>
      <c r="G204">
        <v>11</v>
      </c>
      <c r="H204">
        <v>3</v>
      </c>
      <c r="I204">
        <v>0.01</v>
      </c>
      <c r="J204">
        <v>8</v>
      </c>
      <c r="K204">
        <v>1</v>
      </c>
      <c r="L204" s="4">
        <v>0.32609660299178</v>
      </c>
      <c r="M204" s="4">
        <v>0.67390339700822</v>
      </c>
      <c r="N204">
        <v>1</v>
      </c>
    </row>
    <row r="205" spans="1:14" x14ac:dyDescent="0.35">
      <c r="A205" s="1">
        <v>1863</v>
      </c>
      <c r="B205">
        <v>16</v>
      </c>
      <c r="C205">
        <v>51</v>
      </c>
      <c r="D205">
        <v>4</v>
      </c>
      <c r="E205">
        <v>0</v>
      </c>
      <c r="F205">
        <v>0</v>
      </c>
      <c r="G205">
        <v>2</v>
      </c>
      <c r="H205">
        <v>0</v>
      </c>
      <c r="I205">
        <v>8600</v>
      </c>
      <c r="J205">
        <v>5</v>
      </c>
      <c r="K205">
        <v>0</v>
      </c>
      <c r="L205" s="4">
        <v>0.32748641962523273</v>
      </c>
      <c r="M205" s="4">
        <v>0.67251358037476727</v>
      </c>
      <c r="N205">
        <v>1</v>
      </c>
    </row>
    <row r="206" spans="1:14" x14ac:dyDescent="0.35">
      <c r="A206" s="1">
        <v>2696</v>
      </c>
      <c r="B206">
        <v>13</v>
      </c>
      <c r="C206">
        <v>35</v>
      </c>
      <c r="D206">
        <v>2</v>
      </c>
      <c r="E206">
        <v>1</v>
      </c>
      <c r="F206">
        <v>0</v>
      </c>
      <c r="G206">
        <v>2</v>
      </c>
      <c r="H206">
        <v>0</v>
      </c>
      <c r="I206">
        <v>8907.15</v>
      </c>
      <c r="J206">
        <v>3</v>
      </c>
      <c r="K206">
        <v>1</v>
      </c>
      <c r="L206" s="4">
        <v>0.330425890822728</v>
      </c>
      <c r="M206" s="4">
        <v>0.669574109177272</v>
      </c>
      <c r="N206">
        <v>1</v>
      </c>
    </row>
    <row r="207" spans="1:14" x14ac:dyDescent="0.35">
      <c r="A207" s="1">
        <v>1764</v>
      </c>
      <c r="B207">
        <v>12</v>
      </c>
      <c r="C207">
        <v>32</v>
      </c>
      <c r="D207">
        <v>5</v>
      </c>
      <c r="E207">
        <v>0</v>
      </c>
      <c r="F207">
        <v>0</v>
      </c>
      <c r="G207">
        <v>4</v>
      </c>
      <c r="H207">
        <v>3</v>
      </c>
      <c r="I207">
        <v>0.01</v>
      </c>
      <c r="J207">
        <v>4</v>
      </c>
      <c r="K207">
        <v>1</v>
      </c>
      <c r="L207" s="4">
        <v>0.33102509483028181</v>
      </c>
      <c r="M207" s="4">
        <v>0.66897490516971825</v>
      </c>
      <c r="N207">
        <v>1</v>
      </c>
    </row>
    <row r="208" spans="1:14" x14ac:dyDescent="0.35">
      <c r="A208" s="1">
        <v>765</v>
      </c>
      <c r="B208">
        <v>14</v>
      </c>
      <c r="C208">
        <v>40</v>
      </c>
      <c r="D208">
        <v>4</v>
      </c>
      <c r="E208">
        <v>0</v>
      </c>
      <c r="F208">
        <v>3</v>
      </c>
      <c r="G208">
        <v>3</v>
      </c>
      <c r="H208">
        <v>2</v>
      </c>
      <c r="I208">
        <v>1200</v>
      </c>
      <c r="J208">
        <v>5</v>
      </c>
      <c r="K208">
        <v>1</v>
      </c>
      <c r="L208" s="4">
        <v>0.33107133753207879</v>
      </c>
      <c r="M208" s="4">
        <v>0.66892866246792115</v>
      </c>
      <c r="N208">
        <v>1</v>
      </c>
    </row>
    <row r="209" spans="1:14" x14ac:dyDescent="0.35">
      <c r="A209" s="1">
        <v>149</v>
      </c>
      <c r="B209">
        <v>17</v>
      </c>
      <c r="C209">
        <v>51</v>
      </c>
      <c r="D209">
        <v>4</v>
      </c>
      <c r="E209">
        <v>0</v>
      </c>
      <c r="F209">
        <v>3</v>
      </c>
      <c r="G209">
        <v>8</v>
      </c>
      <c r="H209">
        <v>3</v>
      </c>
      <c r="I209">
        <v>0.01</v>
      </c>
      <c r="J209">
        <v>7</v>
      </c>
      <c r="K209">
        <v>1</v>
      </c>
      <c r="L209" s="4">
        <v>0.33142204520184648</v>
      </c>
      <c r="M209" s="4">
        <v>0.66857795479815352</v>
      </c>
      <c r="N209">
        <v>1</v>
      </c>
    </row>
    <row r="210" spans="1:14" x14ac:dyDescent="0.35">
      <c r="A210" s="1">
        <v>2907</v>
      </c>
      <c r="B210">
        <v>14</v>
      </c>
      <c r="C210">
        <v>34</v>
      </c>
      <c r="D210">
        <v>5</v>
      </c>
      <c r="E210">
        <v>1</v>
      </c>
      <c r="F210">
        <v>3</v>
      </c>
      <c r="G210">
        <v>3</v>
      </c>
      <c r="H210">
        <v>3</v>
      </c>
      <c r="I210">
        <v>0.01</v>
      </c>
      <c r="J210">
        <v>5</v>
      </c>
      <c r="K210">
        <v>1</v>
      </c>
      <c r="L210" s="4">
        <v>0.33255257099091412</v>
      </c>
      <c r="M210" s="4">
        <v>0.66744742900908594</v>
      </c>
      <c r="N210">
        <v>1</v>
      </c>
    </row>
    <row r="211" spans="1:14" x14ac:dyDescent="0.35">
      <c r="A211" s="1">
        <v>1414</v>
      </c>
      <c r="B211">
        <v>15</v>
      </c>
      <c r="C211">
        <v>39</v>
      </c>
      <c r="D211">
        <v>2</v>
      </c>
      <c r="E211">
        <v>1</v>
      </c>
      <c r="F211">
        <v>3</v>
      </c>
      <c r="G211">
        <v>8</v>
      </c>
      <c r="H211">
        <v>3</v>
      </c>
      <c r="I211">
        <v>0.01</v>
      </c>
      <c r="J211">
        <v>9</v>
      </c>
      <c r="K211">
        <v>0</v>
      </c>
      <c r="L211" s="4">
        <v>0.33267498850853949</v>
      </c>
      <c r="M211" s="4">
        <v>0.66732501149146051</v>
      </c>
      <c r="N211">
        <v>1</v>
      </c>
    </row>
    <row r="212" spans="1:14" x14ac:dyDescent="0.35">
      <c r="A212" s="1">
        <v>689</v>
      </c>
      <c r="B212">
        <v>13</v>
      </c>
      <c r="C212">
        <v>37</v>
      </c>
      <c r="D212">
        <v>5</v>
      </c>
      <c r="E212">
        <v>0</v>
      </c>
      <c r="F212">
        <v>0</v>
      </c>
      <c r="G212">
        <v>4</v>
      </c>
      <c r="H212">
        <v>2</v>
      </c>
      <c r="I212">
        <v>5000</v>
      </c>
      <c r="J212">
        <v>1</v>
      </c>
      <c r="K212">
        <v>0</v>
      </c>
      <c r="L212" s="4">
        <v>0.33300770206436409</v>
      </c>
      <c r="M212" s="4">
        <v>0.66699229793563586</v>
      </c>
      <c r="N212">
        <v>1</v>
      </c>
    </row>
    <row r="213" spans="1:14" x14ac:dyDescent="0.35">
      <c r="A213" s="1">
        <v>44</v>
      </c>
      <c r="B213">
        <v>13</v>
      </c>
      <c r="C213">
        <v>35</v>
      </c>
      <c r="D213">
        <v>4</v>
      </c>
      <c r="E213">
        <v>0</v>
      </c>
      <c r="F213">
        <v>3</v>
      </c>
      <c r="G213">
        <v>8</v>
      </c>
      <c r="H213">
        <v>3</v>
      </c>
      <c r="I213">
        <v>0.01</v>
      </c>
      <c r="J213">
        <v>4</v>
      </c>
      <c r="K213">
        <v>1</v>
      </c>
      <c r="L213" s="4">
        <v>0.3349639710938298</v>
      </c>
      <c r="M213" s="4">
        <v>0.6650360289061702</v>
      </c>
      <c r="N213">
        <v>1</v>
      </c>
    </row>
    <row r="214" spans="1:14" x14ac:dyDescent="0.35">
      <c r="A214" s="1">
        <v>3516</v>
      </c>
      <c r="B214">
        <v>15</v>
      </c>
      <c r="C214">
        <v>41</v>
      </c>
      <c r="D214">
        <v>2</v>
      </c>
      <c r="E214">
        <v>1</v>
      </c>
      <c r="F214">
        <v>1</v>
      </c>
      <c r="G214">
        <v>7</v>
      </c>
      <c r="H214">
        <v>2</v>
      </c>
      <c r="I214">
        <v>1000</v>
      </c>
      <c r="J214">
        <v>10</v>
      </c>
      <c r="K214">
        <v>1</v>
      </c>
      <c r="L214" s="4">
        <v>0.3351439270838692</v>
      </c>
      <c r="M214" s="4">
        <v>0.6648560729161308</v>
      </c>
      <c r="N214">
        <v>1</v>
      </c>
    </row>
    <row r="215" spans="1:14" x14ac:dyDescent="0.35">
      <c r="A215" s="1">
        <v>410</v>
      </c>
      <c r="B215">
        <v>13</v>
      </c>
      <c r="C215">
        <v>36</v>
      </c>
      <c r="D215">
        <v>3</v>
      </c>
      <c r="E215">
        <v>0</v>
      </c>
      <c r="F215">
        <v>3</v>
      </c>
      <c r="G215">
        <v>3</v>
      </c>
      <c r="H215">
        <v>3</v>
      </c>
      <c r="I215">
        <v>0.01</v>
      </c>
      <c r="J215">
        <v>5</v>
      </c>
      <c r="K215">
        <v>0</v>
      </c>
      <c r="L215" s="4">
        <v>0.33610967536194158</v>
      </c>
      <c r="M215" s="4">
        <v>0.66389032463805842</v>
      </c>
      <c r="N215">
        <v>1</v>
      </c>
    </row>
    <row r="216" spans="1:14" x14ac:dyDescent="0.35">
      <c r="A216" s="1">
        <v>3184</v>
      </c>
      <c r="B216">
        <v>13</v>
      </c>
      <c r="C216">
        <v>36</v>
      </c>
      <c r="D216">
        <v>3</v>
      </c>
      <c r="E216">
        <v>0</v>
      </c>
      <c r="F216">
        <v>3</v>
      </c>
      <c r="G216">
        <v>3</v>
      </c>
      <c r="H216">
        <v>3</v>
      </c>
      <c r="I216">
        <v>0.01</v>
      </c>
      <c r="J216">
        <v>5</v>
      </c>
      <c r="K216">
        <v>1</v>
      </c>
      <c r="L216" s="4">
        <v>0.33610967536194158</v>
      </c>
      <c r="M216" s="4">
        <v>0.66389032463805842</v>
      </c>
      <c r="N216">
        <v>1</v>
      </c>
    </row>
    <row r="217" spans="1:14" x14ac:dyDescent="0.35">
      <c r="A217" s="1">
        <v>2985</v>
      </c>
      <c r="B217">
        <v>14</v>
      </c>
      <c r="C217">
        <v>44</v>
      </c>
      <c r="D217">
        <v>2</v>
      </c>
      <c r="E217">
        <v>0</v>
      </c>
      <c r="F217">
        <v>1</v>
      </c>
      <c r="G217">
        <v>5</v>
      </c>
      <c r="H217">
        <v>0</v>
      </c>
      <c r="I217">
        <v>9000</v>
      </c>
      <c r="J217">
        <v>8</v>
      </c>
      <c r="K217">
        <v>1</v>
      </c>
      <c r="L217" s="4">
        <v>0.33948945699449762</v>
      </c>
      <c r="M217" s="4">
        <v>0.66051054300550238</v>
      </c>
      <c r="N217">
        <v>1</v>
      </c>
    </row>
    <row r="218" spans="1:14" x14ac:dyDescent="0.35">
      <c r="A218" s="1">
        <v>489</v>
      </c>
      <c r="B218">
        <v>15</v>
      </c>
      <c r="C218">
        <v>38</v>
      </c>
      <c r="D218">
        <v>4</v>
      </c>
      <c r="E218">
        <v>1</v>
      </c>
      <c r="F218">
        <v>4</v>
      </c>
      <c r="G218">
        <v>9</v>
      </c>
      <c r="H218">
        <v>3</v>
      </c>
      <c r="I218">
        <v>0.01</v>
      </c>
      <c r="J218">
        <v>4</v>
      </c>
      <c r="K218">
        <v>1</v>
      </c>
      <c r="L218" s="4">
        <v>0.3399896376686502</v>
      </c>
      <c r="M218" s="4">
        <v>0.6600103623313498</v>
      </c>
      <c r="N218">
        <v>1</v>
      </c>
    </row>
    <row r="219" spans="1:14" x14ac:dyDescent="0.35">
      <c r="A219" s="1">
        <v>4172</v>
      </c>
      <c r="B219">
        <v>12</v>
      </c>
      <c r="C219">
        <v>33</v>
      </c>
      <c r="D219">
        <v>3</v>
      </c>
      <c r="E219">
        <v>0</v>
      </c>
      <c r="F219">
        <v>2</v>
      </c>
      <c r="G219">
        <v>1</v>
      </c>
      <c r="H219">
        <v>3</v>
      </c>
      <c r="I219">
        <v>0.01</v>
      </c>
      <c r="J219">
        <v>4</v>
      </c>
      <c r="K219">
        <v>1</v>
      </c>
      <c r="L219" s="4">
        <v>0.34172810504414669</v>
      </c>
      <c r="M219" s="4">
        <v>0.65827189495585325</v>
      </c>
      <c r="N219">
        <v>1</v>
      </c>
    </row>
    <row r="220" spans="1:14" x14ac:dyDescent="0.35">
      <c r="A220" s="1">
        <v>1340</v>
      </c>
      <c r="B220">
        <v>13</v>
      </c>
      <c r="C220">
        <v>33</v>
      </c>
      <c r="D220">
        <v>0</v>
      </c>
      <c r="E220">
        <v>1</v>
      </c>
      <c r="F220">
        <v>3</v>
      </c>
      <c r="G220">
        <v>3</v>
      </c>
      <c r="H220">
        <v>3</v>
      </c>
      <c r="I220">
        <v>0.01</v>
      </c>
      <c r="J220">
        <v>7</v>
      </c>
      <c r="K220">
        <v>0</v>
      </c>
      <c r="L220" s="4">
        <v>0.34362019933963828</v>
      </c>
      <c r="M220" s="4">
        <v>0.65637980066036172</v>
      </c>
      <c r="N220">
        <v>1</v>
      </c>
    </row>
    <row r="221" spans="1:14" x14ac:dyDescent="0.35">
      <c r="A221" s="1">
        <v>2656</v>
      </c>
      <c r="B221">
        <v>11</v>
      </c>
      <c r="C221">
        <v>29</v>
      </c>
      <c r="D221">
        <v>5</v>
      </c>
      <c r="E221">
        <v>0</v>
      </c>
      <c r="F221">
        <v>2</v>
      </c>
      <c r="G221">
        <v>1</v>
      </c>
      <c r="H221">
        <v>2</v>
      </c>
      <c r="I221">
        <v>1000</v>
      </c>
      <c r="J221">
        <v>1</v>
      </c>
      <c r="K221">
        <v>1</v>
      </c>
      <c r="L221" s="4">
        <v>0.34485255166059969</v>
      </c>
      <c r="M221" s="4">
        <v>0.65514744833940031</v>
      </c>
      <c r="N221">
        <v>1</v>
      </c>
    </row>
    <row r="222" spans="1:14" x14ac:dyDescent="0.35">
      <c r="A222" s="1">
        <v>2997</v>
      </c>
      <c r="B222">
        <v>13</v>
      </c>
      <c r="C222">
        <v>38</v>
      </c>
      <c r="D222">
        <v>2</v>
      </c>
      <c r="E222">
        <v>0</v>
      </c>
      <c r="F222">
        <v>3</v>
      </c>
      <c r="G222">
        <v>3</v>
      </c>
      <c r="H222">
        <v>2</v>
      </c>
      <c r="I222">
        <v>3000</v>
      </c>
      <c r="J222">
        <v>8</v>
      </c>
      <c r="K222">
        <v>1</v>
      </c>
      <c r="L222" s="4">
        <v>0.34539688615002873</v>
      </c>
      <c r="M222" s="4">
        <v>0.65460311384997127</v>
      </c>
      <c r="N222">
        <v>1</v>
      </c>
    </row>
    <row r="223" spans="1:14" x14ac:dyDescent="0.35">
      <c r="A223" s="1">
        <v>3271</v>
      </c>
      <c r="B223">
        <v>13</v>
      </c>
      <c r="C223">
        <v>38</v>
      </c>
      <c r="D223">
        <v>2</v>
      </c>
      <c r="E223">
        <v>0</v>
      </c>
      <c r="F223">
        <v>3</v>
      </c>
      <c r="G223">
        <v>3</v>
      </c>
      <c r="H223">
        <v>2</v>
      </c>
      <c r="I223">
        <v>300</v>
      </c>
      <c r="J223">
        <v>11</v>
      </c>
      <c r="K223">
        <v>1</v>
      </c>
      <c r="L223" s="4">
        <v>0.34550885244604113</v>
      </c>
      <c r="M223" s="4">
        <v>0.65449114755395887</v>
      </c>
      <c r="N223">
        <v>1</v>
      </c>
    </row>
    <row r="224" spans="1:14" x14ac:dyDescent="0.35">
      <c r="A224" s="1">
        <v>3986</v>
      </c>
      <c r="B224">
        <v>13</v>
      </c>
      <c r="C224">
        <v>39</v>
      </c>
      <c r="D224">
        <v>5</v>
      </c>
      <c r="E224">
        <v>0</v>
      </c>
      <c r="F224">
        <v>2</v>
      </c>
      <c r="G224">
        <v>1</v>
      </c>
      <c r="H224">
        <v>0</v>
      </c>
      <c r="I224">
        <v>12000</v>
      </c>
      <c r="J224">
        <v>2</v>
      </c>
      <c r="K224">
        <v>1</v>
      </c>
      <c r="L224" s="4">
        <v>0.34649741794066408</v>
      </c>
      <c r="M224" s="4">
        <v>0.65350258205933587</v>
      </c>
      <c r="N224">
        <v>1</v>
      </c>
    </row>
    <row r="225" spans="1:14" x14ac:dyDescent="0.35">
      <c r="A225" s="1">
        <v>2729</v>
      </c>
      <c r="B225">
        <v>16</v>
      </c>
      <c r="C225">
        <v>49</v>
      </c>
      <c r="D225">
        <v>5</v>
      </c>
      <c r="E225">
        <v>0</v>
      </c>
      <c r="F225">
        <v>1</v>
      </c>
      <c r="G225">
        <v>12</v>
      </c>
      <c r="H225">
        <v>2</v>
      </c>
      <c r="I225">
        <v>2000</v>
      </c>
      <c r="J225">
        <v>6</v>
      </c>
      <c r="K225">
        <v>1</v>
      </c>
      <c r="L225" s="4">
        <v>0.34684661690665558</v>
      </c>
      <c r="M225" s="4">
        <v>0.65315338309334436</v>
      </c>
      <c r="N225">
        <v>1</v>
      </c>
    </row>
    <row r="226" spans="1:14" x14ac:dyDescent="0.35">
      <c r="A226" s="1">
        <v>3198</v>
      </c>
      <c r="B226">
        <v>12</v>
      </c>
      <c r="C226">
        <v>34</v>
      </c>
      <c r="D226">
        <v>2</v>
      </c>
      <c r="E226">
        <v>0</v>
      </c>
      <c r="F226">
        <v>2</v>
      </c>
      <c r="G226">
        <v>0</v>
      </c>
      <c r="H226">
        <v>3</v>
      </c>
      <c r="I226">
        <v>0.01</v>
      </c>
      <c r="J226">
        <v>5</v>
      </c>
      <c r="K226">
        <v>1</v>
      </c>
      <c r="L226" s="4">
        <v>0.34784936610645012</v>
      </c>
      <c r="M226" s="4">
        <v>0.65215063389354988</v>
      </c>
      <c r="N226">
        <v>1</v>
      </c>
    </row>
    <row r="227" spans="1:14" x14ac:dyDescent="0.35">
      <c r="A227" s="1">
        <v>3094</v>
      </c>
      <c r="B227">
        <v>15</v>
      </c>
      <c r="C227">
        <v>46</v>
      </c>
      <c r="D227">
        <v>1</v>
      </c>
      <c r="E227">
        <v>0</v>
      </c>
      <c r="F227">
        <v>3</v>
      </c>
      <c r="G227">
        <v>3</v>
      </c>
      <c r="H227">
        <v>3</v>
      </c>
      <c r="I227">
        <v>0.01</v>
      </c>
      <c r="J227">
        <v>8</v>
      </c>
      <c r="K227">
        <v>1</v>
      </c>
      <c r="L227" s="4">
        <v>0.34913675871589989</v>
      </c>
      <c r="M227" s="4">
        <v>0.65086324128410011</v>
      </c>
      <c r="N227">
        <v>1</v>
      </c>
    </row>
    <row r="228" spans="1:14" x14ac:dyDescent="0.35">
      <c r="A228" s="1">
        <v>1146</v>
      </c>
      <c r="B228">
        <v>17</v>
      </c>
      <c r="C228">
        <v>57</v>
      </c>
      <c r="D228">
        <v>0</v>
      </c>
      <c r="E228">
        <v>0</v>
      </c>
      <c r="F228">
        <v>3</v>
      </c>
      <c r="G228">
        <v>3</v>
      </c>
      <c r="H228">
        <v>1</v>
      </c>
      <c r="I228">
        <v>30937.599999999999</v>
      </c>
      <c r="J228">
        <v>5</v>
      </c>
      <c r="K228">
        <v>1</v>
      </c>
      <c r="L228" s="4">
        <v>0.35236116597958572</v>
      </c>
      <c r="M228" s="4">
        <v>0.64763883402041433</v>
      </c>
      <c r="N228">
        <v>1</v>
      </c>
    </row>
    <row r="229" spans="1:14" x14ac:dyDescent="0.35">
      <c r="A229" s="1">
        <v>3879</v>
      </c>
      <c r="B229">
        <v>15</v>
      </c>
      <c r="C229">
        <v>36</v>
      </c>
      <c r="D229">
        <v>5</v>
      </c>
      <c r="E229">
        <v>2</v>
      </c>
      <c r="F229">
        <v>0</v>
      </c>
      <c r="G229">
        <v>4</v>
      </c>
      <c r="H229">
        <v>3</v>
      </c>
      <c r="I229">
        <v>0.01</v>
      </c>
      <c r="J229">
        <v>4</v>
      </c>
      <c r="K229">
        <v>1</v>
      </c>
      <c r="L229" s="4">
        <v>0.35364482961662991</v>
      </c>
      <c r="M229" s="4">
        <v>0.64635517038337009</v>
      </c>
      <c r="N229">
        <v>1</v>
      </c>
    </row>
    <row r="230" spans="1:14" x14ac:dyDescent="0.35">
      <c r="A230" s="1">
        <v>4035</v>
      </c>
      <c r="B230">
        <v>14</v>
      </c>
      <c r="C230">
        <v>43</v>
      </c>
      <c r="D230">
        <v>5</v>
      </c>
      <c r="E230">
        <v>0</v>
      </c>
      <c r="F230">
        <v>3</v>
      </c>
      <c r="G230">
        <v>3</v>
      </c>
      <c r="H230">
        <v>0</v>
      </c>
      <c r="I230">
        <v>6000</v>
      </c>
      <c r="J230">
        <v>1</v>
      </c>
      <c r="K230">
        <v>1</v>
      </c>
      <c r="L230" s="4">
        <v>0.35729209103399528</v>
      </c>
      <c r="M230" s="4">
        <v>0.64270790896600472</v>
      </c>
      <c r="N230">
        <v>1</v>
      </c>
    </row>
    <row r="231" spans="1:14" x14ac:dyDescent="0.35">
      <c r="A231" s="1">
        <v>1898</v>
      </c>
      <c r="B231">
        <v>15</v>
      </c>
      <c r="C231">
        <v>47</v>
      </c>
      <c r="D231">
        <v>0</v>
      </c>
      <c r="E231">
        <v>0</v>
      </c>
      <c r="F231">
        <v>3</v>
      </c>
      <c r="G231">
        <v>3</v>
      </c>
      <c r="H231">
        <v>3</v>
      </c>
      <c r="I231">
        <v>0.01</v>
      </c>
      <c r="J231">
        <v>6</v>
      </c>
      <c r="K231">
        <v>0</v>
      </c>
      <c r="L231" s="4">
        <v>0.35746252937311218</v>
      </c>
      <c r="M231" s="4">
        <v>0.64253747062688782</v>
      </c>
      <c r="N231">
        <v>1</v>
      </c>
    </row>
    <row r="232" spans="1:14" x14ac:dyDescent="0.35">
      <c r="A232" s="1">
        <v>1413</v>
      </c>
      <c r="B232">
        <v>11</v>
      </c>
      <c r="C232">
        <v>30</v>
      </c>
      <c r="D232">
        <v>2</v>
      </c>
      <c r="E232">
        <v>0</v>
      </c>
      <c r="F232">
        <v>3</v>
      </c>
      <c r="G232">
        <v>3</v>
      </c>
      <c r="H232">
        <v>3</v>
      </c>
      <c r="I232">
        <v>0.01</v>
      </c>
      <c r="J232">
        <v>5</v>
      </c>
      <c r="K232">
        <v>0</v>
      </c>
      <c r="L232" s="4">
        <v>0.3587965620985677</v>
      </c>
      <c r="M232" s="4">
        <v>0.6412034379014323</v>
      </c>
      <c r="N232">
        <v>1</v>
      </c>
    </row>
    <row r="233" spans="1:14" x14ac:dyDescent="0.35">
      <c r="A233" s="1">
        <v>2782</v>
      </c>
      <c r="B233">
        <v>12</v>
      </c>
      <c r="C233">
        <v>35</v>
      </c>
      <c r="D233">
        <v>3</v>
      </c>
      <c r="E233">
        <v>0</v>
      </c>
      <c r="F233">
        <v>0</v>
      </c>
      <c r="G233">
        <v>4</v>
      </c>
      <c r="H233">
        <v>3</v>
      </c>
      <c r="I233">
        <v>0.01</v>
      </c>
      <c r="J233">
        <v>7</v>
      </c>
      <c r="K233">
        <v>1</v>
      </c>
      <c r="L233" s="4">
        <v>0.35904956565987228</v>
      </c>
      <c r="M233" s="4">
        <v>0.64095043434012766</v>
      </c>
      <c r="N233">
        <v>1</v>
      </c>
    </row>
    <row r="234" spans="1:14" x14ac:dyDescent="0.35">
      <c r="A234" s="1">
        <v>4024</v>
      </c>
      <c r="B234">
        <v>13</v>
      </c>
      <c r="C234">
        <v>41</v>
      </c>
      <c r="D234">
        <v>1</v>
      </c>
      <c r="E234">
        <v>0</v>
      </c>
      <c r="F234">
        <v>3</v>
      </c>
      <c r="G234">
        <v>3</v>
      </c>
      <c r="H234">
        <v>0</v>
      </c>
      <c r="I234">
        <v>12000</v>
      </c>
      <c r="J234">
        <v>1</v>
      </c>
      <c r="K234">
        <v>1</v>
      </c>
      <c r="L234" s="4">
        <v>0.35924440907794908</v>
      </c>
      <c r="M234" s="4">
        <v>0.64075559092205092</v>
      </c>
      <c r="N234">
        <v>1</v>
      </c>
    </row>
    <row r="235" spans="1:14" x14ac:dyDescent="0.35">
      <c r="A235" s="1">
        <v>1434</v>
      </c>
      <c r="B235">
        <v>11</v>
      </c>
      <c r="C235">
        <v>33</v>
      </c>
      <c r="D235">
        <v>3</v>
      </c>
      <c r="E235">
        <v>0</v>
      </c>
      <c r="F235">
        <v>1</v>
      </c>
      <c r="G235">
        <v>12</v>
      </c>
      <c r="H235">
        <v>1</v>
      </c>
      <c r="I235">
        <v>66000</v>
      </c>
      <c r="J235">
        <v>4</v>
      </c>
      <c r="K235">
        <v>1</v>
      </c>
      <c r="L235" s="4">
        <v>0.36024707187243671</v>
      </c>
      <c r="M235" s="4">
        <v>0.63975292812756335</v>
      </c>
      <c r="N235">
        <v>1</v>
      </c>
    </row>
    <row r="236" spans="1:14" x14ac:dyDescent="0.35">
      <c r="A236" s="1">
        <v>2730</v>
      </c>
      <c r="B236">
        <v>10</v>
      </c>
      <c r="C236">
        <v>27</v>
      </c>
      <c r="D236">
        <v>1</v>
      </c>
      <c r="E236">
        <v>0</v>
      </c>
      <c r="F236">
        <v>3</v>
      </c>
      <c r="G236">
        <v>8</v>
      </c>
      <c r="H236">
        <v>2</v>
      </c>
      <c r="I236">
        <v>1600</v>
      </c>
      <c r="J236">
        <v>6</v>
      </c>
      <c r="K236">
        <v>0</v>
      </c>
      <c r="L236" s="4">
        <v>0.36259343829401841</v>
      </c>
      <c r="M236" s="4">
        <v>0.63740656170598164</v>
      </c>
      <c r="N236">
        <v>1</v>
      </c>
    </row>
    <row r="237" spans="1:14" x14ac:dyDescent="0.35">
      <c r="A237" s="1">
        <v>3596</v>
      </c>
      <c r="B237">
        <v>9</v>
      </c>
      <c r="C237">
        <v>24</v>
      </c>
      <c r="D237">
        <v>3</v>
      </c>
      <c r="E237">
        <v>0</v>
      </c>
      <c r="F237">
        <v>0</v>
      </c>
      <c r="G237">
        <v>4</v>
      </c>
      <c r="H237">
        <v>2</v>
      </c>
      <c r="I237">
        <v>4500</v>
      </c>
      <c r="J237">
        <v>7</v>
      </c>
      <c r="K237">
        <v>1</v>
      </c>
      <c r="L237" s="4">
        <v>0.36319703515645813</v>
      </c>
      <c r="M237" s="4">
        <v>0.63680296484354193</v>
      </c>
      <c r="N237">
        <v>1</v>
      </c>
    </row>
    <row r="238" spans="1:14" x14ac:dyDescent="0.35">
      <c r="A238" s="1">
        <v>2243</v>
      </c>
      <c r="B238">
        <v>10</v>
      </c>
      <c r="C238">
        <v>24</v>
      </c>
      <c r="D238">
        <v>3</v>
      </c>
      <c r="E238">
        <v>1</v>
      </c>
      <c r="F238">
        <v>0</v>
      </c>
      <c r="G238">
        <v>11</v>
      </c>
      <c r="H238">
        <v>0</v>
      </c>
      <c r="I238">
        <v>6000</v>
      </c>
      <c r="J238">
        <v>2</v>
      </c>
      <c r="K238">
        <v>1</v>
      </c>
      <c r="L238" s="4">
        <v>0.36462547502529152</v>
      </c>
      <c r="M238" s="4">
        <v>0.63537452497470848</v>
      </c>
      <c r="N238">
        <v>1</v>
      </c>
    </row>
    <row r="239" spans="1:14" x14ac:dyDescent="0.35">
      <c r="A239" s="1">
        <v>3825</v>
      </c>
      <c r="B239">
        <v>17</v>
      </c>
      <c r="C239">
        <v>52</v>
      </c>
      <c r="D239">
        <v>2</v>
      </c>
      <c r="E239">
        <v>1</v>
      </c>
      <c r="F239">
        <v>0</v>
      </c>
      <c r="G239">
        <v>2</v>
      </c>
      <c r="H239">
        <v>2</v>
      </c>
      <c r="I239">
        <v>1000</v>
      </c>
      <c r="J239">
        <v>1</v>
      </c>
      <c r="K239">
        <v>0</v>
      </c>
      <c r="L239" s="4">
        <v>0.36474231057774847</v>
      </c>
      <c r="M239" s="4">
        <v>0.63525768942225147</v>
      </c>
      <c r="N239">
        <v>1</v>
      </c>
    </row>
    <row r="240" spans="1:14" x14ac:dyDescent="0.35">
      <c r="A240" s="1">
        <v>1747</v>
      </c>
      <c r="B240">
        <v>12</v>
      </c>
      <c r="C240">
        <v>35</v>
      </c>
      <c r="D240">
        <v>3</v>
      </c>
      <c r="E240">
        <v>0</v>
      </c>
      <c r="F240">
        <v>3</v>
      </c>
      <c r="G240">
        <v>3</v>
      </c>
      <c r="H240">
        <v>2</v>
      </c>
      <c r="I240">
        <v>500</v>
      </c>
      <c r="J240">
        <v>11</v>
      </c>
      <c r="K240">
        <v>1</v>
      </c>
      <c r="L240" s="4">
        <v>0.36594231293381713</v>
      </c>
      <c r="M240" s="4">
        <v>0.63405768706618293</v>
      </c>
      <c r="N240">
        <v>1</v>
      </c>
    </row>
    <row r="241" spans="1:14" x14ac:dyDescent="0.35">
      <c r="A241" s="1">
        <v>1685</v>
      </c>
      <c r="B241">
        <v>13</v>
      </c>
      <c r="C241">
        <v>38</v>
      </c>
      <c r="D241">
        <v>5</v>
      </c>
      <c r="E241">
        <v>0</v>
      </c>
      <c r="F241">
        <v>2</v>
      </c>
      <c r="G241">
        <v>1</v>
      </c>
      <c r="H241">
        <v>3</v>
      </c>
      <c r="I241">
        <v>0.01</v>
      </c>
      <c r="J241">
        <v>5</v>
      </c>
      <c r="K241">
        <v>0</v>
      </c>
      <c r="L241" s="4">
        <v>0.36653031543601761</v>
      </c>
      <c r="M241" s="4">
        <v>0.63346968456398245</v>
      </c>
      <c r="N241">
        <v>1</v>
      </c>
    </row>
    <row r="242" spans="1:14" x14ac:dyDescent="0.35">
      <c r="A242" s="1">
        <v>202</v>
      </c>
      <c r="B242">
        <v>13</v>
      </c>
      <c r="C242">
        <v>40</v>
      </c>
      <c r="D242">
        <v>1</v>
      </c>
      <c r="E242">
        <v>0</v>
      </c>
      <c r="F242">
        <v>3</v>
      </c>
      <c r="G242">
        <v>3</v>
      </c>
      <c r="H242">
        <v>2</v>
      </c>
      <c r="I242">
        <v>480.01</v>
      </c>
      <c r="J242">
        <v>8</v>
      </c>
      <c r="K242">
        <v>1</v>
      </c>
      <c r="L242" s="4">
        <v>0.36790151690559508</v>
      </c>
      <c r="M242" s="4">
        <v>0.63209848309440486</v>
      </c>
      <c r="N242">
        <v>1</v>
      </c>
    </row>
    <row r="243" spans="1:14" x14ac:dyDescent="0.35">
      <c r="A243" s="1">
        <v>1611</v>
      </c>
      <c r="B243">
        <v>11</v>
      </c>
      <c r="C243">
        <v>32</v>
      </c>
      <c r="D243">
        <v>4</v>
      </c>
      <c r="E243">
        <v>0</v>
      </c>
      <c r="F243">
        <v>0</v>
      </c>
      <c r="G243">
        <v>4</v>
      </c>
      <c r="H243">
        <v>2</v>
      </c>
      <c r="I243">
        <v>50</v>
      </c>
      <c r="J243">
        <v>9</v>
      </c>
      <c r="K243">
        <v>1</v>
      </c>
      <c r="L243" s="4">
        <v>0.36896584631937718</v>
      </c>
      <c r="M243" s="4">
        <v>0.63103415368062277</v>
      </c>
      <c r="N243">
        <v>1</v>
      </c>
    </row>
    <row r="244" spans="1:14" x14ac:dyDescent="0.35">
      <c r="A244" s="1">
        <v>4097</v>
      </c>
      <c r="B244">
        <v>13</v>
      </c>
      <c r="C244">
        <v>35</v>
      </c>
      <c r="D244">
        <v>3</v>
      </c>
      <c r="E244">
        <v>1</v>
      </c>
      <c r="F244">
        <v>0</v>
      </c>
      <c r="G244">
        <v>2</v>
      </c>
      <c r="H244">
        <v>3</v>
      </c>
      <c r="I244">
        <v>0.01</v>
      </c>
      <c r="J244">
        <v>5</v>
      </c>
      <c r="K244">
        <v>1</v>
      </c>
      <c r="L244" s="4">
        <v>0.36908563616739509</v>
      </c>
      <c r="M244" s="4">
        <v>0.63091436383260491</v>
      </c>
      <c r="N244">
        <v>1</v>
      </c>
    </row>
    <row r="245" spans="1:14" x14ac:dyDescent="0.35">
      <c r="A245" s="1">
        <v>3202</v>
      </c>
      <c r="B245">
        <v>18</v>
      </c>
      <c r="C245">
        <v>56</v>
      </c>
      <c r="D245">
        <v>1</v>
      </c>
      <c r="E245">
        <v>1</v>
      </c>
      <c r="F245">
        <v>0</v>
      </c>
      <c r="G245">
        <v>4</v>
      </c>
      <c r="H245">
        <v>3</v>
      </c>
      <c r="I245">
        <v>0.01</v>
      </c>
      <c r="J245">
        <v>4</v>
      </c>
      <c r="K245">
        <v>1</v>
      </c>
      <c r="L245" s="4">
        <v>0.37018633631537717</v>
      </c>
      <c r="M245" s="4">
        <v>0.62981366368462277</v>
      </c>
      <c r="N245">
        <v>1</v>
      </c>
    </row>
    <row r="246" spans="1:14" x14ac:dyDescent="0.35">
      <c r="A246" s="1">
        <v>4043</v>
      </c>
      <c r="B246">
        <v>14</v>
      </c>
      <c r="C246">
        <v>43</v>
      </c>
      <c r="D246">
        <v>1</v>
      </c>
      <c r="E246">
        <v>0</v>
      </c>
      <c r="F246">
        <v>3</v>
      </c>
      <c r="G246">
        <v>8</v>
      </c>
      <c r="H246">
        <v>3</v>
      </c>
      <c r="I246">
        <v>0.01</v>
      </c>
      <c r="J246">
        <v>7</v>
      </c>
      <c r="K246">
        <v>0</v>
      </c>
      <c r="L246" s="4">
        <v>0.37030509591093408</v>
      </c>
      <c r="M246" s="4">
        <v>0.62969490408906592</v>
      </c>
      <c r="N246">
        <v>1</v>
      </c>
    </row>
    <row r="247" spans="1:14" x14ac:dyDescent="0.35">
      <c r="A247" s="1">
        <v>4184</v>
      </c>
      <c r="B247">
        <v>13</v>
      </c>
      <c r="C247">
        <v>39</v>
      </c>
      <c r="D247">
        <v>5</v>
      </c>
      <c r="E247">
        <v>0</v>
      </c>
      <c r="F247">
        <v>2</v>
      </c>
      <c r="G247">
        <v>1</v>
      </c>
      <c r="H247">
        <v>2</v>
      </c>
      <c r="I247">
        <v>1500</v>
      </c>
      <c r="J247">
        <v>2</v>
      </c>
      <c r="K247">
        <v>1</v>
      </c>
      <c r="L247" s="4">
        <v>0.37062643494945091</v>
      </c>
      <c r="M247" s="4">
        <v>0.62937356505054909</v>
      </c>
      <c r="N247">
        <v>1</v>
      </c>
    </row>
    <row r="248" spans="1:14" x14ac:dyDescent="0.35">
      <c r="A248" s="1">
        <v>2333</v>
      </c>
      <c r="B248">
        <v>17</v>
      </c>
      <c r="C248">
        <v>54</v>
      </c>
      <c r="D248">
        <v>5</v>
      </c>
      <c r="E248">
        <v>0</v>
      </c>
      <c r="F248">
        <v>3</v>
      </c>
      <c r="G248">
        <v>3</v>
      </c>
      <c r="H248">
        <v>3</v>
      </c>
      <c r="I248">
        <v>0.01</v>
      </c>
      <c r="J248">
        <v>8</v>
      </c>
      <c r="K248">
        <v>1</v>
      </c>
      <c r="L248" s="4">
        <v>0.37199459827271031</v>
      </c>
      <c r="M248" s="4">
        <v>0.62800540172728969</v>
      </c>
      <c r="N248">
        <v>1</v>
      </c>
    </row>
    <row r="249" spans="1:14" x14ac:dyDescent="0.35">
      <c r="A249" s="1">
        <v>2438</v>
      </c>
      <c r="B249">
        <v>11</v>
      </c>
      <c r="C249">
        <v>35</v>
      </c>
      <c r="D249">
        <v>2</v>
      </c>
      <c r="E249">
        <v>0</v>
      </c>
      <c r="F249">
        <v>0</v>
      </c>
      <c r="G249">
        <v>2</v>
      </c>
      <c r="H249">
        <v>0</v>
      </c>
      <c r="I249">
        <v>6200</v>
      </c>
      <c r="J249">
        <v>5</v>
      </c>
      <c r="K249">
        <v>1</v>
      </c>
      <c r="L249" s="4">
        <v>0.37460517079592898</v>
      </c>
      <c r="M249" s="4">
        <v>0.62539482920407097</v>
      </c>
      <c r="N249">
        <v>1</v>
      </c>
    </row>
    <row r="250" spans="1:14" x14ac:dyDescent="0.35">
      <c r="A250" s="1">
        <v>4098</v>
      </c>
      <c r="B250">
        <v>12</v>
      </c>
      <c r="C250">
        <v>34</v>
      </c>
      <c r="D250">
        <v>5</v>
      </c>
      <c r="E250">
        <v>0</v>
      </c>
      <c r="F250">
        <v>1</v>
      </c>
      <c r="G250">
        <v>12</v>
      </c>
      <c r="H250">
        <v>3</v>
      </c>
      <c r="I250">
        <v>0.01</v>
      </c>
      <c r="J250">
        <v>5</v>
      </c>
      <c r="K250">
        <v>1</v>
      </c>
      <c r="L250" s="4">
        <v>0.37468967735127262</v>
      </c>
      <c r="M250" s="4">
        <v>0.62531032264872743</v>
      </c>
      <c r="N250">
        <v>1</v>
      </c>
    </row>
    <row r="251" spans="1:14" x14ac:dyDescent="0.35">
      <c r="A251" s="1">
        <v>3665</v>
      </c>
      <c r="B251">
        <v>10</v>
      </c>
      <c r="C251">
        <v>31</v>
      </c>
      <c r="D251">
        <v>0</v>
      </c>
      <c r="E251">
        <v>0</v>
      </c>
      <c r="F251">
        <v>2</v>
      </c>
      <c r="G251">
        <v>1</v>
      </c>
      <c r="H251">
        <v>0</v>
      </c>
      <c r="I251">
        <v>10000</v>
      </c>
      <c r="J251">
        <v>1</v>
      </c>
      <c r="K251">
        <v>1</v>
      </c>
      <c r="L251" s="4">
        <v>0.37479126851299061</v>
      </c>
      <c r="M251" s="4">
        <v>0.62520873148700939</v>
      </c>
      <c r="N251">
        <v>1</v>
      </c>
    </row>
    <row r="252" spans="1:14" x14ac:dyDescent="0.35">
      <c r="A252" s="1">
        <v>3913</v>
      </c>
      <c r="B252">
        <v>13</v>
      </c>
      <c r="C252">
        <v>39</v>
      </c>
      <c r="D252">
        <v>3</v>
      </c>
      <c r="E252">
        <v>0</v>
      </c>
      <c r="F252">
        <v>3</v>
      </c>
      <c r="G252">
        <v>3</v>
      </c>
      <c r="H252">
        <v>3</v>
      </c>
      <c r="I252">
        <v>0.01</v>
      </c>
      <c r="J252">
        <v>8</v>
      </c>
      <c r="K252">
        <v>1</v>
      </c>
      <c r="L252" s="4">
        <v>0.37659787056555277</v>
      </c>
      <c r="M252" s="4">
        <v>0.62340212943444717</v>
      </c>
      <c r="N252">
        <v>1</v>
      </c>
    </row>
    <row r="253" spans="1:14" x14ac:dyDescent="0.35">
      <c r="A253" s="1">
        <v>4191</v>
      </c>
      <c r="B253">
        <v>14</v>
      </c>
      <c r="C253">
        <v>45</v>
      </c>
      <c r="D253">
        <v>4</v>
      </c>
      <c r="E253">
        <v>0</v>
      </c>
      <c r="F253">
        <v>0</v>
      </c>
      <c r="G253">
        <v>2</v>
      </c>
      <c r="H253">
        <v>2</v>
      </c>
      <c r="I253">
        <v>5000</v>
      </c>
      <c r="J253">
        <v>4</v>
      </c>
      <c r="K253">
        <v>1</v>
      </c>
      <c r="L253" s="4">
        <v>0.37799273959863589</v>
      </c>
      <c r="M253" s="4">
        <v>0.62200726040136411</v>
      </c>
      <c r="N253">
        <v>1</v>
      </c>
    </row>
    <row r="254" spans="1:14" x14ac:dyDescent="0.35">
      <c r="A254" s="1">
        <v>2866</v>
      </c>
      <c r="B254">
        <v>13</v>
      </c>
      <c r="C254">
        <v>40</v>
      </c>
      <c r="D254">
        <v>4</v>
      </c>
      <c r="E254">
        <v>0</v>
      </c>
      <c r="F254">
        <v>0</v>
      </c>
      <c r="G254">
        <v>4</v>
      </c>
      <c r="H254">
        <v>3</v>
      </c>
      <c r="I254">
        <v>0.01</v>
      </c>
      <c r="J254">
        <v>7</v>
      </c>
      <c r="K254">
        <v>0</v>
      </c>
      <c r="L254" s="4">
        <v>0.37847235686566227</v>
      </c>
      <c r="M254" s="4">
        <v>0.62152764313433773</v>
      </c>
      <c r="N254">
        <v>1</v>
      </c>
    </row>
    <row r="255" spans="1:14" x14ac:dyDescent="0.35">
      <c r="A255" s="1">
        <v>66</v>
      </c>
      <c r="B255">
        <v>14</v>
      </c>
      <c r="C255">
        <v>43</v>
      </c>
      <c r="D255">
        <v>1</v>
      </c>
      <c r="E255">
        <v>0</v>
      </c>
      <c r="F255">
        <v>4</v>
      </c>
      <c r="G255">
        <v>9</v>
      </c>
      <c r="H255">
        <v>3</v>
      </c>
      <c r="I255">
        <v>0.01</v>
      </c>
      <c r="J255">
        <v>4</v>
      </c>
      <c r="K255">
        <v>1</v>
      </c>
      <c r="L255" s="4">
        <v>0.37915441788057791</v>
      </c>
      <c r="M255" s="4">
        <v>0.62084558211942209</v>
      </c>
      <c r="N255">
        <v>1</v>
      </c>
    </row>
    <row r="256" spans="1:14" x14ac:dyDescent="0.35">
      <c r="A256" s="1">
        <v>936</v>
      </c>
      <c r="B256">
        <v>12</v>
      </c>
      <c r="C256">
        <v>37</v>
      </c>
      <c r="D256">
        <v>3</v>
      </c>
      <c r="E256">
        <v>0</v>
      </c>
      <c r="F256">
        <v>3</v>
      </c>
      <c r="G256">
        <v>8</v>
      </c>
      <c r="H256">
        <v>0</v>
      </c>
      <c r="I256">
        <v>6053.35</v>
      </c>
      <c r="J256">
        <v>6</v>
      </c>
      <c r="K256">
        <v>1</v>
      </c>
      <c r="L256" s="4">
        <v>0.37932482392015299</v>
      </c>
      <c r="M256" s="4">
        <v>0.62067517607984701</v>
      </c>
      <c r="N256">
        <v>1</v>
      </c>
    </row>
    <row r="257" spans="1:14" x14ac:dyDescent="0.35">
      <c r="A257" s="1">
        <v>1375</v>
      </c>
      <c r="B257">
        <v>12</v>
      </c>
      <c r="C257">
        <v>35</v>
      </c>
      <c r="D257">
        <v>5</v>
      </c>
      <c r="E257">
        <v>0</v>
      </c>
      <c r="F257">
        <v>1</v>
      </c>
      <c r="G257">
        <v>7</v>
      </c>
      <c r="H257">
        <v>3</v>
      </c>
      <c r="I257">
        <v>0.01</v>
      </c>
      <c r="J257">
        <v>5</v>
      </c>
      <c r="K257">
        <v>1</v>
      </c>
      <c r="L257" s="4">
        <v>0.38238825361084527</v>
      </c>
      <c r="M257" s="4">
        <v>0.61761174638915473</v>
      </c>
      <c r="N257">
        <v>1</v>
      </c>
    </row>
    <row r="258" spans="1:14" x14ac:dyDescent="0.35">
      <c r="A258" s="1">
        <v>316</v>
      </c>
      <c r="B258">
        <v>14</v>
      </c>
      <c r="C258">
        <v>45</v>
      </c>
      <c r="D258">
        <v>1</v>
      </c>
      <c r="E258">
        <v>0</v>
      </c>
      <c r="F258">
        <v>0</v>
      </c>
      <c r="G258">
        <v>11</v>
      </c>
      <c r="H258">
        <v>3</v>
      </c>
      <c r="I258">
        <v>0.01</v>
      </c>
      <c r="J258">
        <v>5</v>
      </c>
      <c r="K258">
        <v>0</v>
      </c>
      <c r="L258" s="4">
        <v>0.38300884470791069</v>
      </c>
      <c r="M258" s="4">
        <v>0.61699115529208926</v>
      </c>
      <c r="N258">
        <v>1</v>
      </c>
    </row>
    <row r="259" spans="1:14" x14ac:dyDescent="0.35">
      <c r="A259" s="1">
        <v>1780</v>
      </c>
      <c r="B259">
        <v>13</v>
      </c>
      <c r="C259">
        <v>36</v>
      </c>
      <c r="D259">
        <v>0</v>
      </c>
      <c r="E259">
        <v>1</v>
      </c>
      <c r="F259">
        <v>3</v>
      </c>
      <c r="G259">
        <v>3</v>
      </c>
      <c r="H259">
        <v>3</v>
      </c>
      <c r="I259">
        <v>0.01</v>
      </c>
      <c r="J259">
        <v>5</v>
      </c>
      <c r="K259">
        <v>1</v>
      </c>
      <c r="L259" s="4">
        <v>0.38601087130333822</v>
      </c>
      <c r="M259" s="4">
        <v>0.61398912869666178</v>
      </c>
      <c r="N259">
        <v>1</v>
      </c>
    </row>
    <row r="260" spans="1:14" x14ac:dyDescent="0.35">
      <c r="A260" s="1">
        <v>1275</v>
      </c>
      <c r="B260">
        <v>18</v>
      </c>
      <c r="C260">
        <v>52</v>
      </c>
      <c r="D260">
        <v>1</v>
      </c>
      <c r="E260">
        <v>2</v>
      </c>
      <c r="F260">
        <v>1</v>
      </c>
      <c r="G260">
        <v>12</v>
      </c>
      <c r="H260">
        <v>2</v>
      </c>
      <c r="I260">
        <v>2500</v>
      </c>
      <c r="J260">
        <v>3</v>
      </c>
      <c r="K260">
        <v>0</v>
      </c>
      <c r="L260" s="4">
        <v>0.38911095587489469</v>
      </c>
      <c r="M260" s="4">
        <v>0.61088904412510525</v>
      </c>
      <c r="N260">
        <v>1</v>
      </c>
    </row>
    <row r="261" spans="1:14" x14ac:dyDescent="0.35">
      <c r="A261" s="1">
        <v>4321</v>
      </c>
      <c r="B261">
        <v>13</v>
      </c>
      <c r="C261">
        <v>42</v>
      </c>
      <c r="D261">
        <v>2</v>
      </c>
      <c r="E261">
        <v>0</v>
      </c>
      <c r="F261">
        <v>0</v>
      </c>
      <c r="G261">
        <v>10</v>
      </c>
      <c r="H261">
        <v>2</v>
      </c>
      <c r="I261">
        <v>3200</v>
      </c>
      <c r="J261">
        <v>8</v>
      </c>
      <c r="K261">
        <v>0</v>
      </c>
      <c r="L261" s="4">
        <v>0.3903572567937057</v>
      </c>
      <c r="M261" s="4">
        <v>0.6096427432062943</v>
      </c>
      <c r="N261">
        <v>1</v>
      </c>
    </row>
    <row r="262" spans="1:14" x14ac:dyDescent="0.35">
      <c r="A262" s="1">
        <v>2282</v>
      </c>
      <c r="B262">
        <v>11</v>
      </c>
      <c r="C262">
        <v>33</v>
      </c>
      <c r="D262">
        <v>2</v>
      </c>
      <c r="E262">
        <v>0</v>
      </c>
      <c r="F262">
        <v>0</v>
      </c>
      <c r="G262">
        <v>11</v>
      </c>
      <c r="H262">
        <v>3</v>
      </c>
      <c r="I262">
        <v>0.01</v>
      </c>
      <c r="J262">
        <v>8</v>
      </c>
      <c r="K262">
        <v>0</v>
      </c>
      <c r="L262" s="4">
        <v>0.39048259674674601</v>
      </c>
      <c r="M262" s="4">
        <v>0.60951740325325399</v>
      </c>
      <c r="N262">
        <v>1</v>
      </c>
    </row>
    <row r="263" spans="1:14" x14ac:dyDescent="0.35">
      <c r="A263" s="1">
        <v>1810</v>
      </c>
      <c r="B263">
        <v>10</v>
      </c>
      <c r="C263">
        <v>28</v>
      </c>
      <c r="D263">
        <v>2</v>
      </c>
      <c r="E263">
        <v>0</v>
      </c>
      <c r="F263">
        <v>4</v>
      </c>
      <c r="G263">
        <v>9</v>
      </c>
      <c r="H263">
        <v>2</v>
      </c>
      <c r="I263">
        <v>1590</v>
      </c>
      <c r="J263">
        <v>6</v>
      </c>
      <c r="K263">
        <v>1</v>
      </c>
      <c r="L263" s="4">
        <v>0.39085512740022887</v>
      </c>
      <c r="M263" s="4">
        <v>0.60914487259977113</v>
      </c>
      <c r="N263">
        <v>1</v>
      </c>
    </row>
    <row r="264" spans="1:14" x14ac:dyDescent="0.35">
      <c r="A264" s="1">
        <v>3507</v>
      </c>
      <c r="B264">
        <v>14</v>
      </c>
      <c r="C264">
        <v>47</v>
      </c>
      <c r="D264">
        <v>1</v>
      </c>
      <c r="E264">
        <v>0</v>
      </c>
      <c r="F264">
        <v>0</v>
      </c>
      <c r="G264">
        <v>4</v>
      </c>
      <c r="H264">
        <v>2</v>
      </c>
      <c r="I264">
        <v>2500</v>
      </c>
      <c r="J264">
        <v>5</v>
      </c>
      <c r="K264">
        <v>0</v>
      </c>
      <c r="L264" s="4">
        <v>0.39104659389750041</v>
      </c>
      <c r="M264" s="4">
        <v>0.60895340610249959</v>
      </c>
      <c r="N264">
        <v>1</v>
      </c>
    </row>
    <row r="265" spans="1:14" x14ac:dyDescent="0.35">
      <c r="A265" s="1">
        <v>1251</v>
      </c>
      <c r="B265">
        <v>18</v>
      </c>
      <c r="C265">
        <v>62</v>
      </c>
      <c r="D265">
        <v>4</v>
      </c>
      <c r="E265">
        <v>0</v>
      </c>
      <c r="F265">
        <v>0</v>
      </c>
      <c r="G265">
        <v>4</v>
      </c>
      <c r="H265">
        <v>2</v>
      </c>
      <c r="I265">
        <v>5000</v>
      </c>
      <c r="J265">
        <v>4</v>
      </c>
      <c r="K265">
        <v>1</v>
      </c>
      <c r="L265" s="4">
        <v>0.3919765997338609</v>
      </c>
      <c r="M265" s="4">
        <v>0.6080234002661391</v>
      </c>
      <c r="N265">
        <v>1</v>
      </c>
    </row>
    <row r="266" spans="1:14" x14ac:dyDescent="0.35">
      <c r="A266" s="1">
        <v>3533</v>
      </c>
      <c r="B266">
        <v>14</v>
      </c>
      <c r="C266">
        <v>45</v>
      </c>
      <c r="D266">
        <v>2</v>
      </c>
      <c r="E266">
        <v>0</v>
      </c>
      <c r="F266">
        <v>3</v>
      </c>
      <c r="G266">
        <v>8</v>
      </c>
      <c r="H266">
        <v>2</v>
      </c>
      <c r="I266">
        <v>50.01</v>
      </c>
      <c r="J266">
        <v>8</v>
      </c>
      <c r="K266">
        <v>0</v>
      </c>
      <c r="L266" s="4">
        <v>0.39421337668487738</v>
      </c>
      <c r="M266" s="4">
        <v>0.60578662331512256</v>
      </c>
      <c r="N266">
        <v>1</v>
      </c>
    </row>
    <row r="267" spans="1:14" x14ac:dyDescent="0.35">
      <c r="A267" s="1">
        <v>1017</v>
      </c>
      <c r="B267">
        <v>16</v>
      </c>
      <c r="C267">
        <v>52</v>
      </c>
      <c r="D267">
        <v>4</v>
      </c>
      <c r="E267">
        <v>0</v>
      </c>
      <c r="F267">
        <v>3</v>
      </c>
      <c r="G267">
        <v>3</v>
      </c>
      <c r="H267">
        <v>3</v>
      </c>
      <c r="I267">
        <v>0.01</v>
      </c>
      <c r="J267">
        <v>5</v>
      </c>
      <c r="K267">
        <v>1</v>
      </c>
      <c r="L267" s="4">
        <v>0.39585941648688261</v>
      </c>
      <c r="M267" s="4">
        <v>0.60414058351311739</v>
      </c>
      <c r="N267">
        <v>1</v>
      </c>
    </row>
    <row r="268" spans="1:14" x14ac:dyDescent="0.35">
      <c r="A268" s="1">
        <v>302</v>
      </c>
      <c r="B268">
        <v>12</v>
      </c>
      <c r="C268">
        <v>31</v>
      </c>
      <c r="D268">
        <v>4</v>
      </c>
      <c r="E268">
        <v>1</v>
      </c>
      <c r="F268">
        <v>3</v>
      </c>
      <c r="G268">
        <v>3</v>
      </c>
      <c r="H268">
        <v>3</v>
      </c>
      <c r="I268">
        <v>0.01</v>
      </c>
      <c r="J268">
        <v>9</v>
      </c>
      <c r="K268">
        <v>0</v>
      </c>
      <c r="L268" s="4">
        <v>0.3962310938609046</v>
      </c>
      <c r="M268" s="4">
        <v>0.6037689061390954</v>
      </c>
      <c r="N268">
        <v>1</v>
      </c>
    </row>
    <row r="269" spans="1:14" x14ac:dyDescent="0.35">
      <c r="A269" s="1">
        <v>4171</v>
      </c>
      <c r="B269">
        <v>13</v>
      </c>
      <c r="C269">
        <v>42</v>
      </c>
      <c r="D269">
        <v>4</v>
      </c>
      <c r="E269">
        <v>0</v>
      </c>
      <c r="F269">
        <v>0</v>
      </c>
      <c r="G269">
        <v>4</v>
      </c>
      <c r="H269">
        <v>2</v>
      </c>
      <c r="I269">
        <v>0.02</v>
      </c>
      <c r="J269">
        <v>8</v>
      </c>
      <c r="K269">
        <v>1</v>
      </c>
      <c r="L269" s="4">
        <v>0.39628069140197669</v>
      </c>
      <c r="M269" s="4">
        <v>0.60371930859802325</v>
      </c>
      <c r="N269">
        <v>1</v>
      </c>
    </row>
    <row r="270" spans="1:14" x14ac:dyDescent="0.35">
      <c r="A270" s="1">
        <v>499</v>
      </c>
      <c r="B270">
        <v>15</v>
      </c>
      <c r="C270">
        <v>49</v>
      </c>
      <c r="D270">
        <v>2</v>
      </c>
      <c r="E270">
        <v>0</v>
      </c>
      <c r="F270">
        <v>3</v>
      </c>
      <c r="G270">
        <v>3</v>
      </c>
      <c r="H270">
        <v>3</v>
      </c>
      <c r="I270">
        <v>0.01</v>
      </c>
      <c r="J270">
        <v>11</v>
      </c>
      <c r="K270">
        <v>1</v>
      </c>
      <c r="L270" s="4">
        <v>0.39654839665534158</v>
      </c>
      <c r="M270" s="4">
        <v>0.60345160334465842</v>
      </c>
      <c r="N270">
        <v>1</v>
      </c>
    </row>
    <row r="271" spans="1:14" x14ac:dyDescent="0.35">
      <c r="A271" s="1">
        <v>424</v>
      </c>
      <c r="B271">
        <v>11</v>
      </c>
      <c r="C271">
        <v>34</v>
      </c>
      <c r="D271">
        <v>2</v>
      </c>
      <c r="E271">
        <v>0</v>
      </c>
      <c r="F271">
        <v>0</v>
      </c>
      <c r="G271">
        <v>4</v>
      </c>
      <c r="H271">
        <v>3</v>
      </c>
      <c r="I271">
        <v>0.01</v>
      </c>
      <c r="J271">
        <v>5</v>
      </c>
      <c r="K271">
        <v>1</v>
      </c>
      <c r="L271" s="4">
        <v>0.39659296811340988</v>
      </c>
      <c r="M271" s="4">
        <v>0.60340703188659006</v>
      </c>
      <c r="N271">
        <v>1</v>
      </c>
    </row>
    <row r="272" spans="1:14" x14ac:dyDescent="0.35">
      <c r="A272" s="1">
        <v>3061</v>
      </c>
      <c r="B272">
        <v>14</v>
      </c>
      <c r="C272">
        <v>44</v>
      </c>
      <c r="D272">
        <v>4</v>
      </c>
      <c r="E272">
        <v>0</v>
      </c>
      <c r="F272">
        <v>3</v>
      </c>
      <c r="G272">
        <v>3</v>
      </c>
      <c r="H272">
        <v>3</v>
      </c>
      <c r="I272">
        <v>0.01</v>
      </c>
      <c r="J272">
        <v>7</v>
      </c>
      <c r="K272">
        <v>1</v>
      </c>
      <c r="L272" s="4">
        <v>0.39669038600626982</v>
      </c>
      <c r="M272" s="4">
        <v>0.60330961399373018</v>
      </c>
      <c r="N272">
        <v>1</v>
      </c>
    </row>
    <row r="273" spans="1:14" x14ac:dyDescent="0.35">
      <c r="A273" s="1">
        <v>1324</v>
      </c>
      <c r="B273">
        <v>10</v>
      </c>
      <c r="C273">
        <v>30</v>
      </c>
      <c r="D273">
        <v>4</v>
      </c>
      <c r="E273">
        <v>0</v>
      </c>
      <c r="F273">
        <v>0</v>
      </c>
      <c r="G273">
        <v>4</v>
      </c>
      <c r="H273">
        <v>2</v>
      </c>
      <c r="I273">
        <v>3360</v>
      </c>
      <c r="J273">
        <v>3</v>
      </c>
      <c r="K273">
        <v>1</v>
      </c>
      <c r="L273" s="4">
        <v>0.39869398424524788</v>
      </c>
      <c r="M273" s="4">
        <v>0.60130601575475207</v>
      </c>
      <c r="N273">
        <v>1</v>
      </c>
    </row>
    <row r="274" spans="1:14" x14ac:dyDescent="0.35">
      <c r="A274" s="1">
        <v>1177</v>
      </c>
      <c r="B274">
        <v>13</v>
      </c>
      <c r="C274">
        <v>41</v>
      </c>
      <c r="D274">
        <v>5</v>
      </c>
      <c r="E274">
        <v>0</v>
      </c>
      <c r="F274">
        <v>0</v>
      </c>
      <c r="G274">
        <v>4</v>
      </c>
      <c r="H274">
        <v>3</v>
      </c>
      <c r="I274">
        <v>0.01</v>
      </c>
      <c r="J274">
        <v>8</v>
      </c>
      <c r="K274">
        <v>1</v>
      </c>
      <c r="L274" s="4">
        <v>0.39870920196903248</v>
      </c>
      <c r="M274" s="4">
        <v>0.60129079803096752</v>
      </c>
      <c r="N274">
        <v>1</v>
      </c>
    </row>
    <row r="275" spans="1:14" x14ac:dyDescent="0.35">
      <c r="A275" s="1">
        <v>2204</v>
      </c>
      <c r="B275">
        <v>10</v>
      </c>
      <c r="C275">
        <v>28</v>
      </c>
      <c r="D275">
        <v>4</v>
      </c>
      <c r="E275">
        <v>0</v>
      </c>
      <c r="F275">
        <v>3</v>
      </c>
      <c r="G275">
        <v>3</v>
      </c>
      <c r="H275">
        <v>3</v>
      </c>
      <c r="I275">
        <v>0.01</v>
      </c>
      <c r="J275">
        <v>7</v>
      </c>
      <c r="K275">
        <v>0</v>
      </c>
      <c r="L275" s="4">
        <v>0.39958670359119108</v>
      </c>
      <c r="M275" s="4">
        <v>0.60041329640880892</v>
      </c>
      <c r="N275">
        <v>1</v>
      </c>
    </row>
    <row r="276" spans="1:14" x14ac:dyDescent="0.35">
      <c r="A276" s="1">
        <v>4383</v>
      </c>
      <c r="B276">
        <v>12</v>
      </c>
      <c r="C276">
        <v>36</v>
      </c>
      <c r="D276">
        <v>3</v>
      </c>
      <c r="E276">
        <v>0</v>
      </c>
      <c r="F276">
        <v>3</v>
      </c>
      <c r="G276">
        <v>8</v>
      </c>
      <c r="H276">
        <v>3</v>
      </c>
      <c r="I276">
        <v>0.01</v>
      </c>
      <c r="J276">
        <v>2</v>
      </c>
      <c r="K276">
        <v>1</v>
      </c>
      <c r="L276" s="4">
        <v>0.39995302234970059</v>
      </c>
      <c r="M276" s="4">
        <v>0.60004697765029935</v>
      </c>
      <c r="N276">
        <v>1</v>
      </c>
    </row>
    <row r="277" spans="1:14" x14ac:dyDescent="0.35">
      <c r="A277" s="1">
        <v>4187</v>
      </c>
      <c r="B277">
        <v>12</v>
      </c>
      <c r="C277">
        <v>37</v>
      </c>
      <c r="D277">
        <v>5</v>
      </c>
      <c r="E277">
        <v>0</v>
      </c>
      <c r="F277">
        <v>0</v>
      </c>
      <c r="G277">
        <v>4</v>
      </c>
      <c r="H277">
        <v>3</v>
      </c>
      <c r="I277">
        <v>0.01</v>
      </c>
      <c r="J277">
        <v>4</v>
      </c>
      <c r="K277">
        <v>1</v>
      </c>
      <c r="L277" s="4">
        <v>0.40066756465943898</v>
      </c>
      <c r="M277" s="4">
        <v>0.59933243534056102</v>
      </c>
      <c r="N277">
        <v>1</v>
      </c>
    </row>
    <row r="278" spans="1:14" x14ac:dyDescent="0.35">
      <c r="A278" s="1">
        <v>2093</v>
      </c>
      <c r="B278">
        <v>10</v>
      </c>
      <c r="C278">
        <v>29</v>
      </c>
      <c r="D278">
        <v>5</v>
      </c>
      <c r="E278">
        <v>0</v>
      </c>
      <c r="F278">
        <v>0</v>
      </c>
      <c r="G278">
        <v>11</v>
      </c>
      <c r="H278">
        <v>2</v>
      </c>
      <c r="I278">
        <v>1500</v>
      </c>
      <c r="J278">
        <v>2</v>
      </c>
      <c r="K278">
        <v>1</v>
      </c>
      <c r="L278" s="4">
        <v>0.40081442976351178</v>
      </c>
      <c r="M278" s="4">
        <v>0.59918557023648822</v>
      </c>
      <c r="N278">
        <v>1</v>
      </c>
    </row>
    <row r="279" spans="1:14" x14ac:dyDescent="0.35">
      <c r="A279" s="1">
        <v>4037</v>
      </c>
      <c r="B279">
        <v>11</v>
      </c>
      <c r="C279">
        <v>34</v>
      </c>
      <c r="D279">
        <v>3</v>
      </c>
      <c r="E279">
        <v>0</v>
      </c>
      <c r="F279">
        <v>0</v>
      </c>
      <c r="G279">
        <v>11</v>
      </c>
      <c r="H279">
        <v>2</v>
      </c>
      <c r="I279">
        <v>1000</v>
      </c>
      <c r="J279">
        <v>5</v>
      </c>
      <c r="K279">
        <v>1</v>
      </c>
      <c r="L279" s="4">
        <v>0.40117409229770967</v>
      </c>
      <c r="M279" s="4">
        <v>0.59882590770229027</v>
      </c>
      <c r="N279">
        <v>1</v>
      </c>
    </row>
    <row r="280" spans="1:14" x14ac:dyDescent="0.35">
      <c r="A280" s="1">
        <v>1802</v>
      </c>
      <c r="B280">
        <v>15</v>
      </c>
      <c r="C280">
        <v>47</v>
      </c>
      <c r="D280">
        <v>1</v>
      </c>
      <c r="E280">
        <v>1</v>
      </c>
      <c r="F280">
        <v>0</v>
      </c>
      <c r="G280">
        <v>2</v>
      </c>
      <c r="H280">
        <v>2</v>
      </c>
      <c r="I280">
        <v>4000</v>
      </c>
      <c r="J280">
        <v>1</v>
      </c>
      <c r="K280">
        <v>0</v>
      </c>
      <c r="L280" s="4">
        <v>0.40145373158186543</v>
      </c>
      <c r="M280" s="4">
        <v>0.59854626841813463</v>
      </c>
      <c r="N280">
        <v>1</v>
      </c>
    </row>
    <row r="281" spans="1:14" x14ac:dyDescent="0.35">
      <c r="A281" s="1">
        <v>2547</v>
      </c>
      <c r="B281">
        <v>10</v>
      </c>
      <c r="C281">
        <v>29</v>
      </c>
      <c r="D281">
        <v>5</v>
      </c>
      <c r="E281">
        <v>0</v>
      </c>
      <c r="F281">
        <v>2</v>
      </c>
      <c r="G281">
        <v>1</v>
      </c>
      <c r="H281">
        <v>2</v>
      </c>
      <c r="I281">
        <v>100</v>
      </c>
      <c r="J281">
        <v>1</v>
      </c>
      <c r="K281">
        <v>1</v>
      </c>
      <c r="L281" s="4">
        <v>0.40213499929387209</v>
      </c>
      <c r="M281" s="4">
        <v>0.59786500070612791</v>
      </c>
      <c r="N281">
        <v>1</v>
      </c>
    </row>
    <row r="282" spans="1:14" x14ac:dyDescent="0.35">
      <c r="A282" s="1">
        <v>2681</v>
      </c>
      <c r="B282">
        <v>13</v>
      </c>
      <c r="C282">
        <v>43</v>
      </c>
      <c r="D282">
        <v>3</v>
      </c>
      <c r="E282">
        <v>0</v>
      </c>
      <c r="F282">
        <v>0</v>
      </c>
      <c r="G282">
        <v>4</v>
      </c>
      <c r="H282">
        <v>2</v>
      </c>
      <c r="I282">
        <v>2371.77</v>
      </c>
      <c r="J282">
        <v>9</v>
      </c>
      <c r="K282">
        <v>0</v>
      </c>
      <c r="L282" s="4">
        <v>0.40318251700484681</v>
      </c>
      <c r="M282" s="4">
        <v>0.59681748299515325</v>
      </c>
      <c r="N282">
        <v>1</v>
      </c>
    </row>
    <row r="283" spans="1:14" x14ac:dyDescent="0.35">
      <c r="A283" s="1">
        <v>1243</v>
      </c>
      <c r="B283">
        <v>13</v>
      </c>
      <c r="C283">
        <v>40</v>
      </c>
      <c r="D283">
        <v>5</v>
      </c>
      <c r="E283">
        <v>0</v>
      </c>
      <c r="F283">
        <v>3</v>
      </c>
      <c r="G283">
        <v>3</v>
      </c>
      <c r="H283">
        <v>3</v>
      </c>
      <c r="I283">
        <v>0.01</v>
      </c>
      <c r="J283">
        <v>8</v>
      </c>
      <c r="K283">
        <v>0</v>
      </c>
      <c r="L283" s="4">
        <v>0.40341996779270978</v>
      </c>
      <c r="M283" s="4">
        <v>0.59658003220729017</v>
      </c>
      <c r="N283">
        <v>1</v>
      </c>
    </row>
    <row r="284" spans="1:14" x14ac:dyDescent="0.35">
      <c r="A284" s="1">
        <v>902</v>
      </c>
      <c r="B284">
        <v>14</v>
      </c>
      <c r="C284">
        <v>45</v>
      </c>
      <c r="D284">
        <v>3</v>
      </c>
      <c r="E284">
        <v>0</v>
      </c>
      <c r="F284">
        <v>1</v>
      </c>
      <c r="G284">
        <v>12</v>
      </c>
      <c r="H284">
        <v>3</v>
      </c>
      <c r="I284">
        <v>0.01</v>
      </c>
      <c r="J284">
        <v>5</v>
      </c>
      <c r="K284">
        <v>0</v>
      </c>
      <c r="L284" s="4">
        <v>0.4036504986004934</v>
      </c>
      <c r="M284" s="4">
        <v>0.5963495013995066</v>
      </c>
      <c r="N284">
        <v>1</v>
      </c>
    </row>
    <row r="285" spans="1:14" x14ac:dyDescent="0.35">
      <c r="A285" s="1">
        <v>3726</v>
      </c>
      <c r="B285">
        <v>13</v>
      </c>
      <c r="C285">
        <v>44</v>
      </c>
      <c r="D285">
        <v>1</v>
      </c>
      <c r="E285">
        <v>0</v>
      </c>
      <c r="F285">
        <v>3</v>
      </c>
      <c r="G285">
        <v>3</v>
      </c>
      <c r="H285">
        <v>0</v>
      </c>
      <c r="I285">
        <v>6988.4</v>
      </c>
      <c r="J285">
        <v>1</v>
      </c>
      <c r="K285">
        <v>1</v>
      </c>
      <c r="L285" s="4">
        <v>0.40370540251807951</v>
      </c>
      <c r="M285" s="4">
        <v>0.59629459748192049</v>
      </c>
      <c r="N285">
        <v>1</v>
      </c>
    </row>
    <row r="286" spans="1:14" x14ac:dyDescent="0.35">
      <c r="A286" s="1">
        <v>2344</v>
      </c>
      <c r="B286">
        <v>13</v>
      </c>
      <c r="C286">
        <v>36</v>
      </c>
      <c r="D286">
        <v>2</v>
      </c>
      <c r="E286">
        <v>1</v>
      </c>
      <c r="F286">
        <v>3</v>
      </c>
      <c r="G286">
        <v>8</v>
      </c>
      <c r="H286">
        <v>3</v>
      </c>
      <c r="I286">
        <v>0.01</v>
      </c>
      <c r="J286">
        <v>8</v>
      </c>
      <c r="K286">
        <v>1</v>
      </c>
      <c r="L286" s="4">
        <v>0.40421940457044919</v>
      </c>
      <c r="M286" s="4">
        <v>0.59578059542955075</v>
      </c>
      <c r="N286">
        <v>1</v>
      </c>
    </row>
    <row r="287" spans="1:14" x14ac:dyDescent="0.35">
      <c r="A287" s="1">
        <v>1672</v>
      </c>
      <c r="B287">
        <v>14</v>
      </c>
      <c r="C287">
        <v>46</v>
      </c>
      <c r="D287">
        <v>1</v>
      </c>
      <c r="E287">
        <v>0</v>
      </c>
      <c r="F287">
        <v>2</v>
      </c>
      <c r="G287">
        <v>6</v>
      </c>
      <c r="H287">
        <v>3</v>
      </c>
      <c r="I287">
        <v>0.01</v>
      </c>
      <c r="J287">
        <v>5</v>
      </c>
      <c r="K287">
        <v>1</v>
      </c>
      <c r="L287" s="4">
        <v>0.40438649951756328</v>
      </c>
      <c r="M287" s="4">
        <v>0.59561350048243666</v>
      </c>
      <c r="N287">
        <v>1</v>
      </c>
    </row>
    <row r="288" spans="1:14" x14ac:dyDescent="0.35">
      <c r="A288" s="1">
        <v>789</v>
      </c>
      <c r="B288">
        <v>11</v>
      </c>
      <c r="C288">
        <v>36</v>
      </c>
      <c r="D288">
        <v>1</v>
      </c>
      <c r="E288">
        <v>0</v>
      </c>
      <c r="F288">
        <v>0</v>
      </c>
      <c r="G288">
        <v>2</v>
      </c>
      <c r="H288">
        <v>2</v>
      </c>
      <c r="I288">
        <v>4000</v>
      </c>
      <c r="J288">
        <v>3</v>
      </c>
      <c r="K288">
        <v>1</v>
      </c>
      <c r="L288" s="4">
        <v>0.40504156101424532</v>
      </c>
      <c r="M288" s="4">
        <v>0.59495843898575473</v>
      </c>
      <c r="N288">
        <v>1</v>
      </c>
    </row>
    <row r="289" spans="1:14" x14ac:dyDescent="0.35">
      <c r="A289" s="1">
        <v>2485</v>
      </c>
      <c r="B289">
        <v>19</v>
      </c>
      <c r="C289">
        <v>68</v>
      </c>
      <c r="D289">
        <v>3</v>
      </c>
      <c r="E289">
        <v>0</v>
      </c>
      <c r="F289">
        <v>3</v>
      </c>
      <c r="G289">
        <v>3</v>
      </c>
      <c r="H289">
        <v>0</v>
      </c>
      <c r="I289">
        <v>13123.65</v>
      </c>
      <c r="J289">
        <v>12</v>
      </c>
      <c r="K289">
        <v>1</v>
      </c>
      <c r="L289" s="4">
        <v>0.40622435145033819</v>
      </c>
      <c r="M289" s="4">
        <v>0.59377564854966181</v>
      </c>
      <c r="N289">
        <v>1</v>
      </c>
    </row>
    <row r="290" spans="1:14" x14ac:dyDescent="0.35">
      <c r="A290" s="1">
        <v>625</v>
      </c>
      <c r="B290">
        <v>11</v>
      </c>
      <c r="C290">
        <v>37</v>
      </c>
      <c r="D290">
        <v>1</v>
      </c>
      <c r="E290">
        <v>0</v>
      </c>
      <c r="F290">
        <v>1</v>
      </c>
      <c r="G290">
        <v>5</v>
      </c>
      <c r="H290">
        <v>0</v>
      </c>
      <c r="I290">
        <v>9106.7000000000007</v>
      </c>
      <c r="J290">
        <v>6</v>
      </c>
      <c r="K290">
        <v>1</v>
      </c>
      <c r="L290" s="4">
        <v>0.40623754742953788</v>
      </c>
      <c r="M290" s="4">
        <v>0.59376245257046212</v>
      </c>
      <c r="N290">
        <v>1</v>
      </c>
    </row>
    <row r="291" spans="1:14" x14ac:dyDescent="0.35">
      <c r="A291" s="1">
        <v>21</v>
      </c>
      <c r="B291">
        <v>11</v>
      </c>
      <c r="C291">
        <v>33</v>
      </c>
      <c r="D291">
        <v>5</v>
      </c>
      <c r="E291">
        <v>0</v>
      </c>
      <c r="F291">
        <v>1</v>
      </c>
      <c r="G291">
        <v>12</v>
      </c>
      <c r="H291">
        <v>2</v>
      </c>
      <c r="I291">
        <v>360</v>
      </c>
      <c r="J291">
        <v>9</v>
      </c>
      <c r="K291">
        <v>1</v>
      </c>
      <c r="L291" s="4">
        <v>0.40652757617795582</v>
      </c>
      <c r="M291" s="4">
        <v>0.59347242382204424</v>
      </c>
      <c r="N291">
        <v>1</v>
      </c>
    </row>
    <row r="292" spans="1:14" x14ac:dyDescent="0.35">
      <c r="A292" s="1">
        <v>331</v>
      </c>
      <c r="B292">
        <v>9</v>
      </c>
      <c r="C292">
        <v>26</v>
      </c>
      <c r="D292">
        <v>5</v>
      </c>
      <c r="E292">
        <v>0</v>
      </c>
      <c r="F292">
        <v>0</v>
      </c>
      <c r="G292">
        <v>4</v>
      </c>
      <c r="H292">
        <v>2</v>
      </c>
      <c r="I292">
        <v>40</v>
      </c>
      <c r="J292">
        <v>3</v>
      </c>
      <c r="K292">
        <v>1</v>
      </c>
      <c r="L292" s="4">
        <v>0.40703497986944492</v>
      </c>
      <c r="M292" s="4">
        <v>0.59296502013055508</v>
      </c>
      <c r="N292">
        <v>1</v>
      </c>
    </row>
    <row r="293" spans="1:14" x14ac:dyDescent="0.35">
      <c r="A293" s="1">
        <v>4353</v>
      </c>
      <c r="B293">
        <v>11</v>
      </c>
      <c r="C293">
        <v>36</v>
      </c>
      <c r="D293">
        <v>3</v>
      </c>
      <c r="E293">
        <v>0</v>
      </c>
      <c r="F293">
        <v>1</v>
      </c>
      <c r="G293">
        <v>7</v>
      </c>
      <c r="H293">
        <v>0</v>
      </c>
      <c r="I293">
        <v>6000</v>
      </c>
      <c r="J293">
        <v>8</v>
      </c>
      <c r="K293">
        <v>1</v>
      </c>
      <c r="L293" s="4">
        <v>0.40764836809278088</v>
      </c>
      <c r="M293" s="4">
        <v>0.59235163190721907</v>
      </c>
      <c r="N293">
        <v>1</v>
      </c>
    </row>
    <row r="294" spans="1:14" x14ac:dyDescent="0.35">
      <c r="A294" s="1">
        <v>4154</v>
      </c>
      <c r="B294">
        <v>13</v>
      </c>
      <c r="C294">
        <v>43</v>
      </c>
      <c r="D294">
        <v>2</v>
      </c>
      <c r="E294">
        <v>0</v>
      </c>
      <c r="F294">
        <v>1</v>
      </c>
      <c r="G294">
        <v>7</v>
      </c>
      <c r="H294">
        <v>2</v>
      </c>
      <c r="I294">
        <v>50</v>
      </c>
      <c r="J294">
        <v>11</v>
      </c>
      <c r="K294">
        <v>1</v>
      </c>
      <c r="L294" s="4">
        <v>0.40794659300516201</v>
      </c>
      <c r="M294" s="4">
        <v>0.59205340699483799</v>
      </c>
      <c r="N294">
        <v>1</v>
      </c>
    </row>
    <row r="295" spans="1:14" x14ac:dyDescent="0.35">
      <c r="A295" s="1">
        <v>3205</v>
      </c>
      <c r="B295">
        <v>11</v>
      </c>
      <c r="C295">
        <v>35</v>
      </c>
      <c r="D295">
        <v>2</v>
      </c>
      <c r="E295">
        <v>0</v>
      </c>
      <c r="F295">
        <v>0</v>
      </c>
      <c r="G295">
        <v>10</v>
      </c>
      <c r="H295">
        <v>2</v>
      </c>
      <c r="I295">
        <v>1000</v>
      </c>
      <c r="J295">
        <v>1</v>
      </c>
      <c r="K295">
        <v>1</v>
      </c>
      <c r="L295" s="4">
        <v>0.40925318579367032</v>
      </c>
      <c r="M295" s="4">
        <v>0.59074681420632968</v>
      </c>
      <c r="N295">
        <v>1</v>
      </c>
    </row>
    <row r="296" spans="1:14" x14ac:dyDescent="0.35">
      <c r="A296" s="1">
        <v>2894</v>
      </c>
      <c r="B296">
        <v>11</v>
      </c>
      <c r="C296">
        <v>33</v>
      </c>
      <c r="D296">
        <v>5</v>
      </c>
      <c r="E296">
        <v>0</v>
      </c>
      <c r="F296">
        <v>0</v>
      </c>
      <c r="G296">
        <v>11</v>
      </c>
      <c r="H296">
        <v>3</v>
      </c>
      <c r="I296">
        <v>0.01</v>
      </c>
      <c r="J296">
        <v>8</v>
      </c>
      <c r="K296">
        <v>0</v>
      </c>
      <c r="L296" s="4">
        <v>0.40941683099392912</v>
      </c>
      <c r="M296" s="4">
        <v>0.59058316900607088</v>
      </c>
      <c r="N296">
        <v>1</v>
      </c>
    </row>
    <row r="297" spans="1:14" x14ac:dyDescent="0.35">
      <c r="A297" s="1">
        <v>2973</v>
      </c>
      <c r="B297">
        <v>12</v>
      </c>
      <c r="C297">
        <v>41</v>
      </c>
      <c r="D297">
        <v>2</v>
      </c>
      <c r="E297">
        <v>0</v>
      </c>
      <c r="F297">
        <v>0</v>
      </c>
      <c r="G297">
        <v>4</v>
      </c>
      <c r="H297">
        <v>1</v>
      </c>
      <c r="I297">
        <v>25217.119999999999</v>
      </c>
      <c r="J297">
        <v>1</v>
      </c>
      <c r="K297">
        <v>1</v>
      </c>
      <c r="L297" s="4">
        <v>0.40958147596685512</v>
      </c>
      <c r="M297" s="4">
        <v>0.59041852403314488</v>
      </c>
      <c r="N297">
        <v>1</v>
      </c>
    </row>
    <row r="298" spans="1:14" x14ac:dyDescent="0.35">
      <c r="A298" s="1">
        <v>2347</v>
      </c>
      <c r="B298">
        <v>12</v>
      </c>
      <c r="C298">
        <v>37</v>
      </c>
      <c r="D298">
        <v>5</v>
      </c>
      <c r="E298">
        <v>0</v>
      </c>
      <c r="F298">
        <v>1</v>
      </c>
      <c r="G298">
        <v>7</v>
      </c>
      <c r="H298">
        <v>3</v>
      </c>
      <c r="I298">
        <v>0.01</v>
      </c>
      <c r="J298">
        <v>5</v>
      </c>
      <c r="K298">
        <v>1</v>
      </c>
      <c r="L298" s="4">
        <v>0.41118317281513911</v>
      </c>
      <c r="M298" s="4">
        <v>0.58881682718486095</v>
      </c>
      <c r="N298">
        <v>1</v>
      </c>
    </row>
    <row r="299" spans="1:14" x14ac:dyDescent="0.35">
      <c r="A299" s="1">
        <v>3622</v>
      </c>
      <c r="B299">
        <v>10</v>
      </c>
      <c r="C299">
        <v>32</v>
      </c>
      <c r="D299">
        <v>0</v>
      </c>
      <c r="E299">
        <v>0</v>
      </c>
      <c r="F299">
        <v>0</v>
      </c>
      <c r="G299">
        <v>2</v>
      </c>
      <c r="H299">
        <v>3</v>
      </c>
      <c r="I299">
        <v>0.01</v>
      </c>
      <c r="J299">
        <v>4</v>
      </c>
      <c r="K299">
        <v>0</v>
      </c>
      <c r="L299" s="4">
        <v>0.41129576164723092</v>
      </c>
      <c r="M299" s="4">
        <v>0.58870423835276908</v>
      </c>
      <c r="N299">
        <v>1</v>
      </c>
    </row>
    <row r="300" spans="1:14" x14ac:dyDescent="0.35">
      <c r="A300" s="1">
        <v>1412</v>
      </c>
      <c r="B300">
        <v>9</v>
      </c>
      <c r="C300">
        <v>25</v>
      </c>
      <c r="D300">
        <v>5</v>
      </c>
      <c r="E300">
        <v>0</v>
      </c>
      <c r="F300">
        <v>3</v>
      </c>
      <c r="G300">
        <v>3</v>
      </c>
      <c r="H300">
        <v>2</v>
      </c>
      <c r="I300">
        <v>50.38</v>
      </c>
      <c r="J300">
        <v>3</v>
      </c>
      <c r="K300">
        <v>1</v>
      </c>
      <c r="L300" s="4">
        <v>0.41177269864191629</v>
      </c>
      <c r="M300" s="4">
        <v>0.58822730135808365</v>
      </c>
      <c r="N300">
        <v>1</v>
      </c>
    </row>
    <row r="301" spans="1:14" x14ac:dyDescent="0.35">
      <c r="A301" s="1">
        <v>4269</v>
      </c>
      <c r="B301">
        <v>11</v>
      </c>
      <c r="C301">
        <v>35</v>
      </c>
      <c r="D301">
        <v>1</v>
      </c>
      <c r="E301">
        <v>0</v>
      </c>
      <c r="F301">
        <v>1</v>
      </c>
      <c r="G301">
        <v>5</v>
      </c>
      <c r="H301">
        <v>3</v>
      </c>
      <c r="I301">
        <v>0.01</v>
      </c>
      <c r="J301">
        <v>8</v>
      </c>
      <c r="K301">
        <v>0</v>
      </c>
      <c r="L301" s="4">
        <v>0.41198842273501501</v>
      </c>
      <c r="M301" s="4">
        <v>0.58801157726498499</v>
      </c>
      <c r="N301">
        <v>1</v>
      </c>
    </row>
    <row r="302" spans="1:14" x14ac:dyDescent="0.35">
      <c r="A302" s="1">
        <v>2594</v>
      </c>
      <c r="B302">
        <v>10</v>
      </c>
      <c r="C302">
        <v>30</v>
      </c>
      <c r="D302">
        <v>5</v>
      </c>
      <c r="E302">
        <v>0</v>
      </c>
      <c r="F302">
        <v>0</v>
      </c>
      <c r="G302">
        <v>2</v>
      </c>
      <c r="H302">
        <v>3</v>
      </c>
      <c r="I302">
        <v>0.01</v>
      </c>
      <c r="J302">
        <v>9</v>
      </c>
      <c r="K302">
        <v>1</v>
      </c>
      <c r="L302" s="4">
        <v>0.41244391033856642</v>
      </c>
      <c r="M302" s="4">
        <v>0.58755608966143358</v>
      </c>
      <c r="N302">
        <v>1</v>
      </c>
    </row>
    <row r="303" spans="1:14" x14ac:dyDescent="0.35">
      <c r="A303" s="1">
        <v>298</v>
      </c>
      <c r="B303">
        <v>11</v>
      </c>
      <c r="C303">
        <v>36</v>
      </c>
      <c r="D303">
        <v>3</v>
      </c>
      <c r="E303">
        <v>0</v>
      </c>
      <c r="F303">
        <v>1</v>
      </c>
      <c r="G303">
        <v>12</v>
      </c>
      <c r="H303">
        <v>1</v>
      </c>
      <c r="I303">
        <v>40000</v>
      </c>
      <c r="J303">
        <v>4</v>
      </c>
      <c r="K303">
        <v>0</v>
      </c>
      <c r="L303" s="4">
        <v>0.41292688133189331</v>
      </c>
      <c r="M303" s="4">
        <v>0.58707311866810674</v>
      </c>
      <c r="N303">
        <v>1</v>
      </c>
    </row>
    <row r="304" spans="1:14" x14ac:dyDescent="0.35">
      <c r="A304" s="1">
        <v>665</v>
      </c>
      <c r="B304">
        <v>12</v>
      </c>
      <c r="C304">
        <v>39</v>
      </c>
      <c r="D304">
        <v>3</v>
      </c>
      <c r="E304">
        <v>0</v>
      </c>
      <c r="F304">
        <v>1</v>
      </c>
      <c r="G304">
        <v>5</v>
      </c>
      <c r="H304">
        <v>2</v>
      </c>
      <c r="I304">
        <v>2500</v>
      </c>
      <c r="J304">
        <v>5</v>
      </c>
      <c r="K304">
        <v>1</v>
      </c>
      <c r="L304" s="4">
        <v>0.41329695337736039</v>
      </c>
      <c r="M304" s="4">
        <v>0.58670304662263961</v>
      </c>
      <c r="N304">
        <v>1</v>
      </c>
    </row>
    <row r="305" spans="1:14" x14ac:dyDescent="0.35">
      <c r="A305" s="1">
        <v>1447</v>
      </c>
      <c r="B305">
        <v>15</v>
      </c>
      <c r="C305">
        <v>51</v>
      </c>
      <c r="D305">
        <v>3</v>
      </c>
      <c r="E305">
        <v>0</v>
      </c>
      <c r="F305">
        <v>0</v>
      </c>
      <c r="G305">
        <v>4</v>
      </c>
      <c r="H305">
        <v>3</v>
      </c>
      <c r="I305">
        <v>0.01</v>
      </c>
      <c r="J305">
        <v>8</v>
      </c>
      <c r="K305">
        <v>1</v>
      </c>
      <c r="L305" s="4">
        <v>0.41358915083057463</v>
      </c>
      <c r="M305" s="4">
        <v>0.58641084916942543</v>
      </c>
      <c r="N305">
        <v>1</v>
      </c>
    </row>
    <row r="306" spans="1:14" x14ac:dyDescent="0.35">
      <c r="A306" s="1">
        <v>4358</v>
      </c>
      <c r="B306">
        <v>11</v>
      </c>
      <c r="C306">
        <v>34</v>
      </c>
      <c r="D306">
        <v>5</v>
      </c>
      <c r="E306">
        <v>0</v>
      </c>
      <c r="F306">
        <v>0</v>
      </c>
      <c r="G306">
        <v>4</v>
      </c>
      <c r="H306">
        <v>3</v>
      </c>
      <c r="I306">
        <v>0.01</v>
      </c>
      <c r="J306">
        <v>9</v>
      </c>
      <c r="K306">
        <v>1</v>
      </c>
      <c r="L306" s="4">
        <v>0.4143735364665101</v>
      </c>
      <c r="M306" s="4">
        <v>0.5856264635334899</v>
      </c>
      <c r="N306">
        <v>1</v>
      </c>
    </row>
    <row r="307" spans="1:14" x14ac:dyDescent="0.35">
      <c r="A307" s="1">
        <v>3535</v>
      </c>
      <c r="B307">
        <v>11</v>
      </c>
      <c r="C307">
        <v>34</v>
      </c>
      <c r="D307">
        <v>5</v>
      </c>
      <c r="E307">
        <v>0</v>
      </c>
      <c r="F307">
        <v>0</v>
      </c>
      <c r="G307">
        <v>11</v>
      </c>
      <c r="H307">
        <v>2</v>
      </c>
      <c r="I307">
        <v>420</v>
      </c>
      <c r="J307">
        <v>4</v>
      </c>
      <c r="K307">
        <v>0</v>
      </c>
      <c r="L307" s="4">
        <v>0.41441319066632792</v>
      </c>
      <c r="M307" s="4">
        <v>0.58558680933367213</v>
      </c>
      <c r="N307">
        <v>1</v>
      </c>
    </row>
    <row r="308" spans="1:14" x14ac:dyDescent="0.35">
      <c r="A308" s="1">
        <v>3489</v>
      </c>
      <c r="B308">
        <v>15</v>
      </c>
      <c r="C308">
        <v>51</v>
      </c>
      <c r="D308">
        <v>2</v>
      </c>
      <c r="E308">
        <v>0</v>
      </c>
      <c r="F308">
        <v>3</v>
      </c>
      <c r="G308">
        <v>3</v>
      </c>
      <c r="H308">
        <v>2</v>
      </c>
      <c r="I308">
        <v>3000</v>
      </c>
      <c r="J308">
        <v>8</v>
      </c>
      <c r="K308">
        <v>1</v>
      </c>
      <c r="L308" s="4">
        <v>0.41471425364213033</v>
      </c>
      <c r="M308" s="4">
        <v>0.58528574635786967</v>
      </c>
      <c r="N308">
        <v>1</v>
      </c>
    </row>
    <row r="309" spans="1:14" x14ac:dyDescent="0.35">
      <c r="A309" s="1">
        <v>504</v>
      </c>
      <c r="B309">
        <v>17</v>
      </c>
      <c r="C309">
        <v>59</v>
      </c>
      <c r="D309">
        <v>5</v>
      </c>
      <c r="E309">
        <v>0</v>
      </c>
      <c r="F309">
        <v>0</v>
      </c>
      <c r="G309">
        <v>4</v>
      </c>
      <c r="H309">
        <v>2</v>
      </c>
      <c r="I309">
        <v>1800</v>
      </c>
      <c r="J309">
        <v>2</v>
      </c>
      <c r="K309">
        <v>1</v>
      </c>
      <c r="L309" s="4">
        <v>0.41537538143778813</v>
      </c>
      <c r="M309" s="4">
        <v>0.58462461856221193</v>
      </c>
      <c r="N309">
        <v>1</v>
      </c>
    </row>
    <row r="310" spans="1:14" x14ac:dyDescent="0.35">
      <c r="A310" s="1">
        <v>1887</v>
      </c>
      <c r="B310">
        <v>12</v>
      </c>
      <c r="C310">
        <v>38</v>
      </c>
      <c r="D310">
        <v>2</v>
      </c>
      <c r="E310">
        <v>0</v>
      </c>
      <c r="F310">
        <v>3</v>
      </c>
      <c r="G310">
        <v>3</v>
      </c>
      <c r="H310">
        <v>3</v>
      </c>
      <c r="I310">
        <v>0.01</v>
      </c>
      <c r="J310">
        <v>4</v>
      </c>
      <c r="K310">
        <v>1</v>
      </c>
      <c r="L310" s="4">
        <v>0.41541273210067992</v>
      </c>
      <c r="M310" s="4">
        <v>0.58458726789932014</v>
      </c>
      <c r="N310">
        <v>1</v>
      </c>
    </row>
    <row r="311" spans="1:14" x14ac:dyDescent="0.35">
      <c r="A311" s="1">
        <v>3945</v>
      </c>
      <c r="B311">
        <v>12</v>
      </c>
      <c r="C311">
        <v>39</v>
      </c>
      <c r="D311">
        <v>2</v>
      </c>
      <c r="E311">
        <v>0</v>
      </c>
      <c r="F311">
        <v>3</v>
      </c>
      <c r="G311">
        <v>3</v>
      </c>
      <c r="H311">
        <v>2</v>
      </c>
      <c r="I311">
        <v>3250</v>
      </c>
      <c r="J311">
        <v>8</v>
      </c>
      <c r="K311">
        <v>0</v>
      </c>
      <c r="L311" s="4">
        <v>0.41681838903887142</v>
      </c>
      <c r="M311" s="4">
        <v>0.58318161096112864</v>
      </c>
      <c r="N311">
        <v>1</v>
      </c>
    </row>
    <row r="312" spans="1:14" x14ac:dyDescent="0.35">
      <c r="A312" s="1">
        <v>2597</v>
      </c>
      <c r="B312">
        <v>11</v>
      </c>
      <c r="C312">
        <v>37</v>
      </c>
      <c r="D312">
        <v>1</v>
      </c>
      <c r="E312">
        <v>0</v>
      </c>
      <c r="F312">
        <v>1</v>
      </c>
      <c r="G312">
        <v>12</v>
      </c>
      <c r="H312">
        <v>0</v>
      </c>
      <c r="I312">
        <v>6000</v>
      </c>
      <c r="J312">
        <v>3</v>
      </c>
      <c r="K312">
        <v>1</v>
      </c>
      <c r="L312" s="4">
        <v>0.41769223229705438</v>
      </c>
      <c r="M312" s="4">
        <v>0.58230776770294557</v>
      </c>
      <c r="N312">
        <v>1</v>
      </c>
    </row>
    <row r="313" spans="1:14" x14ac:dyDescent="0.35">
      <c r="A313" s="1">
        <v>2138</v>
      </c>
      <c r="B313">
        <v>14</v>
      </c>
      <c r="C313">
        <v>44</v>
      </c>
      <c r="D313">
        <v>3</v>
      </c>
      <c r="E313">
        <v>1</v>
      </c>
      <c r="F313">
        <v>2</v>
      </c>
      <c r="G313">
        <v>0</v>
      </c>
      <c r="H313">
        <v>0</v>
      </c>
      <c r="I313">
        <v>6000</v>
      </c>
      <c r="J313">
        <v>2</v>
      </c>
      <c r="K313">
        <v>1</v>
      </c>
      <c r="L313" s="4">
        <v>0.41817467821987447</v>
      </c>
      <c r="M313" s="4">
        <v>0.58182532178012547</v>
      </c>
      <c r="N313">
        <v>1</v>
      </c>
    </row>
    <row r="314" spans="1:14" x14ac:dyDescent="0.35">
      <c r="A314" s="1">
        <v>3863</v>
      </c>
      <c r="B314">
        <v>16</v>
      </c>
      <c r="C314">
        <v>56</v>
      </c>
      <c r="D314">
        <v>5</v>
      </c>
      <c r="E314">
        <v>0</v>
      </c>
      <c r="F314">
        <v>1</v>
      </c>
      <c r="G314">
        <v>7</v>
      </c>
      <c r="H314">
        <v>0</v>
      </c>
      <c r="I314">
        <v>6000</v>
      </c>
      <c r="J314">
        <v>2</v>
      </c>
      <c r="K314">
        <v>1</v>
      </c>
      <c r="L314" s="4">
        <v>0.41860835179530848</v>
      </c>
      <c r="M314" s="4">
        <v>0.58139164820469147</v>
      </c>
      <c r="N314">
        <v>1</v>
      </c>
    </row>
    <row r="315" spans="1:14" x14ac:dyDescent="0.35">
      <c r="A315" s="1">
        <v>2361</v>
      </c>
      <c r="B315">
        <v>11</v>
      </c>
      <c r="C315">
        <v>35</v>
      </c>
      <c r="D315">
        <v>2</v>
      </c>
      <c r="E315">
        <v>0</v>
      </c>
      <c r="F315">
        <v>3</v>
      </c>
      <c r="G315">
        <v>3</v>
      </c>
      <c r="H315">
        <v>2</v>
      </c>
      <c r="I315">
        <v>99.31</v>
      </c>
      <c r="J315">
        <v>8</v>
      </c>
      <c r="K315">
        <v>1</v>
      </c>
      <c r="L315" s="4">
        <v>0.41878823794404879</v>
      </c>
      <c r="M315" s="4">
        <v>0.58121176205595115</v>
      </c>
      <c r="N315">
        <v>1</v>
      </c>
    </row>
    <row r="316" spans="1:14" x14ac:dyDescent="0.35">
      <c r="A316" s="1">
        <v>475</v>
      </c>
      <c r="B316">
        <v>10</v>
      </c>
      <c r="C316">
        <v>32</v>
      </c>
      <c r="D316">
        <v>1</v>
      </c>
      <c r="E316">
        <v>0</v>
      </c>
      <c r="F316">
        <v>2</v>
      </c>
      <c r="G316">
        <v>1</v>
      </c>
      <c r="H316">
        <v>2</v>
      </c>
      <c r="I316">
        <v>3000</v>
      </c>
      <c r="J316">
        <v>2</v>
      </c>
      <c r="K316">
        <v>1</v>
      </c>
      <c r="L316" s="4">
        <v>0.41891625050487791</v>
      </c>
      <c r="M316" s="4">
        <v>0.58108374949512209</v>
      </c>
      <c r="N316">
        <v>1</v>
      </c>
    </row>
    <row r="317" spans="1:14" x14ac:dyDescent="0.35">
      <c r="A317" s="1">
        <v>1300</v>
      </c>
      <c r="B317">
        <v>13</v>
      </c>
      <c r="C317">
        <v>43</v>
      </c>
      <c r="D317">
        <v>4</v>
      </c>
      <c r="E317">
        <v>0</v>
      </c>
      <c r="F317">
        <v>0</v>
      </c>
      <c r="G317">
        <v>11</v>
      </c>
      <c r="H317">
        <v>2</v>
      </c>
      <c r="I317">
        <v>3000</v>
      </c>
      <c r="J317">
        <v>8</v>
      </c>
      <c r="K317">
        <v>1</v>
      </c>
      <c r="L317" s="4">
        <v>0.41891706880927498</v>
      </c>
      <c r="M317" s="4">
        <v>0.58108293119072496</v>
      </c>
      <c r="N317">
        <v>1</v>
      </c>
    </row>
    <row r="318" spans="1:14" x14ac:dyDescent="0.35">
      <c r="A318" s="1">
        <v>2172</v>
      </c>
      <c r="B318">
        <v>10</v>
      </c>
      <c r="C318">
        <v>32</v>
      </c>
      <c r="D318">
        <v>3</v>
      </c>
      <c r="E318">
        <v>0</v>
      </c>
      <c r="F318">
        <v>0</v>
      </c>
      <c r="G318">
        <v>4</v>
      </c>
      <c r="H318">
        <v>2</v>
      </c>
      <c r="I318">
        <v>3000</v>
      </c>
      <c r="J318">
        <v>8</v>
      </c>
      <c r="K318">
        <v>1</v>
      </c>
      <c r="L318" s="4">
        <v>0.42001535915005511</v>
      </c>
      <c r="M318" s="4">
        <v>0.57998464084994494</v>
      </c>
      <c r="N318">
        <v>1</v>
      </c>
    </row>
    <row r="319" spans="1:14" x14ac:dyDescent="0.35">
      <c r="A319" s="1">
        <v>2611</v>
      </c>
      <c r="B319">
        <v>14</v>
      </c>
      <c r="C319">
        <v>42</v>
      </c>
      <c r="D319">
        <v>1</v>
      </c>
      <c r="E319">
        <v>1</v>
      </c>
      <c r="F319">
        <v>3</v>
      </c>
      <c r="G319">
        <v>3</v>
      </c>
      <c r="H319">
        <v>3</v>
      </c>
      <c r="I319">
        <v>0.01</v>
      </c>
      <c r="J319">
        <v>6</v>
      </c>
      <c r="K319">
        <v>1</v>
      </c>
      <c r="L319" s="4">
        <v>0.42024473415028241</v>
      </c>
      <c r="M319" s="4">
        <v>0.57975526584971759</v>
      </c>
      <c r="N319">
        <v>1</v>
      </c>
    </row>
    <row r="320" spans="1:14" x14ac:dyDescent="0.35">
      <c r="A320" s="1">
        <v>388</v>
      </c>
      <c r="B320">
        <v>13</v>
      </c>
      <c r="C320">
        <v>44</v>
      </c>
      <c r="D320">
        <v>2</v>
      </c>
      <c r="E320">
        <v>0</v>
      </c>
      <c r="F320">
        <v>0</v>
      </c>
      <c r="G320">
        <v>11</v>
      </c>
      <c r="H320">
        <v>2</v>
      </c>
      <c r="I320">
        <v>5000</v>
      </c>
      <c r="J320">
        <v>7</v>
      </c>
      <c r="K320">
        <v>1</v>
      </c>
      <c r="L320" s="4">
        <v>0.42028847749611697</v>
      </c>
      <c r="M320" s="4">
        <v>0.57971152250388303</v>
      </c>
      <c r="N320">
        <v>1</v>
      </c>
    </row>
    <row r="321" spans="1:14" x14ac:dyDescent="0.35">
      <c r="A321" s="1">
        <v>2312</v>
      </c>
      <c r="B321">
        <v>12</v>
      </c>
      <c r="C321">
        <v>29</v>
      </c>
      <c r="D321">
        <v>1</v>
      </c>
      <c r="E321">
        <v>2</v>
      </c>
      <c r="F321">
        <v>3</v>
      </c>
      <c r="G321">
        <v>3</v>
      </c>
      <c r="H321">
        <v>3</v>
      </c>
      <c r="I321">
        <v>0.01</v>
      </c>
      <c r="J321">
        <v>5</v>
      </c>
      <c r="K321">
        <v>0</v>
      </c>
      <c r="L321" s="4">
        <v>0.42071641952014699</v>
      </c>
      <c r="M321" s="4">
        <v>0.57928358047985296</v>
      </c>
      <c r="N321">
        <v>1</v>
      </c>
    </row>
    <row r="322" spans="1:14" x14ac:dyDescent="0.35">
      <c r="A322" s="1">
        <v>328</v>
      </c>
      <c r="B322">
        <v>11</v>
      </c>
      <c r="C322">
        <v>38</v>
      </c>
      <c r="D322">
        <v>1</v>
      </c>
      <c r="E322">
        <v>0</v>
      </c>
      <c r="F322">
        <v>1</v>
      </c>
      <c r="G322">
        <v>5</v>
      </c>
      <c r="H322">
        <v>0</v>
      </c>
      <c r="I322">
        <v>10000</v>
      </c>
      <c r="J322">
        <v>5</v>
      </c>
      <c r="K322">
        <v>1</v>
      </c>
      <c r="L322" s="4">
        <v>0.42079226654033952</v>
      </c>
      <c r="M322" s="4">
        <v>0.57920773345966048</v>
      </c>
      <c r="N322">
        <v>1</v>
      </c>
    </row>
    <row r="323" spans="1:14" x14ac:dyDescent="0.35">
      <c r="A323" s="1">
        <v>3976</v>
      </c>
      <c r="B323">
        <v>11</v>
      </c>
      <c r="C323">
        <v>35</v>
      </c>
      <c r="D323">
        <v>2</v>
      </c>
      <c r="E323">
        <v>0</v>
      </c>
      <c r="F323">
        <v>3</v>
      </c>
      <c r="G323">
        <v>3</v>
      </c>
      <c r="H323">
        <v>2</v>
      </c>
      <c r="I323">
        <v>420</v>
      </c>
      <c r="J323">
        <v>1</v>
      </c>
      <c r="K323">
        <v>0</v>
      </c>
      <c r="L323" s="4">
        <v>0.4208534057161214</v>
      </c>
      <c r="M323" s="4">
        <v>0.5791465942838786</v>
      </c>
      <c r="N323">
        <v>1</v>
      </c>
    </row>
    <row r="324" spans="1:14" x14ac:dyDescent="0.35">
      <c r="A324" s="1">
        <v>270</v>
      </c>
      <c r="B324">
        <v>11</v>
      </c>
      <c r="C324">
        <v>30</v>
      </c>
      <c r="D324">
        <v>2</v>
      </c>
      <c r="E324">
        <v>1</v>
      </c>
      <c r="F324">
        <v>1</v>
      </c>
      <c r="G324">
        <v>7</v>
      </c>
      <c r="H324">
        <v>3</v>
      </c>
      <c r="I324">
        <v>0.01</v>
      </c>
      <c r="J324">
        <v>4</v>
      </c>
      <c r="K324">
        <v>1</v>
      </c>
      <c r="L324" s="4">
        <v>0.42098709046700078</v>
      </c>
      <c r="M324" s="4">
        <v>0.57901290953299922</v>
      </c>
      <c r="N324">
        <v>1</v>
      </c>
    </row>
    <row r="325" spans="1:14" x14ac:dyDescent="0.35">
      <c r="A325" s="1">
        <v>2798</v>
      </c>
      <c r="B325">
        <v>11</v>
      </c>
      <c r="C325">
        <v>35</v>
      </c>
      <c r="D325">
        <v>4</v>
      </c>
      <c r="E325">
        <v>0</v>
      </c>
      <c r="F325">
        <v>0</v>
      </c>
      <c r="G325">
        <v>11</v>
      </c>
      <c r="H325">
        <v>2</v>
      </c>
      <c r="I325">
        <v>600</v>
      </c>
      <c r="J325">
        <v>8</v>
      </c>
      <c r="K325">
        <v>1</v>
      </c>
      <c r="L325" s="4">
        <v>0.42133144830762398</v>
      </c>
      <c r="M325" s="4">
        <v>0.57866855169237597</v>
      </c>
      <c r="N325">
        <v>1</v>
      </c>
    </row>
    <row r="326" spans="1:14" x14ac:dyDescent="0.35">
      <c r="A326" s="1">
        <v>2261</v>
      </c>
      <c r="B326">
        <v>17</v>
      </c>
      <c r="C326">
        <v>54</v>
      </c>
      <c r="D326">
        <v>2</v>
      </c>
      <c r="E326">
        <v>1</v>
      </c>
      <c r="F326">
        <v>2</v>
      </c>
      <c r="G326">
        <v>6</v>
      </c>
      <c r="H326">
        <v>3</v>
      </c>
      <c r="I326">
        <v>0.01</v>
      </c>
      <c r="J326">
        <v>4</v>
      </c>
      <c r="K326">
        <v>0</v>
      </c>
      <c r="L326" s="4">
        <v>0.42215874098300232</v>
      </c>
      <c r="M326" s="4">
        <v>0.57784125901699768</v>
      </c>
      <c r="N326">
        <v>1</v>
      </c>
    </row>
    <row r="327" spans="1:14" x14ac:dyDescent="0.35">
      <c r="A327" s="1">
        <v>3017</v>
      </c>
      <c r="B327">
        <v>11</v>
      </c>
      <c r="C327">
        <v>39</v>
      </c>
      <c r="D327">
        <v>0</v>
      </c>
      <c r="E327">
        <v>0</v>
      </c>
      <c r="F327">
        <v>0</v>
      </c>
      <c r="G327">
        <v>4</v>
      </c>
      <c r="H327">
        <v>0</v>
      </c>
      <c r="I327">
        <v>6000</v>
      </c>
      <c r="J327">
        <v>5</v>
      </c>
      <c r="K327">
        <v>1</v>
      </c>
      <c r="L327" s="4">
        <v>0.42235337296310932</v>
      </c>
      <c r="M327" s="4">
        <v>0.57764662703689074</v>
      </c>
      <c r="N327">
        <v>1</v>
      </c>
    </row>
    <row r="328" spans="1:14" x14ac:dyDescent="0.35">
      <c r="A328" s="1">
        <v>3861</v>
      </c>
      <c r="B328">
        <v>11</v>
      </c>
      <c r="C328">
        <v>34</v>
      </c>
      <c r="D328">
        <v>3</v>
      </c>
      <c r="E328">
        <v>0</v>
      </c>
      <c r="F328">
        <v>3</v>
      </c>
      <c r="G328">
        <v>3</v>
      </c>
      <c r="H328">
        <v>3</v>
      </c>
      <c r="I328">
        <v>0.01</v>
      </c>
      <c r="J328">
        <v>4</v>
      </c>
      <c r="K328">
        <v>1</v>
      </c>
      <c r="L328" s="4">
        <v>0.42255116469843401</v>
      </c>
      <c r="M328" s="4">
        <v>0.57744883530156599</v>
      </c>
      <c r="N328">
        <v>1</v>
      </c>
    </row>
    <row r="329" spans="1:14" x14ac:dyDescent="0.35">
      <c r="A329" s="1">
        <v>3089</v>
      </c>
      <c r="B329">
        <v>13</v>
      </c>
      <c r="C329">
        <v>45</v>
      </c>
      <c r="D329">
        <v>3</v>
      </c>
      <c r="E329">
        <v>0</v>
      </c>
      <c r="F329">
        <v>3</v>
      </c>
      <c r="G329">
        <v>3</v>
      </c>
      <c r="H329">
        <v>0</v>
      </c>
      <c r="I329">
        <v>18088.810000000001</v>
      </c>
      <c r="J329">
        <v>11</v>
      </c>
      <c r="K329">
        <v>0</v>
      </c>
      <c r="L329" s="4">
        <v>0.42360129692507748</v>
      </c>
      <c r="M329" s="4">
        <v>0.57639870307492247</v>
      </c>
      <c r="N329">
        <v>1</v>
      </c>
    </row>
    <row r="330" spans="1:14" x14ac:dyDescent="0.35">
      <c r="A330" s="1">
        <v>1113</v>
      </c>
      <c r="B330">
        <v>14</v>
      </c>
      <c r="C330">
        <v>43</v>
      </c>
      <c r="D330">
        <v>1</v>
      </c>
      <c r="E330">
        <v>1</v>
      </c>
      <c r="F330">
        <v>0</v>
      </c>
      <c r="G330">
        <v>11</v>
      </c>
      <c r="H330">
        <v>3</v>
      </c>
      <c r="I330">
        <v>0.01</v>
      </c>
      <c r="J330">
        <v>8</v>
      </c>
      <c r="K330">
        <v>1</v>
      </c>
      <c r="L330" s="4">
        <v>0.42420769716771167</v>
      </c>
      <c r="M330" s="4">
        <v>0.57579230283228833</v>
      </c>
      <c r="N330">
        <v>1</v>
      </c>
    </row>
    <row r="331" spans="1:14" x14ac:dyDescent="0.35">
      <c r="A331" s="1">
        <v>2009</v>
      </c>
      <c r="B331">
        <v>11</v>
      </c>
      <c r="C331">
        <v>34</v>
      </c>
      <c r="D331">
        <v>4</v>
      </c>
      <c r="E331">
        <v>0</v>
      </c>
      <c r="F331">
        <v>2</v>
      </c>
      <c r="G331">
        <v>6</v>
      </c>
      <c r="H331">
        <v>3</v>
      </c>
      <c r="I331">
        <v>0.01</v>
      </c>
      <c r="J331">
        <v>8</v>
      </c>
      <c r="K331">
        <v>1</v>
      </c>
      <c r="L331" s="4">
        <v>0.42479900309085178</v>
      </c>
      <c r="M331" s="4">
        <v>0.57520099690914817</v>
      </c>
      <c r="N331">
        <v>1</v>
      </c>
    </row>
    <row r="332" spans="1:14" x14ac:dyDescent="0.35">
      <c r="A332" s="1">
        <v>2467</v>
      </c>
      <c r="B332">
        <v>11</v>
      </c>
      <c r="C332">
        <v>31</v>
      </c>
      <c r="D332">
        <v>1</v>
      </c>
      <c r="E332">
        <v>1</v>
      </c>
      <c r="F332">
        <v>3</v>
      </c>
      <c r="G332">
        <v>3</v>
      </c>
      <c r="H332">
        <v>2</v>
      </c>
      <c r="I332">
        <v>200</v>
      </c>
      <c r="J332">
        <v>8</v>
      </c>
      <c r="K332">
        <v>0</v>
      </c>
      <c r="L332" s="4">
        <v>0.42569592126523159</v>
      </c>
      <c r="M332" s="4">
        <v>0.57430407873476841</v>
      </c>
      <c r="N332">
        <v>1</v>
      </c>
    </row>
    <row r="333" spans="1:14" x14ac:dyDescent="0.35">
      <c r="A333" s="1">
        <v>3165</v>
      </c>
      <c r="B333">
        <v>10</v>
      </c>
      <c r="C333">
        <v>32</v>
      </c>
      <c r="D333">
        <v>2</v>
      </c>
      <c r="E333">
        <v>0</v>
      </c>
      <c r="F333">
        <v>1</v>
      </c>
      <c r="G333">
        <v>7</v>
      </c>
      <c r="H333">
        <v>2</v>
      </c>
      <c r="I333">
        <v>3000</v>
      </c>
      <c r="J333">
        <v>1</v>
      </c>
      <c r="K333">
        <v>1</v>
      </c>
      <c r="L333" s="4">
        <v>0.42674981294967029</v>
      </c>
      <c r="M333" s="4">
        <v>0.57325018705032971</v>
      </c>
      <c r="N333">
        <v>1</v>
      </c>
    </row>
    <row r="334" spans="1:14" x14ac:dyDescent="0.35">
      <c r="A334" s="1">
        <v>4364</v>
      </c>
      <c r="B334">
        <v>11</v>
      </c>
      <c r="C334">
        <v>38</v>
      </c>
      <c r="D334">
        <v>2</v>
      </c>
      <c r="E334">
        <v>0</v>
      </c>
      <c r="F334">
        <v>0</v>
      </c>
      <c r="G334">
        <v>11</v>
      </c>
      <c r="H334">
        <v>0</v>
      </c>
      <c r="I334">
        <v>9878</v>
      </c>
      <c r="J334">
        <v>8</v>
      </c>
      <c r="K334">
        <v>1</v>
      </c>
      <c r="L334" s="4">
        <v>0.42742472245537888</v>
      </c>
      <c r="M334" s="4">
        <v>0.57257527754462112</v>
      </c>
      <c r="N334">
        <v>1</v>
      </c>
    </row>
    <row r="335" spans="1:14" x14ac:dyDescent="0.35">
      <c r="A335" s="1">
        <v>2023</v>
      </c>
      <c r="B335">
        <v>11</v>
      </c>
      <c r="C335">
        <v>35</v>
      </c>
      <c r="D335">
        <v>3</v>
      </c>
      <c r="E335">
        <v>0</v>
      </c>
      <c r="F335">
        <v>3</v>
      </c>
      <c r="G335">
        <v>3</v>
      </c>
      <c r="H335">
        <v>2</v>
      </c>
      <c r="I335">
        <v>35</v>
      </c>
      <c r="J335">
        <v>1</v>
      </c>
      <c r="K335">
        <v>1</v>
      </c>
      <c r="L335" s="4">
        <v>0.42742907076676823</v>
      </c>
      <c r="M335" s="4">
        <v>0.57257092923323183</v>
      </c>
      <c r="N335">
        <v>1</v>
      </c>
    </row>
    <row r="336" spans="1:14" x14ac:dyDescent="0.35">
      <c r="A336" s="1">
        <v>3488</v>
      </c>
      <c r="B336">
        <v>15</v>
      </c>
      <c r="C336">
        <v>51</v>
      </c>
      <c r="D336">
        <v>2</v>
      </c>
      <c r="E336">
        <v>0</v>
      </c>
      <c r="F336">
        <v>3</v>
      </c>
      <c r="G336">
        <v>3</v>
      </c>
      <c r="H336">
        <v>3</v>
      </c>
      <c r="I336">
        <v>0.01</v>
      </c>
      <c r="J336">
        <v>5</v>
      </c>
      <c r="K336">
        <v>0</v>
      </c>
      <c r="L336" s="4">
        <v>0.42756076077197419</v>
      </c>
      <c r="M336" s="4">
        <v>0.57243923922802575</v>
      </c>
      <c r="N336">
        <v>1</v>
      </c>
    </row>
    <row r="337" spans="1:14" x14ac:dyDescent="0.35">
      <c r="A337" s="1">
        <v>1647</v>
      </c>
      <c r="B337">
        <v>14</v>
      </c>
      <c r="C337">
        <v>48</v>
      </c>
      <c r="D337">
        <v>3</v>
      </c>
      <c r="E337">
        <v>0</v>
      </c>
      <c r="F337">
        <v>0</v>
      </c>
      <c r="G337">
        <v>4</v>
      </c>
      <c r="H337">
        <v>3</v>
      </c>
      <c r="I337">
        <v>0.01</v>
      </c>
      <c r="J337">
        <v>9</v>
      </c>
      <c r="K337">
        <v>0</v>
      </c>
      <c r="L337" s="4">
        <v>0.42868036045929092</v>
      </c>
      <c r="M337" s="4">
        <v>0.57131963954070908</v>
      </c>
      <c r="N337">
        <v>1</v>
      </c>
    </row>
    <row r="338" spans="1:14" x14ac:dyDescent="0.35">
      <c r="A338" s="1">
        <v>142</v>
      </c>
      <c r="B338">
        <v>12</v>
      </c>
      <c r="C338">
        <v>39</v>
      </c>
      <c r="D338">
        <v>2</v>
      </c>
      <c r="E338">
        <v>0</v>
      </c>
      <c r="F338">
        <v>3</v>
      </c>
      <c r="G338">
        <v>3</v>
      </c>
      <c r="H338">
        <v>3</v>
      </c>
      <c r="I338">
        <v>0.01</v>
      </c>
      <c r="J338">
        <v>8</v>
      </c>
      <c r="K338">
        <v>1</v>
      </c>
      <c r="L338" s="4">
        <v>0.42883640882695429</v>
      </c>
      <c r="M338" s="4">
        <v>0.57116359117304571</v>
      </c>
      <c r="N338">
        <v>1</v>
      </c>
    </row>
    <row r="339" spans="1:14" x14ac:dyDescent="0.35">
      <c r="A339" s="1">
        <v>2862</v>
      </c>
      <c r="B339">
        <v>11</v>
      </c>
      <c r="C339">
        <v>36</v>
      </c>
      <c r="D339">
        <v>1</v>
      </c>
      <c r="E339">
        <v>0</v>
      </c>
      <c r="F339">
        <v>3</v>
      </c>
      <c r="G339">
        <v>3</v>
      </c>
      <c r="H339">
        <v>2</v>
      </c>
      <c r="I339">
        <v>1050</v>
      </c>
      <c r="J339">
        <v>1</v>
      </c>
      <c r="K339">
        <v>1</v>
      </c>
      <c r="L339" s="4">
        <v>0.42888175604803502</v>
      </c>
      <c r="M339" s="4">
        <v>0.57111824395196498</v>
      </c>
      <c r="N339">
        <v>1</v>
      </c>
    </row>
    <row r="340" spans="1:14" x14ac:dyDescent="0.35">
      <c r="A340" s="1">
        <v>3073</v>
      </c>
      <c r="B340">
        <v>12</v>
      </c>
      <c r="C340">
        <v>37</v>
      </c>
      <c r="D340">
        <v>0</v>
      </c>
      <c r="E340">
        <v>1</v>
      </c>
      <c r="F340">
        <v>0</v>
      </c>
      <c r="G340">
        <v>4</v>
      </c>
      <c r="H340">
        <v>2</v>
      </c>
      <c r="I340">
        <v>1750</v>
      </c>
      <c r="J340">
        <v>2</v>
      </c>
      <c r="K340">
        <v>1</v>
      </c>
      <c r="L340" s="4">
        <v>0.42972274006008299</v>
      </c>
      <c r="M340" s="4">
        <v>0.57027725993991696</v>
      </c>
      <c r="N340">
        <v>1</v>
      </c>
    </row>
    <row r="341" spans="1:14" x14ac:dyDescent="0.35">
      <c r="A341" s="1">
        <v>1964</v>
      </c>
      <c r="B341">
        <v>11</v>
      </c>
      <c r="C341">
        <v>36</v>
      </c>
      <c r="D341">
        <v>5</v>
      </c>
      <c r="E341">
        <v>0</v>
      </c>
      <c r="F341">
        <v>3</v>
      </c>
      <c r="G341">
        <v>3</v>
      </c>
      <c r="H341">
        <v>0</v>
      </c>
      <c r="I341">
        <v>6000</v>
      </c>
      <c r="J341">
        <v>5</v>
      </c>
      <c r="K341">
        <v>1</v>
      </c>
      <c r="L341" s="4">
        <v>0.42987926764801832</v>
      </c>
      <c r="M341" s="4">
        <v>0.57012073235198168</v>
      </c>
      <c r="N341">
        <v>1</v>
      </c>
    </row>
    <row r="342" spans="1:14" x14ac:dyDescent="0.35">
      <c r="A342" s="1">
        <v>1229</v>
      </c>
      <c r="B342">
        <v>11</v>
      </c>
      <c r="C342">
        <v>31</v>
      </c>
      <c r="D342">
        <v>2</v>
      </c>
      <c r="E342">
        <v>1</v>
      </c>
      <c r="F342">
        <v>1</v>
      </c>
      <c r="G342">
        <v>12</v>
      </c>
      <c r="H342">
        <v>2</v>
      </c>
      <c r="I342">
        <v>0.02</v>
      </c>
      <c r="J342">
        <v>7</v>
      </c>
      <c r="K342">
        <v>1</v>
      </c>
      <c r="L342" s="4">
        <v>0.43070672977242169</v>
      </c>
      <c r="M342" s="4">
        <v>0.56929327022757825</v>
      </c>
      <c r="N342">
        <v>1</v>
      </c>
    </row>
    <row r="343" spans="1:14" x14ac:dyDescent="0.35">
      <c r="A343" s="1">
        <v>432</v>
      </c>
      <c r="B343">
        <v>14</v>
      </c>
      <c r="C343">
        <v>51</v>
      </c>
      <c r="D343">
        <v>2</v>
      </c>
      <c r="E343">
        <v>0</v>
      </c>
      <c r="F343">
        <v>0</v>
      </c>
      <c r="G343">
        <v>4</v>
      </c>
      <c r="H343">
        <v>0</v>
      </c>
      <c r="I343">
        <v>6000</v>
      </c>
      <c r="J343">
        <v>11</v>
      </c>
      <c r="K343">
        <v>1</v>
      </c>
      <c r="L343" s="4">
        <v>0.43111814495847289</v>
      </c>
      <c r="M343" s="4">
        <v>0.56888185504152711</v>
      </c>
      <c r="N343">
        <v>1</v>
      </c>
    </row>
    <row r="344" spans="1:14" x14ac:dyDescent="0.35">
      <c r="A344" s="1">
        <v>3944</v>
      </c>
      <c r="B344">
        <v>10</v>
      </c>
      <c r="C344">
        <v>31</v>
      </c>
      <c r="D344">
        <v>4</v>
      </c>
      <c r="E344">
        <v>0</v>
      </c>
      <c r="F344">
        <v>3</v>
      </c>
      <c r="G344">
        <v>3</v>
      </c>
      <c r="H344">
        <v>2</v>
      </c>
      <c r="I344">
        <v>2000</v>
      </c>
      <c r="J344">
        <v>8</v>
      </c>
      <c r="K344">
        <v>0</v>
      </c>
      <c r="L344" s="4">
        <v>0.43163449147340183</v>
      </c>
      <c r="M344" s="4">
        <v>0.56836550852659817</v>
      </c>
      <c r="N344">
        <v>1</v>
      </c>
    </row>
    <row r="345" spans="1:14" x14ac:dyDescent="0.35">
      <c r="A345" s="1">
        <v>555</v>
      </c>
      <c r="B345">
        <v>10</v>
      </c>
      <c r="C345">
        <v>32</v>
      </c>
      <c r="D345">
        <v>2</v>
      </c>
      <c r="E345">
        <v>0</v>
      </c>
      <c r="F345">
        <v>3</v>
      </c>
      <c r="G345">
        <v>3</v>
      </c>
      <c r="H345">
        <v>2</v>
      </c>
      <c r="I345">
        <v>3000</v>
      </c>
      <c r="J345">
        <v>9</v>
      </c>
      <c r="K345">
        <v>1</v>
      </c>
      <c r="L345" s="4">
        <v>0.43278110660049918</v>
      </c>
      <c r="M345" s="4">
        <v>0.56721889339950082</v>
      </c>
      <c r="N345">
        <v>1</v>
      </c>
    </row>
    <row r="346" spans="1:14" x14ac:dyDescent="0.35">
      <c r="A346" s="1">
        <v>1820</v>
      </c>
      <c r="B346">
        <v>13</v>
      </c>
      <c r="C346">
        <v>45</v>
      </c>
      <c r="D346">
        <v>3</v>
      </c>
      <c r="E346">
        <v>0</v>
      </c>
      <c r="F346">
        <v>0</v>
      </c>
      <c r="G346">
        <v>4</v>
      </c>
      <c r="H346">
        <v>2</v>
      </c>
      <c r="I346">
        <v>2200</v>
      </c>
      <c r="J346">
        <v>4</v>
      </c>
      <c r="K346">
        <v>1</v>
      </c>
      <c r="L346" s="4">
        <v>0.43409256615105279</v>
      </c>
      <c r="M346" s="4">
        <v>0.56590743384894715</v>
      </c>
      <c r="N346">
        <v>1</v>
      </c>
    </row>
    <row r="347" spans="1:14" x14ac:dyDescent="0.35">
      <c r="A347" s="1">
        <v>1273</v>
      </c>
      <c r="B347">
        <v>15</v>
      </c>
      <c r="C347">
        <v>51</v>
      </c>
      <c r="D347">
        <v>2</v>
      </c>
      <c r="E347">
        <v>0</v>
      </c>
      <c r="F347">
        <v>3</v>
      </c>
      <c r="G347">
        <v>8</v>
      </c>
      <c r="H347">
        <v>3</v>
      </c>
      <c r="I347">
        <v>0.01</v>
      </c>
      <c r="J347">
        <v>5</v>
      </c>
      <c r="K347">
        <v>1</v>
      </c>
      <c r="L347" s="4">
        <v>0.43429150981886339</v>
      </c>
      <c r="M347" s="4">
        <v>0.56570849018113656</v>
      </c>
      <c r="N347">
        <v>1</v>
      </c>
    </row>
    <row r="348" spans="1:14" x14ac:dyDescent="0.35">
      <c r="A348" s="1">
        <v>2011</v>
      </c>
      <c r="B348">
        <v>11</v>
      </c>
      <c r="C348">
        <v>33</v>
      </c>
      <c r="D348">
        <v>1</v>
      </c>
      <c r="E348">
        <v>1</v>
      </c>
      <c r="F348">
        <v>3</v>
      </c>
      <c r="G348">
        <v>8</v>
      </c>
      <c r="H348">
        <v>0</v>
      </c>
      <c r="I348">
        <v>18000</v>
      </c>
      <c r="J348">
        <v>3</v>
      </c>
      <c r="K348">
        <v>0</v>
      </c>
      <c r="L348" s="4">
        <v>0.4348925763910253</v>
      </c>
      <c r="M348" s="4">
        <v>0.5651074236089747</v>
      </c>
      <c r="N348">
        <v>1</v>
      </c>
    </row>
    <row r="349" spans="1:14" x14ac:dyDescent="0.35">
      <c r="A349" s="1">
        <v>2940</v>
      </c>
      <c r="B349">
        <v>11</v>
      </c>
      <c r="C349">
        <v>35</v>
      </c>
      <c r="D349">
        <v>3</v>
      </c>
      <c r="E349">
        <v>0</v>
      </c>
      <c r="F349">
        <v>3</v>
      </c>
      <c r="G349">
        <v>3</v>
      </c>
      <c r="H349">
        <v>3</v>
      </c>
      <c r="I349">
        <v>0.01</v>
      </c>
      <c r="J349">
        <v>8</v>
      </c>
      <c r="K349">
        <v>0</v>
      </c>
      <c r="L349" s="4">
        <v>0.43603345915299863</v>
      </c>
      <c r="M349" s="4">
        <v>0.56396654084700137</v>
      </c>
      <c r="N349">
        <v>1</v>
      </c>
    </row>
    <row r="350" spans="1:14" x14ac:dyDescent="0.35">
      <c r="A350" s="1">
        <v>2238</v>
      </c>
      <c r="B350">
        <v>8</v>
      </c>
      <c r="C350">
        <v>24</v>
      </c>
      <c r="D350">
        <v>5</v>
      </c>
      <c r="E350">
        <v>0</v>
      </c>
      <c r="F350">
        <v>0</v>
      </c>
      <c r="G350">
        <v>4</v>
      </c>
      <c r="H350">
        <v>2</v>
      </c>
      <c r="I350">
        <v>0.02</v>
      </c>
      <c r="J350">
        <v>5</v>
      </c>
      <c r="K350">
        <v>1</v>
      </c>
      <c r="L350" s="4">
        <v>0.4365014541854737</v>
      </c>
      <c r="M350" s="4">
        <v>0.5634985458145263</v>
      </c>
      <c r="N350">
        <v>1</v>
      </c>
    </row>
    <row r="351" spans="1:14" x14ac:dyDescent="0.35">
      <c r="A351" s="1">
        <v>1397</v>
      </c>
      <c r="B351">
        <v>12</v>
      </c>
      <c r="C351">
        <v>39</v>
      </c>
      <c r="D351">
        <v>5</v>
      </c>
      <c r="E351">
        <v>0</v>
      </c>
      <c r="F351">
        <v>3</v>
      </c>
      <c r="G351">
        <v>3</v>
      </c>
      <c r="H351">
        <v>2</v>
      </c>
      <c r="I351">
        <v>1000.01</v>
      </c>
      <c r="J351">
        <v>8</v>
      </c>
      <c r="K351">
        <v>1</v>
      </c>
      <c r="L351" s="4">
        <v>0.4370076480641264</v>
      </c>
      <c r="M351" s="4">
        <v>0.5629923519358736</v>
      </c>
      <c r="N351">
        <v>1</v>
      </c>
    </row>
    <row r="352" spans="1:14" x14ac:dyDescent="0.35">
      <c r="A352" s="1">
        <v>1752</v>
      </c>
      <c r="B352">
        <v>12</v>
      </c>
      <c r="C352">
        <v>40</v>
      </c>
      <c r="D352">
        <v>1</v>
      </c>
      <c r="E352">
        <v>0</v>
      </c>
      <c r="F352">
        <v>3</v>
      </c>
      <c r="G352">
        <v>3</v>
      </c>
      <c r="H352">
        <v>3</v>
      </c>
      <c r="I352">
        <v>0.01</v>
      </c>
      <c r="J352">
        <v>8</v>
      </c>
      <c r="K352">
        <v>1</v>
      </c>
      <c r="L352" s="4">
        <v>0.43715190761589739</v>
      </c>
      <c r="M352" s="4">
        <v>0.56284809238410261</v>
      </c>
      <c r="N352">
        <v>1</v>
      </c>
    </row>
    <row r="353" spans="1:14" x14ac:dyDescent="0.35">
      <c r="A353" s="1">
        <v>3481</v>
      </c>
      <c r="B353">
        <v>14</v>
      </c>
      <c r="C353">
        <v>47</v>
      </c>
      <c r="D353">
        <v>1</v>
      </c>
      <c r="E353">
        <v>0</v>
      </c>
      <c r="F353">
        <v>4</v>
      </c>
      <c r="G353">
        <v>9</v>
      </c>
      <c r="H353">
        <v>3</v>
      </c>
      <c r="I353">
        <v>0.01</v>
      </c>
      <c r="J353">
        <v>4</v>
      </c>
      <c r="K353">
        <v>1</v>
      </c>
      <c r="L353" s="4">
        <v>0.4372219324417187</v>
      </c>
      <c r="M353" s="4">
        <v>0.5627780675582813</v>
      </c>
      <c r="N353">
        <v>1</v>
      </c>
    </row>
    <row r="354" spans="1:14" x14ac:dyDescent="0.35">
      <c r="A354" s="1">
        <v>1787</v>
      </c>
      <c r="B354">
        <v>12</v>
      </c>
      <c r="C354">
        <v>35</v>
      </c>
      <c r="D354">
        <v>3</v>
      </c>
      <c r="E354">
        <v>1</v>
      </c>
      <c r="F354">
        <v>3</v>
      </c>
      <c r="G354">
        <v>3</v>
      </c>
      <c r="H354">
        <v>2</v>
      </c>
      <c r="I354">
        <v>5000</v>
      </c>
      <c r="J354">
        <v>4</v>
      </c>
      <c r="K354">
        <v>1</v>
      </c>
      <c r="L354" s="4">
        <v>0.43722198062516798</v>
      </c>
      <c r="M354" s="4">
        <v>0.56277801937483196</v>
      </c>
      <c r="N354">
        <v>1</v>
      </c>
    </row>
    <row r="355" spans="1:14" x14ac:dyDescent="0.35">
      <c r="A355" s="1">
        <v>3057</v>
      </c>
      <c r="B355">
        <v>13</v>
      </c>
      <c r="C355">
        <v>40</v>
      </c>
      <c r="D355">
        <v>2</v>
      </c>
      <c r="E355">
        <v>1</v>
      </c>
      <c r="F355">
        <v>0</v>
      </c>
      <c r="G355">
        <v>4</v>
      </c>
      <c r="H355">
        <v>3</v>
      </c>
      <c r="I355">
        <v>0.01</v>
      </c>
      <c r="J355">
        <v>4</v>
      </c>
      <c r="K355">
        <v>1</v>
      </c>
      <c r="L355" s="4">
        <v>0.43799285944048533</v>
      </c>
      <c r="M355" s="4">
        <v>0.56200714055951473</v>
      </c>
      <c r="N355">
        <v>1</v>
      </c>
    </row>
    <row r="356" spans="1:14" x14ac:dyDescent="0.35">
      <c r="A356" s="1">
        <v>326</v>
      </c>
      <c r="B356">
        <v>12</v>
      </c>
      <c r="C356">
        <v>41</v>
      </c>
      <c r="D356">
        <v>2</v>
      </c>
      <c r="E356">
        <v>0</v>
      </c>
      <c r="F356">
        <v>0</v>
      </c>
      <c r="G356">
        <v>4</v>
      </c>
      <c r="H356">
        <v>3</v>
      </c>
      <c r="I356">
        <v>0.01</v>
      </c>
      <c r="J356">
        <v>9</v>
      </c>
      <c r="K356">
        <v>1</v>
      </c>
      <c r="L356" s="4">
        <v>0.43848258943537688</v>
      </c>
      <c r="M356" s="4">
        <v>0.56151741056462312</v>
      </c>
      <c r="N356">
        <v>1</v>
      </c>
    </row>
    <row r="357" spans="1:14" x14ac:dyDescent="0.35">
      <c r="A357" s="1">
        <v>2754</v>
      </c>
      <c r="B357">
        <v>11</v>
      </c>
      <c r="C357">
        <v>36</v>
      </c>
      <c r="D357">
        <v>3</v>
      </c>
      <c r="E357">
        <v>0</v>
      </c>
      <c r="F357">
        <v>3</v>
      </c>
      <c r="G357">
        <v>3</v>
      </c>
      <c r="H357">
        <v>2</v>
      </c>
      <c r="I357">
        <v>2000</v>
      </c>
      <c r="J357">
        <v>10</v>
      </c>
      <c r="K357">
        <v>1</v>
      </c>
      <c r="L357" s="4">
        <v>0.43858511063132288</v>
      </c>
      <c r="M357" s="4">
        <v>0.56141488936867712</v>
      </c>
      <c r="N357">
        <v>1</v>
      </c>
    </row>
    <row r="358" spans="1:14" x14ac:dyDescent="0.35">
      <c r="A358" s="1">
        <v>2076</v>
      </c>
      <c r="B358">
        <v>15</v>
      </c>
      <c r="C358">
        <v>53</v>
      </c>
      <c r="D358">
        <v>1</v>
      </c>
      <c r="E358">
        <v>0</v>
      </c>
      <c r="F358">
        <v>3</v>
      </c>
      <c r="G358">
        <v>3</v>
      </c>
      <c r="H358">
        <v>2</v>
      </c>
      <c r="I358">
        <v>1000</v>
      </c>
      <c r="J358">
        <v>5</v>
      </c>
      <c r="K358">
        <v>1</v>
      </c>
      <c r="L358" s="4">
        <v>0.43945158858690592</v>
      </c>
      <c r="M358" s="4">
        <v>0.56054841141309408</v>
      </c>
      <c r="N358">
        <v>1</v>
      </c>
    </row>
    <row r="359" spans="1:14" x14ac:dyDescent="0.35">
      <c r="A359" s="1">
        <v>2456</v>
      </c>
      <c r="B359">
        <v>14</v>
      </c>
      <c r="C359">
        <v>49</v>
      </c>
      <c r="D359">
        <v>4</v>
      </c>
      <c r="E359">
        <v>0</v>
      </c>
      <c r="F359">
        <v>0</v>
      </c>
      <c r="G359">
        <v>4</v>
      </c>
      <c r="H359">
        <v>2</v>
      </c>
      <c r="I359">
        <v>420</v>
      </c>
      <c r="J359">
        <v>4</v>
      </c>
      <c r="K359">
        <v>1</v>
      </c>
      <c r="L359" s="4">
        <v>0.44052688973062792</v>
      </c>
      <c r="M359" s="4">
        <v>0.55947311026937208</v>
      </c>
      <c r="N359">
        <v>1</v>
      </c>
    </row>
    <row r="360" spans="1:14" x14ac:dyDescent="0.35">
      <c r="A360" s="1">
        <v>3486</v>
      </c>
      <c r="B360">
        <v>12</v>
      </c>
      <c r="C360">
        <v>40</v>
      </c>
      <c r="D360">
        <v>2</v>
      </c>
      <c r="E360">
        <v>0</v>
      </c>
      <c r="F360">
        <v>3</v>
      </c>
      <c r="G360">
        <v>3</v>
      </c>
      <c r="H360">
        <v>3</v>
      </c>
      <c r="I360">
        <v>0.01</v>
      </c>
      <c r="J360">
        <v>9</v>
      </c>
      <c r="K360">
        <v>1</v>
      </c>
      <c r="L360" s="4">
        <v>0.443316815990485</v>
      </c>
      <c r="M360" s="4">
        <v>0.556683184009515</v>
      </c>
      <c r="N360">
        <v>1</v>
      </c>
    </row>
    <row r="361" spans="1:14" x14ac:dyDescent="0.35">
      <c r="A361" s="1">
        <v>243</v>
      </c>
      <c r="B361">
        <v>16</v>
      </c>
      <c r="C361">
        <v>55</v>
      </c>
      <c r="D361">
        <v>5</v>
      </c>
      <c r="E361">
        <v>0</v>
      </c>
      <c r="F361">
        <v>1</v>
      </c>
      <c r="G361">
        <v>12</v>
      </c>
      <c r="H361">
        <v>3</v>
      </c>
      <c r="I361">
        <v>0.01</v>
      </c>
      <c r="J361">
        <v>8</v>
      </c>
      <c r="K361">
        <v>1</v>
      </c>
      <c r="L361" s="4">
        <v>0.44343715052268318</v>
      </c>
      <c r="M361" s="4">
        <v>0.55656284947731682</v>
      </c>
      <c r="N361">
        <v>1</v>
      </c>
    </row>
    <row r="362" spans="1:14" x14ac:dyDescent="0.35">
      <c r="A362" s="1">
        <v>796</v>
      </c>
      <c r="B362">
        <v>12</v>
      </c>
      <c r="C362">
        <v>41</v>
      </c>
      <c r="D362">
        <v>5</v>
      </c>
      <c r="E362">
        <v>0</v>
      </c>
      <c r="F362">
        <v>3</v>
      </c>
      <c r="G362">
        <v>3</v>
      </c>
      <c r="H362">
        <v>0</v>
      </c>
      <c r="I362">
        <v>7200</v>
      </c>
      <c r="J362">
        <v>5</v>
      </c>
      <c r="K362">
        <v>1</v>
      </c>
      <c r="L362" s="4">
        <v>0.44346149489958397</v>
      </c>
      <c r="M362" s="4">
        <v>0.55653850510041603</v>
      </c>
      <c r="N362">
        <v>1</v>
      </c>
    </row>
    <row r="363" spans="1:14" x14ac:dyDescent="0.35">
      <c r="A363" s="1">
        <v>2125</v>
      </c>
      <c r="B363">
        <v>13</v>
      </c>
      <c r="C363">
        <v>45</v>
      </c>
      <c r="D363">
        <v>3</v>
      </c>
      <c r="E363">
        <v>0</v>
      </c>
      <c r="F363">
        <v>0</v>
      </c>
      <c r="G363">
        <v>11</v>
      </c>
      <c r="H363">
        <v>2</v>
      </c>
      <c r="I363">
        <v>2412.4499999999998</v>
      </c>
      <c r="J363">
        <v>4</v>
      </c>
      <c r="K363">
        <v>0</v>
      </c>
      <c r="L363" s="4">
        <v>0.44347050996321868</v>
      </c>
      <c r="M363" s="4">
        <v>0.55652949003678132</v>
      </c>
      <c r="N363">
        <v>1</v>
      </c>
    </row>
    <row r="364" spans="1:14" x14ac:dyDescent="0.35">
      <c r="A364" s="1">
        <v>2118</v>
      </c>
      <c r="B364">
        <v>8</v>
      </c>
      <c r="C364">
        <v>25</v>
      </c>
      <c r="D364">
        <v>1</v>
      </c>
      <c r="E364">
        <v>0</v>
      </c>
      <c r="F364">
        <v>3</v>
      </c>
      <c r="G364">
        <v>3</v>
      </c>
      <c r="H364">
        <v>2</v>
      </c>
      <c r="I364">
        <v>4000</v>
      </c>
      <c r="J364">
        <v>5</v>
      </c>
      <c r="K364">
        <v>1</v>
      </c>
      <c r="L364" s="4">
        <v>0.44347526074226967</v>
      </c>
      <c r="M364" s="4">
        <v>0.55652473925773027</v>
      </c>
      <c r="N364">
        <v>1</v>
      </c>
    </row>
    <row r="365" spans="1:14" x14ac:dyDescent="0.35">
      <c r="A365" s="1">
        <v>3278</v>
      </c>
      <c r="B365">
        <v>16</v>
      </c>
      <c r="C365">
        <v>57</v>
      </c>
      <c r="D365">
        <v>1</v>
      </c>
      <c r="E365">
        <v>0</v>
      </c>
      <c r="F365">
        <v>3</v>
      </c>
      <c r="G365">
        <v>8</v>
      </c>
      <c r="H365">
        <v>2</v>
      </c>
      <c r="I365">
        <v>5000</v>
      </c>
      <c r="J365">
        <v>5</v>
      </c>
      <c r="K365">
        <v>1</v>
      </c>
      <c r="L365" s="4">
        <v>0.44388551755362621</v>
      </c>
      <c r="M365" s="4">
        <v>0.55611448244637385</v>
      </c>
      <c r="N365">
        <v>1</v>
      </c>
    </row>
    <row r="366" spans="1:14" x14ac:dyDescent="0.35">
      <c r="A366" s="1">
        <v>1837</v>
      </c>
      <c r="B366">
        <v>9</v>
      </c>
      <c r="C366">
        <v>30</v>
      </c>
      <c r="D366">
        <v>2</v>
      </c>
      <c r="E366">
        <v>0</v>
      </c>
      <c r="F366">
        <v>0</v>
      </c>
      <c r="G366">
        <v>4</v>
      </c>
      <c r="H366">
        <v>2</v>
      </c>
      <c r="I366">
        <v>480.01</v>
      </c>
      <c r="J366">
        <v>8</v>
      </c>
      <c r="K366">
        <v>1</v>
      </c>
      <c r="L366" s="4">
        <v>0.44482966102224952</v>
      </c>
      <c r="M366" s="4">
        <v>0.55517033897775048</v>
      </c>
      <c r="N366">
        <v>1</v>
      </c>
    </row>
    <row r="367" spans="1:14" x14ac:dyDescent="0.35">
      <c r="A367" s="1">
        <v>4161</v>
      </c>
      <c r="B367">
        <v>15</v>
      </c>
      <c r="C367">
        <v>47</v>
      </c>
      <c r="D367">
        <v>4</v>
      </c>
      <c r="E367">
        <v>1</v>
      </c>
      <c r="F367">
        <v>1</v>
      </c>
      <c r="G367">
        <v>7</v>
      </c>
      <c r="H367">
        <v>3</v>
      </c>
      <c r="I367">
        <v>0.01</v>
      </c>
      <c r="J367">
        <v>6</v>
      </c>
      <c r="K367">
        <v>0</v>
      </c>
      <c r="L367" s="4">
        <v>0.4450722891612191</v>
      </c>
      <c r="M367" s="4">
        <v>0.5549277108387809</v>
      </c>
      <c r="N367">
        <v>1</v>
      </c>
    </row>
    <row r="368" spans="1:14" x14ac:dyDescent="0.35">
      <c r="A368" s="1">
        <v>1123</v>
      </c>
      <c r="B368">
        <v>10</v>
      </c>
      <c r="C368">
        <v>32</v>
      </c>
      <c r="D368">
        <v>5</v>
      </c>
      <c r="E368">
        <v>0</v>
      </c>
      <c r="F368">
        <v>1</v>
      </c>
      <c r="G368">
        <v>7</v>
      </c>
      <c r="H368">
        <v>2</v>
      </c>
      <c r="I368">
        <v>25.79</v>
      </c>
      <c r="J368">
        <v>8</v>
      </c>
      <c r="K368">
        <v>1</v>
      </c>
      <c r="L368" s="4">
        <v>0.4451169880120982</v>
      </c>
      <c r="M368" s="4">
        <v>0.5548830119879018</v>
      </c>
      <c r="N368">
        <v>1</v>
      </c>
    </row>
    <row r="369" spans="1:14" x14ac:dyDescent="0.35">
      <c r="A369" s="1">
        <v>83</v>
      </c>
      <c r="B369">
        <v>16</v>
      </c>
      <c r="C369">
        <v>54</v>
      </c>
      <c r="D369">
        <v>1</v>
      </c>
      <c r="E369">
        <v>1</v>
      </c>
      <c r="F369">
        <v>0</v>
      </c>
      <c r="G369">
        <v>2</v>
      </c>
      <c r="H369">
        <v>2</v>
      </c>
      <c r="I369">
        <v>60</v>
      </c>
      <c r="J369">
        <v>2</v>
      </c>
      <c r="K369">
        <v>0</v>
      </c>
      <c r="L369" s="4">
        <v>0.44599913266288249</v>
      </c>
      <c r="M369" s="4">
        <v>0.55400086733711751</v>
      </c>
      <c r="N369">
        <v>1</v>
      </c>
    </row>
    <row r="370" spans="1:14" x14ac:dyDescent="0.35">
      <c r="A370" s="1">
        <v>130</v>
      </c>
      <c r="B370">
        <v>11</v>
      </c>
      <c r="C370">
        <v>38</v>
      </c>
      <c r="D370">
        <v>1</v>
      </c>
      <c r="E370">
        <v>0</v>
      </c>
      <c r="F370">
        <v>0</v>
      </c>
      <c r="G370">
        <v>2</v>
      </c>
      <c r="H370">
        <v>3</v>
      </c>
      <c r="I370">
        <v>0.01</v>
      </c>
      <c r="J370">
        <v>5</v>
      </c>
      <c r="K370">
        <v>0</v>
      </c>
      <c r="L370" s="4">
        <v>0.4461426365738661</v>
      </c>
      <c r="M370" s="4">
        <v>0.5538573634261339</v>
      </c>
      <c r="N370">
        <v>1</v>
      </c>
    </row>
    <row r="371" spans="1:14" x14ac:dyDescent="0.35">
      <c r="A371" s="1">
        <v>1520</v>
      </c>
      <c r="B371">
        <v>10</v>
      </c>
      <c r="C371">
        <v>32</v>
      </c>
      <c r="D371">
        <v>5</v>
      </c>
      <c r="E371">
        <v>0</v>
      </c>
      <c r="F371">
        <v>0</v>
      </c>
      <c r="G371">
        <v>4</v>
      </c>
      <c r="H371">
        <v>3</v>
      </c>
      <c r="I371">
        <v>0.01</v>
      </c>
      <c r="J371">
        <v>4</v>
      </c>
      <c r="K371">
        <v>1</v>
      </c>
      <c r="L371" s="4">
        <v>0.44617930406271172</v>
      </c>
      <c r="M371" s="4">
        <v>0.55382069593728833</v>
      </c>
      <c r="N371">
        <v>1</v>
      </c>
    </row>
    <row r="372" spans="1:14" x14ac:dyDescent="0.35">
      <c r="A372" s="1">
        <v>3500</v>
      </c>
      <c r="B372">
        <v>14</v>
      </c>
      <c r="C372">
        <v>49</v>
      </c>
      <c r="D372">
        <v>2</v>
      </c>
      <c r="E372">
        <v>0</v>
      </c>
      <c r="F372">
        <v>3</v>
      </c>
      <c r="G372">
        <v>3</v>
      </c>
      <c r="H372">
        <v>2</v>
      </c>
      <c r="I372">
        <v>1000</v>
      </c>
      <c r="J372">
        <v>6</v>
      </c>
      <c r="K372">
        <v>0</v>
      </c>
      <c r="L372" s="4">
        <v>0.44636987345607038</v>
      </c>
      <c r="M372" s="4">
        <v>0.55363012654392962</v>
      </c>
      <c r="N372">
        <v>1</v>
      </c>
    </row>
    <row r="373" spans="1:14" x14ac:dyDescent="0.35">
      <c r="A373" s="1">
        <v>3471</v>
      </c>
      <c r="B373">
        <v>11</v>
      </c>
      <c r="C373">
        <v>37</v>
      </c>
      <c r="D373">
        <v>0</v>
      </c>
      <c r="E373">
        <v>0</v>
      </c>
      <c r="F373">
        <v>3</v>
      </c>
      <c r="G373">
        <v>3</v>
      </c>
      <c r="H373">
        <v>3</v>
      </c>
      <c r="I373">
        <v>0.01</v>
      </c>
      <c r="J373">
        <v>5</v>
      </c>
      <c r="K373">
        <v>1</v>
      </c>
      <c r="L373" s="4">
        <v>0.44720231765772728</v>
      </c>
      <c r="M373" s="4">
        <v>0.55279768234227267</v>
      </c>
      <c r="N373">
        <v>1</v>
      </c>
    </row>
    <row r="374" spans="1:14" x14ac:dyDescent="0.35">
      <c r="A374" s="1">
        <v>3587</v>
      </c>
      <c r="B374">
        <v>14</v>
      </c>
      <c r="C374">
        <v>40</v>
      </c>
      <c r="D374">
        <v>0</v>
      </c>
      <c r="E374">
        <v>2</v>
      </c>
      <c r="F374">
        <v>3</v>
      </c>
      <c r="G374">
        <v>3</v>
      </c>
      <c r="H374">
        <v>2</v>
      </c>
      <c r="I374">
        <v>100</v>
      </c>
      <c r="J374">
        <v>1</v>
      </c>
      <c r="K374">
        <v>0</v>
      </c>
      <c r="L374" s="4">
        <v>0.44752136209884252</v>
      </c>
      <c r="M374" s="4">
        <v>0.55247863790115748</v>
      </c>
      <c r="N374">
        <v>1</v>
      </c>
    </row>
    <row r="375" spans="1:14" x14ac:dyDescent="0.35">
      <c r="A375" s="1">
        <v>2706</v>
      </c>
      <c r="B375">
        <v>14</v>
      </c>
      <c r="C375">
        <v>47</v>
      </c>
      <c r="D375">
        <v>5</v>
      </c>
      <c r="E375">
        <v>0</v>
      </c>
      <c r="F375">
        <v>3</v>
      </c>
      <c r="G375">
        <v>3</v>
      </c>
      <c r="H375">
        <v>3</v>
      </c>
      <c r="I375">
        <v>0.01</v>
      </c>
      <c r="J375">
        <v>5</v>
      </c>
      <c r="K375">
        <v>0</v>
      </c>
      <c r="L375" s="4">
        <v>0.44772150591359372</v>
      </c>
      <c r="M375" s="4">
        <v>0.55227849408640628</v>
      </c>
      <c r="N375">
        <v>1</v>
      </c>
    </row>
    <row r="376" spans="1:14" x14ac:dyDescent="0.35">
      <c r="A376" s="1">
        <v>2987</v>
      </c>
      <c r="B376">
        <v>9</v>
      </c>
      <c r="C376">
        <v>31</v>
      </c>
      <c r="D376">
        <v>1</v>
      </c>
      <c r="E376">
        <v>0</v>
      </c>
      <c r="F376">
        <v>3</v>
      </c>
      <c r="G376">
        <v>3</v>
      </c>
      <c r="H376">
        <v>0</v>
      </c>
      <c r="I376">
        <v>7000</v>
      </c>
      <c r="J376">
        <v>8</v>
      </c>
      <c r="K376">
        <v>0</v>
      </c>
      <c r="L376" s="4">
        <v>0.44856860888212069</v>
      </c>
      <c r="M376" s="4">
        <v>0.55143139111787931</v>
      </c>
      <c r="N376">
        <v>1</v>
      </c>
    </row>
    <row r="377" spans="1:14" x14ac:dyDescent="0.35">
      <c r="A377" s="1">
        <v>1256</v>
      </c>
      <c r="B377">
        <v>11</v>
      </c>
      <c r="C377">
        <v>37</v>
      </c>
      <c r="D377">
        <v>2</v>
      </c>
      <c r="E377">
        <v>0</v>
      </c>
      <c r="F377">
        <v>0</v>
      </c>
      <c r="G377">
        <v>10</v>
      </c>
      <c r="H377">
        <v>3</v>
      </c>
      <c r="I377">
        <v>0.01</v>
      </c>
      <c r="J377">
        <v>4</v>
      </c>
      <c r="K377">
        <v>0</v>
      </c>
      <c r="L377" s="4">
        <v>0.4489438433401377</v>
      </c>
      <c r="M377" s="4">
        <v>0.5510561566598623</v>
      </c>
      <c r="N377">
        <v>1</v>
      </c>
    </row>
    <row r="378" spans="1:14" x14ac:dyDescent="0.35">
      <c r="A378" s="1">
        <v>3585</v>
      </c>
      <c r="B378">
        <v>18</v>
      </c>
      <c r="C378">
        <v>62</v>
      </c>
      <c r="D378">
        <v>2</v>
      </c>
      <c r="E378">
        <v>1</v>
      </c>
      <c r="F378">
        <v>1</v>
      </c>
      <c r="G378">
        <v>12</v>
      </c>
      <c r="H378">
        <v>1</v>
      </c>
      <c r="I378">
        <v>23000</v>
      </c>
      <c r="J378">
        <v>9</v>
      </c>
      <c r="K378">
        <v>1</v>
      </c>
      <c r="L378" s="4">
        <v>0.44936425368978422</v>
      </c>
      <c r="M378" s="4">
        <v>0.55063574631021583</v>
      </c>
      <c r="N378">
        <v>1</v>
      </c>
    </row>
    <row r="379" spans="1:14" x14ac:dyDescent="0.35">
      <c r="A379" s="1">
        <v>279</v>
      </c>
      <c r="B379">
        <v>11</v>
      </c>
      <c r="C379">
        <v>38</v>
      </c>
      <c r="D379">
        <v>3</v>
      </c>
      <c r="E379">
        <v>0</v>
      </c>
      <c r="F379">
        <v>0</v>
      </c>
      <c r="G379">
        <v>4</v>
      </c>
      <c r="H379">
        <v>2</v>
      </c>
      <c r="I379">
        <v>500</v>
      </c>
      <c r="J379">
        <v>9</v>
      </c>
      <c r="K379">
        <v>1</v>
      </c>
      <c r="L379" s="4">
        <v>0.44951219128078801</v>
      </c>
      <c r="M379" s="4">
        <v>0.55048780871921199</v>
      </c>
      <c r="N379">
        <v>1</v>
      </c>
    </row>
    <row r="380" spans="1:14" x14ac:dyDescent="0.35">
      <c r="A380" s="1">
        <v>1843</v>
      </c>
      <c r="B380">
        <v>15</v>
      </c>
      <c r="C380">
        <v>51</v>
      </c>
      <c r="D380">
        <v>3</v>
      </c>
      <c r="E380">
        <v>1</v>
      </c>
      <c r="F380">
        <v>0</v>
      </c>
      <c r="G380">
        <v>4</v>
      </c>
      <c r="H380">
        <v>0</v>
      </c>
      <c r="I380">
        <v>11105.32</v>
      </c>
      <c r="J380">
        <v>7</v>
      </c>
      <c r="K380">
        <v>0</v>
      </c>
      <c r="L380" s="4">
        <v>0.44959312352065273</v>
      </c>
      <c r="M380" s="4">
        <v>0.55040687647934727</v>
      </c>
      <c r="N380">
        <v>1</v>
      </c>
    </row>
    <row r="381" spans="1:14" x14ac:dyDescent="0.35">
      <c r="A381" s="1">
        <v>1897</v>
      </c>
      <c r="B381">
        <v>15</v>
      </c>
      <c r="C381">
        <v>52</v>
      </c>
      <c r="D381">
        <v>5</v>
      </c>
      <c r="E381">
        <v>0</v>
      </c>
      <c r="F381">
        <v>3</v>
      </c>
      <c r="G381">
        <v>3</v>
      </c>
      <c r="H381">
        <v>2</v>
      </c>
      <c r="I381">
        <v>100.01</v>
      </c>
      <c r="J381">
        <v>8</v>
      </c>
      <c r="K381">
        <v>1</v>
      </c>
      <c r="L381" s="4">
        <v>0.44997867797680952</v>
      </c>
      <c r="M381" s="4">
        <v>0.55002132202319054</v>
      </c>
      <c r="N381">
        <v>1</v>
      </c>
    </row>
    <row r="382" spans="1:14" x14ac:dyDescent="0.35">
      <c r="A382" s="1">
        <v>1440</v>
      </c>
      <c r="B382">
        <v>10</v>
      </c>
      <c r="C382">
        <v>36</v>
      </c>
      <c r="D382">
        <v>3</v>
      </c>
      <c r="E382">
        <v>0</v>
      </c>
      <c r="F382">
        <v>0</v>
      </c>
      <c r="G382">
        <v>2</v>
      </c>
      <c r="H382">
        <v>0</v>
      </c>
      <c r="I382">
        <v>11500</v>
      </c>
      <c r="J382">
        <v>11</v>
      </c>
      <c r="K382">
        <v>1</v>
      </c>
      <c r="L382" s="4">
        <v>0.45052039236681107</v>
      </c>
      <c r="M382" s="4">
        <v>0.54947960763318893</v>
      </c>
      <c r="N382">
        <v>1</v>
      </c>
    </row>
    <row r="383" spans="1:14" x14ac:dyDescent="0.35">
      <c r="A383" s="1">
        <v>515</v>
      </c>
      <c r="B383">
        <v>9</v>
      </c>
      <c r="C383">
        <v>29</v>
      </c>
      <c r="D383">
        <v>2</v>
      </c>
      <c r="E383">
        <v>0</v>
      </c>
      <c r="F383">
        <v>1</v>
      </c>
      <c r="G383">
        <v>5</v>
      </c>
      <c r="H383">
        <v>3</v>
      </c>
      <c r="I383">
        <v>0.01</v>
      </c>
      <c r="J383">
        <v>4</v>
      </c>
      <c r="K383">
        <v>1</v>
      </c>
      <c r="L383" s="4">
        <v>0.45068138595066209</v>
      </c>
      <c r="M383" s="4">
        <v>0.54931861404933791</v>
      </c>
      <c r="N383">
        <v>1</v>
      </c>
    </row>
    <row r="384" spans="1:14" x14ac:dyDescent="0.35">
      <c r="A384" s="1">
        <v>1473</v>
      </c>
      <c r="B384">
        <v>11</v>
      </c>
      <c r="C384">
        <v>35</v>
      </c>
      <c r="D384">
        <v>3</v>
      </c>
      <c r="E384">
        <v>1</v>
      </c>
      <c r="F384">
        <v>0</v>
      </c>
      <c r="G384">
        <v>2</v>
      </c>
      <c r="H384">
        <v>0</v>
      </c>
      <c r="I384">
        <v>8000</v>
      </c>
      <c r="J384">
        <v>7</v>
      </c>
      <c r="K384">
        <v>1</v>
      </c>
      <c r="L384" s="4">
        <v>0.45110592431097118</v>
      </c>
      <c r="M384" s="4">
        <v>0.54889407568902882</v>
      </c>
      <c r="N384">
        <v>1</v>
      </c>
    </row>
    <row r="385" spans="1:14" x14ac:dyDescent="0.35">
      <c r="A385" s="1">
        <v>4367</v>
      </c>
      <c r="B385">
        <v>17</v>
      </c>
      <c r="C385">
        <v>62</v>
      </c>
      <c r="D385">
        <v>1</v>
      </c>
      <c r="E385">
        <v>0</v>
      </c>
      <c r="F385">
        <v>3</v>
      </c>
      <c r="G385">
        <v>3</v>
      </c>
      <c r="H385">
        <v>2</v>
      </c>
      <c r="I385">
        <v>2500</v>
      </c>
      <c r="J385">
        <v>6</v>
      </c>
      <c r="K385">
        <v>1</v>
      </c>
      <c r="L385" s="4">
        <v>0.45190916031157902</v>
      </c>
      <c r="M385" s="4">
        <v>0.54809083968842098</v>
      </c>
      <c r="N385">
        <v>1</v>
      </c>
    </row>
    <row r="386" spans="1:14" x14ac:dyDescent="0.35">
      <c r="A386" s="1">
        <v>283</v>
      </c>
      <c r="B386">
        <v>15</v>
      </c>
      <c r="C386">
        <v>51</v>
      </c>
      <c r="D386">
        <v>5</v>
      </c>
      <c r="E386">
        <v>0</v>
      </c>
      <c r="F386">
        <v>3</v>
      </c>
      <c r="G386">
        <v>8</v>
      </c>
      <c r="H386">
        <v>3</v>
      </c>
      <c r="I386">
        <v>0.01</v>
      </c>
      <c r="J386">
        <v>9</v>
      </c>
      <c r="K386">
        <v>1</v>
      </c>
      <c r="L386" s="4">
        <v>0.45249478503424961</v>
      </c>
      <c r="M386" s="4">
        <v>0.54750521496575044</v>
      </c>
      <c r="N386">
        <v>1</v>
      </c>
    </row>
    <row r="387" spans="1:14" x14ac:dyDescent="0.35">
      <c r="A387" s="1">
        <v>2738</v>
      </c>
      <c r="B387">
        <v>11</v>
      </c>
      <c r="C387">
        <v>33</v>
      </c>
      <c r="D387">
        <v>2</v>
      </c>
      <c r="E387">
        <v>1</v>
      </c>
      <c r="F387">
        <v>0</v>
      </c>
      <c r="G387">
        <v>11</v>
      </c>
      <c r="H387">
        <v>2</v>
      </c>
      <c r="I387">
        <v>3000</v>
      </c>
      <c r="J387">
        <v>1</v>
      </c>
      <c r="K387">
        <v>1</v>
      </c>
      <c r="L387" s="4">
        <v>0.4527269701660821</v>
      </c>
      <c r="M387" s="4">
        <v>0.5472730298339179</v>
      </c>
      <c r="N387">
        <v>1</v>
      </c>
    </row>
    <row r="388" spans="1:14" x14ac:dyDescent="0.35">
      <c r="A388" s="1">
        <v>3650</v>
      </c>
      <c r="B388">
        <v>12</v>
      </c>
      <c r="C388">
        <v>41</v>
      </c>
      <c r="D388">
        <v>3</v>
      </c>
      <c r="E388">
        <v>0</v>
      </c>
      <c r="F388">
        <v>1</v>
      </c>
      <c r="G388">
        <v>12</v>
      </c>
      <c r="H388">
        <v>2</v>
      </c>
      <c r="I388">
        <v>0.02</v>
      </c>
      <c r="J388">
        <v>5</v>
      </c>
      <c r="K388">
        <v>0</v>
      </c>
      <c r="L388" s="4">
        <v>0.4532492072717218</v>
      </c>
      <c r="M388" s="4">
        <v>0.5467507927282782</v>
      </c>
      <c r="N388">
        <v>1</v>
      </c>
    </row>
    <row r="389" spans="1:14" x14ac:dyDescent="0.35">
      <c r="A389" s="1">
        <v>187</v>
      </c>
      <c r="B389">
        <v>12</v>
      </c>
      <c r="C389">
        <v>41</v>
      </c>
      <c r="D389">
        <v>3</v>
      </c>
      <c r="E389">
        <v>0</v>
      </c>
      <c r="F389">
        <v>0</v>
      </c>
      <c r="G389">
        <v>11</v>
      </c>
      <c r="H389">
        <v>3</v>
      </c>
      <c r="I389">
        <v>0.01</v>
      </c>
      <c r="J389">
        <v>8</v>
      </c>
      <c r="K389">
        <v>1</v>
      </c>
      <c r="L389" s="4">
        <v>0.45479652125550002</v>
      </c>
      <c r="M389" s="4">
        <v>0.54520347874450004</v>
      </c>
      <c r="N389">
        <v>1</v>
      </c>
    </row>
    <row r="390" spans="1:14" x14ac:dyDescent="0.35">
      <c r="A390" s="1">
        <v>707</v>
      </c>
      <c r="B390">
        <v>14</v>
      </c>
      <c r="C390">
        <v>44</v>
      </c>
      <c r="D390">
        <v>5</v>
      </c>
      <c r="E390">
        <v>1</v>
      </c>
      <c r="F390">
        <v>0</v>
      </c>
      <c r="G390">
        <v>11</v>
      </c>
      <c r="H390">
        <v>2</v>
      </c>
      <c r="I390">
        <v>480.01</v>
      </c>
      <c r="J390">
        <v>5</v>
      </c>
      <c r="K390">
        <v>1</v>
      </c>
      <c r="L390" s="4">
        <v>0.45485579554518418</v>
      </c>
      <c r="M390" s="4">
        <v>0.54514420445481582</v>
      </c>
      <c r="N390">
        <v>1</v>
      </c>
    </row>
    <row r="391" spans="1:14" x14ac:dyDescent="0.35">
      <c r="A391" s="1">
        <v>4339</v>
      </c>
      <c r="B391">
        <v>9</v>
      </c>
      <c r="C391">
        <v>28</v>
      </c>
      <c r="D391">
        <v>5</v>
      </c>
      <c r="E391">
        <v>0</v>
      </c>
      <c r="F391">
        <v>0</v>
      </c>
      <c r="G391">
        <v>11</v>
      </c>
      <c r="H391">
        <v>3</v>
      </c>
      <c r="I391">
        <v>0.01</v>
      </c>
      <c r="J391">
        <v>4</v>
      </c>
      <c r="K391">
        <v>1</v>
      </c>
      <c r="L391" s="4">
        <v>0.45644264763682912</v>
      </c>
      <c r="M391" s="4">
        <v>0.54355735236317093</v>
      </c>
      <c r="N391">
        <v>1</v>
      </c>
    </row>
    <row r="392" spans="1:14" x14ac:dyDescent="0.35">
      <c r="A392" s="1">
        <v>1909</v>
      </c>
      <c r="B392">
        <v>13</v>
      </c>
      <c r="C392">
        <v>44</v>
      </c>
      <c r="D392">
        <v>2</v>
      </c>
      <c r="E392">
        <v>1</v>
      </c>
      <c r="F392">
        <v>0</v>
      </c>
      <c r="G392">
        <v>2</v>
      </c>
      <c r="H392">
        <v>0</v>
      </c>
      <c r="I392">
        <v>7461.8</v>
      </c>
      <c r="J392">
        <v>7</v>
      </c>
      <c r="K392">
        <v>1</v>
      </c>
      <c r="L392" s="4">
        <v>0.45822052478918712</v>
      </c>
      <c r="M392" s="4">
        <v>0.54177947521081293</v>
      </c>
      <c r="N392">
        <v>1</v>
      </c>
    </row>
    <row r="393" spans="1:14" x14ac:dyDescent="0.35">
      <c r="A393" s="1">
        <v>264</v>
      </c>
      <c r="B393">
        <v>13</v>
      </c>
      <c r="C393">
        <v>46</v>
      </c>
      <c r="D393">
        <v>1</v>
      </c>
      <c r="E393">
        <v>0</v>
      </c>
      <c r="F393">
        <v>1</v>
      </c>
      <c r="G393">
        <v>7</v>
      </c>
      <c r="H393">
        <v>3</v>
      </c>
      <c r="I393">
        <v>0.01</v>
      </c>
      <c r="J393">
        <v>5</v>
      </c>
      <c r="K393">
        <v>1</v>
      </c>
      <c r="L393" s="4">
        <v>0.45848579794137578</v>
      </c>
      <c r="M393" s="4">
        <v>0.54151420205862422</v>
      </c>
      <c r="N393">
        <v>1</v>
      </c>
    </row>
    <row r="394" spans="1:14" x14ac:dyDescent="0.35">
      <c r="A394" s="1">
        <v>3872</v>
      </c>
      <c r="B394">
        <v>10</v>
      </c>
      <c r="C394">
        <v>34</v>
      </c>
      <c r="D394">
        <v>1</v>
      </c>
      <c r="E394">
        <v>0</v>
      </c>
      <c r="F394">
        <v>0</v>
      </c>
      <c r="G394">
        <v>11</v>
      </c>
      <c r="H394">
        <v>3</v>
      </c>
      <c r="I394">
        <v>0.01</v>
      </c>
      <c r="J394">
        <v>5</v>
      </c>
      <c r="K394">
        <v>1</v>
      </c>
      <c r="L394" s="4">
        <v>0.459130970672599</v>
      </c>
      <c r="M394" s="4">
        <v>0.540869029327401</v>
      </c>
      <c r="N394">
        <v>1</v>
      </c>
    </row>
    <row r="395" spans="1:14" x14ac:dyDescent="0.35">
      <c r="A395" s="1">
        <v>3520</v>
      </c>
      <c r="B395">
        <v>12</v>
      </c>
      <c r="C395">
        <v>37</v>
      </c>
      <c r="D395">
        <v>3</v>
      </c>
      <c r="E395">
        <v>1</v>
      </c>
      <c r="F395">
        <v>0</v>
      </c>
      <c r="G395">
        <v>4</v>
      </c>
      <c r="H395">
        <v>3</v>
      </c>
      <c r="I395">
        <v>0.01</v>
      </c>
      <c r="J395">
        <v>5</v>
      </c>
      <c r="K395">
        <v>1</v>
      </c>
      <c r="L395" s="4">
        <v>0.45981207913257249</v>
      </c>
      <c r="M395" s="4">
        <v>0.54018792086742751</v>
      </c>
      <c r="N395">
        <v>1</v>
      </c>
    </row>
    <row r="396" spans="1:14" x14ac:dyDescent="0.35">
      <c r="A396" s="1">
        <v>506</v>
      </c>
      <c r="B396">
        <v>7</v>
      </c>
      <c r="C396">
        <v>23</v>
      </c>
      <c r="D396">
        <v>0</v>
      </c>
      <c r="E396">
        <v>0</v>
      </c>
      <c r="F396">
        <v>1</v>
      </c>
      <c r="G396">
        <v>7</v>
      </c>
      <c r="H396">
        <v>2</v>
      </c>
      <c r="I396">
        <v>1000</v>
      </c>
      <c r="J396">
        <v>5</v>
      </c>
      <c r="K396">
        <v>1</v>
      </c>
      <c r="L396" s="4">
        <v>0.46006996106504222</v>
      </c>
      <c r="M396" s="4">
        <v>0.53993003893495783</v>
      </c>
      <c r="N396">
        <v>1</v>
      </c>
    </row>
    <row r="397" spans="1:14" x14ac:dyDescent="0.35">
      <c r="A397" s="1">
        <v>3022</v>
      </c>
      <c r="B397">
        <v>16</v>
      </c>
      <c r="C397">
        <v>51</v>
      </c>
      <c r="D397">
        <v>4</v>
      </c>
      <c r="E397">
        <v>1</v>
      </c>
      <c r="F397">
        <v>3</v>
      </c>
      <c r="G397">
        <v>8</v>
      </c>
      <c r="H397">
        <v>3</v>
      </c>
      <c r="I397">
        <v>0.01</v>
      </c>
      <c r="J397">
        <v>5</v>
      </c>
      <c r="K397">
        <v>1</v>
      </c>
      <c r="L397" s="4">
        <v>0.46008537557962709</v>
      </c>
      <c r="M397" s="4">
        <v>0.53991462442037286</v>
      </c>
      <c r="N397">
        <v>1</v>
      </c>
    </row>
    <row r="398" spans="1:14" x14ac:dyDescent="0.35">
      <c r="A398" s="1">
        <v>1301</v>
      </c>
      <c r="B398">
        <v>16</v>
      </c>
      <c r="C398">
        <v>61</v>
      </c>
      <c r="D398">
        <v>3</v>
      </c>
      <c r="E398">
        <v>0</v>
      </c>
      <c r="F398">
        <v>0</v>
      </c>
      <c r="G398">
        <v>2</v>
      </c>
      <c r="H398">
        <v>0</v>
      </c>
      <c r="I398">
        <v>19330.72</v>
      </c>
      <c r="J398">
        <v>3</v>
      </c>
      <c r="K398">
        <v>1</v>
      </c>
      <c r="L398" s="4">
        <v>0.46036785020307469</v>
      </c>
      <c r="M398" s="4">
        <v>0.53963214979692531</v>
      </c>
      <c r="N398">
        <v>1</v>
      </c>
    </row>
    <row r="399" spans="1:14" x14ac:dyDescent="0.35">
      <c r="A399" s="1">
        <v>1034</v>
      </c>
      <c r="B399">
        <v>12</v>
      </c>
      <c r="C399">
        <v>43</v>
      </c>
      <c r="D399">
        <v>1</v>
      </c>
      <c r="E399">
        <v>0</v>
      </c>
      <c r="F399">
        <v>2</v>
      </c>
      <c r="G399">
        <v>1</v>
      </c>
      <c r="H399">
        <v>2</v>
      </c>
      <c r="I399">
        <v>1221.06</v>
      </c>
      <c r="J399">
        <v>8</v>
      </c>
      <c r="K399">
        <v>1</v>
      </c>
      <c r="L399" s="4">
        <v>0.46068368190850778</v>
      </c>
      <c r="M399" s="4">
        <v>0.53931631809149216</v>
      </c>
      <c r="N399">
        <v>1</v>
      </c>
    </row>
    <row r="400" spans="1:14" x14ac:dyDescent="0.35">
      <c r="A400" s="1">
        <v>4301</v>
      </c>
      <c r="B400">
        <v>14</v>
      </c>
      <c r="C400">
        <v>48</v>
      </c>
      <c r="D400">
        <v>5</v>
      </c>
      <c r="E400">
        <v>0</v>
      </c>
      <c r="F400">
        <v>1</v>
      </c>
      <c r="G400">
        <v>12</v>
      </c>
      <c r="H400">
        <v>3</v>
      </c>
      <c r="I400">
        <v>0.01</v>
      </c>
      <c r="J400">
        <v>5</v>
      </c>
      <c r="K400">
        <v>1</v>
      </c>
      <c r="L400" s="4">
        <v>0.46079271671860828</v>
      </c>
      <c r="M400" s="4">
        <v>0.53920728328139167</v>
      </c>
      <c r="N400">
        <v>1</v>
      </c>
    </row>
    <row r="401" spans="1:14" x14ac:dyDescent="0.35">
      <c r="A401" s="1">
        <v>3447</v>
      </c>
      <c r="B401">
        <v>14</v>
      </c>
      <c r="C401">
        <v>51</v>
      </c>
      <c r="D401">
        <v>3</v>
      </c>
      <c r="E401">
        <v>0</v>
      </c>
      <c r="F401">
        <v>0</v>
      </c>
      <c r="G401">
        <v>4</v>
      </c>
      <c r="H401">
        <v>2</v>
      </c>
      <c r="I401">
        <v>150</v>
      </c>
      <c r="J401">
        <v>13</v>
      </c>
      <c r="K401">
        <v>1</v>
      </c>
      <c r="L401" s="4">
        <v>0.46105162703547509</v>
      </c>
      <c r="M401" s="4">
        <v>0.53894837296452491</v>
      </c>
      <c r="N401">
        <v>1</v>
      </c>
    </row>
    <row r="402" spans="1:14" x14ac:dyDescent="0.35">
      <c r="A402" s="1">
        <v>3844</v>
      </c>
      <c r="B402">
        <v>10</v>
      </c>
      <c r="C402">
        <v>33</v>
      </c>
      <c r="D402">
        <v>5</v>
      </c>
      <c r="E402">
        <v>0</v>
      </c>
      <c r="F402">
        <v>0</v>
      </c>
      <c r="G402">
        <v>4</v>
      </c>
      <c r="H402">
        <v>3</v>
      </c>
      <c r="I402">
        <v>0.01</v>
      </c>
      <c r="J402">
        <v>4</v>
      </c>
      <c r="K402">
        <v>1</v>
      </c>
      <c r="L402" s="4">
        <v>0.46109219833532389</v>
      </c>
      <c r="M402" s="4">
        <v>0.53890780166467611</v>
      </c>
      <c r="N402">
        <v>1</v>
      </c>
    </row>
    <row r="403" spans="1:14" x14ac:dyDescent="0.35">
      <c r="A403" s="1">
        <v>4138</v>
      </c>
      <c r="B403">
        <v>20</v>
      </c>
      <c r="C403">
        <v>77</v>
      </c>
      <c r="D403">
        <v>2</v>
      </c>
      <c r="E403">
        <v>0</v>
      </c>
      <c r="F403">
        <v>0</v>
      </c>
      <c r="G403">
        <v>11</v>
      </c>
      <c r="H403">
        <v>0</v>
      </c>
      <c r="I403">
        <v>14000</v>
      </c>
      <c r="J403">
        <v>14</v>
      </c>
      <c r="K403">
        <v>1</v>
      </c>
      <c r="L403" s="4">
        <v>0.46172682004233417</v>
      </c>
      <c r="M403" s="4">
        <v>0.53827317995766577</v>
      </c>
      <c r="N403">
        <v>1</v>
      </c>
    </row>
    <row r="404" spans="1:14" x14ac:dyDescent="0.35">
      <c r="A404" s="1">
        <v>3164</v>
      </c>
      <c r="B404">
        <v>14</v>
      </c>
      <c r="C404">
        <v>51</v>
      </c>
      <c r="D404">
        <v>5</v>
      </c>
      <c r="E404">
        <v>0</v>
      </c>
      <c r="F404">
        <v>1</v>
      </c>
      <c r="G404">
        <v>7</v>
      </c>
      <c r="H404">
        <v>0</v>
      </c>
      <c r="I404">
        <v>5998.39</v>
      </c>
      <c r="J404">
        <v>9</v>
      </c>
      <c r="K404">
        <v>0</v>
      </c>
      <c r="L404" s="4">
        <v>0.46234209485142869</v>
      </c>
      <c r="M404" s="4">
        <v>0.53765790514857126</v>
      </c>
      <c r="N404">
        <v>1</v>
      </c>
    </row>
    <row r="405" spans="1:14" x14ac:dyDescent="0.35">
      <c r="A405" s="1">
        <v>1552</v>
      </c>
      <c r="B405">
        <v>14</v>
      </c>
      <c r="C405">
        <v>44</v>
      </c>
      <c r="D405">
        <v>3</v>
      </c>
      <c r="E405">
        <v>1</v>
      </c>
      <c r="F405">
        <v>3</v>
      </c>
      <c r="G405">
        <v>3</v>
      </c>
      <c r="H405">
        <v>3</v>
      </c>
      <c r="I405">
        <v>0.01</v>
      </c>
      <c r="J405">
        <v>5</v>
      </c>
      <c r="K405">
        <v>1</v>
      </c>
      <c r="L405" s="4">
        <v>0.46318384920807232</v>
      </c>
      <c r="M405" s="4">
        <v>0.53681615079192768</v>
      </c>
      <c r="N405">
        <v>1</v>
      </c>
    </row>
    <row r="406" spans="1:14" x14ac:dyDescent="0.35">
      <c r="A406" s="1">
        <v>3917</v>
      </c>
      <c r="B406">
        <v>10</v>
      </c>
      <c r="C406">
        <v>33</v>
      </c>
      <c r="D406">
        <v>4</v>
      </c>
      <c r="E406">
        <v>0</v>
      </c>
      <c r="F406">
        <v>3</v>
      </c>
      <c r="G406">
        <v>3</v>
      </c>
      <c r="H406">
        <v>2</v>
      </c>
      <c r="I406">
        <v>600</v>
      </c>
      <c r="J406">
        <v>4</v>
      </c>
      <c r="K406">
        <v>1</v>
      </c>
      <c r="L406" s="4">
        <v>0.46320603541557298</v>
      </c>
      <c r="M406" s="4">
        <v>0.53679396458442696</v>
      </c>
      <c r="N406">
        <v>1</v>
      </c>
    </row>
    <row r="407" spans="1:14" x14ac:dyDescent="0.35">
      <c r="A407" s="1">
        <v>3207</v>
      </c>
      <c r="B407">
        <v>9</v>
      </c>
      <c r="C407">
        <v>30</v>
      </c>
      <c r="D407">
        <v>5</v>
      </c>
      <c r="E407">
        <v>0</v>
      </c>
      <c r="F407">
        <v>0</v>
      </c>
      <c r="G407">
        <v>4</v>
      </c>
      <c r="H407">
        <v>2</v>
      </c>
      <c r="I407">
        <v>750</v>
      </c>
      <c r="J407">
        <v>11</v>
      </c>
      <c r="K407">
        <v>0</v>
      </c>
      <c r="L407" s="4">
        <v>0.46332440303330641</v>
      </c>
      <c r="M407" s="4">
        <v>0.53667559696669365</v>
      </c>
      <c r="N407">
        <v>1</v>
      </c>
    </row>
    <row r="408" spans="1:14" x14ac:dyDescent="0.35">
      <c r="A408" s="1">
        <v>3266</v>
      </c>
      <c r="B408">
        <v>12</v>
      </c>
      <c r="C408">
        <v>42</v>
      </c>
      <c r="D408">
        <v>2</v>
      </c>
      <c r="E408">
        <v>0</v>
      </c>
      <c r="F408">
        <v>0</v>
      </c>
      <c r="G408">
        <v>11</v>
      </c>
      <c r="H408">
        <v>3</v>
      </c>
      <c r="I408">
        <v>0.01</v>
      </c>
      <c r="J408">
        <v>6</v>
      </c>
      <c r="K408">
        <v>1</v>
      </c>
      <c r="L408" s="4">
        <v>0.46384627722582572</v>
      </c>
      <c r="M408" s="4">
        <v>0.53615372277417428</v>
      </c>
      <c r="N408">
        <v>1</v>
      </c>
    </row>
    <row r="409" spans="1:14" x14ac:dyDescent="0.35">
      <c r="A409" s="1">
        <v>3909</v>
      </c>
      <c r="B409">
        <v>16</v>
      </c>
      <c r="C409">
        <v>58</v>
      </c>
      <c r="D409">
        <v>2</v>
      </c>
      <c r="E409">
        <v>0</v>
      </c>
      <c r="F409">
        <v>3</v>
      </c>
      <c r="G409">
        <v>8</v>
      </c>
      <c r="H409">
        <v>2</v>
      </c>
      <c r="I409">
        <v>5000</v>
      </c>
      <c r="J409">
        <v>9</v>
      </c>
      <c r="K409">
        <v>0</v>
      </c>
      <c r="L409" s="4">
        <v>0.46404425661674092</v>
      </c>
      <c r="M409" s="4">
        <v>0.53595574338325913</v>
      </c>
      <c r="N409">
        <v>1</v>
      </c>
    </row>
    <row r="410" spans="1:14" x14ac:dyDescent="0.35">
      <c r="A410" s="1">
        <v>3942</v>
      </c>
      <c r="B410">
        <v>17</v>
      </c>
      <c r="C410">
        <v>60</v>
      </c>
      <c r="D410">
        <v>0</v>
      </c>
      <c r="E410">
        <v>1</v>
      </c>
      <c r="F410">
        <v>3</v>
      </c>
      <c r="G410">
        <v>3</v>
      </c>
      <c r="H410">
        <v>0</v>
      </c>
      <c r="I410">
        <v>10000</v>
      </c>
      <c r="J410">
        <v>4</v>
      </c>
      <c r="K410">
        <v>1</v>
      </c>
      <c r="L410" s="4">
        <v>0.46464129832786438</v>
      </c>
      <c r="M410" s="4">
        <v>0.53535870167213562</v>
      </c>
      <c r="N410">
        <v>1</v>
      </c>
    </row>
    <row r="411" spans="1:14" x14ac:dyDescent="0.35">
      <c r="A411" s="1">
        <v>4034</v>
      </c>
      <c r="B411">
        <v>9</v>
      </c>
      <c r="C411">
        <v>28</v>
      </c>
      <c r="D411">
        <v>5</v>
      </c>
      <c r="E411">
        <v>0</v>
      </c>
      <c r="F411">
        <v>1</v>
      </c>
      <c r="G411">
        <v>12</v>
      </c>
      <c r="H411">
        <v>3</v>
      </c>
      <c r="I411">
        <v>0.01</v>
      </c>
      <c r="J411">
        <v>4</v>
      </c>
      <c r="K411">
        <v>0</v>
      </c>
      <c r="L411" s="4">
        <v>0.46486848306752648</v>
      </c>
      <c r="M411" s="4">
        <v>0.53513151693247352</v>
      </c>
      <c r="N411">
        <v>1</v>
      </c>
    </row>
    <row r="412" spans="1:14" x14ac:dyDescent="0.35">
      <c r="A412" s="1">
        <v>837</v>
      </c>
      <c r="B412">
        <v>12</v>
      </c>
      <c r="C412">
        <v>42</v>
      </c>
      <c r="D412">
        <v>4</v>
      </c>
      <c r="E412">
        <v>0</v>
      </c>
      <c r="F412">
        <v>0</v>
      </c>
      <c r="G412">
        <v>2</v>
      </c>
      <c r="H412">
        <v>3</v>
      </c>
      <c r="I412">
        <v>0.01</v>
      </c>
      <c r="J412">
        <v>4</v>
      </c>
      <c r="K412">
        <v>1</v>
      </c>
      <c r="L412" s="4">
        <v>0.46528152563698882</v>
      </c>
      <c r="M412" s="4">
        <v>0.53471847436301123</v>
      </c>
      <c r="N412">
        <v>1</v>
      </c>
    </row>
    <row r="413" spans="1:14" x14ac:dyDescent="0.35">
      <c r="A413" s="1">
        <v>2785</v>
      </c>
      <c r="B413">
        <v>12</v>
      </c>
      <c r="C413">
        <v>41</v>
      </c>
      <c r="D413">
        <v>3</v>
      </c>
      <c r="E413">
        <v>0</v>
      </c>
      <c r="F413">
        <v>3</v>
      </c>
      <c r="G413">
        <v>3</v>
      </c>
      <c r="H413">
        <v>3</v>
      </c>
      <c r="I413">
        <v>0.01</v>
      </c>
      <c r="J413">
        <v>5</v>
      </c>
      <c r="K413">
        <v>1</v>
      </c>
      <c r="L413" s="4">
        <v>0.46602859321189027</v>
      </c>
      <c r="M413" s="4">
        <v>0.53397140678810973</v>
      </c>
      <c r="N413">
        <v>1</v>
      </c>
    </row>
    <row r="414" spans="1:14" x14ac:dyDescent="0.35">
      <c r="A414" s="1">
        <v>2555</v>
      </c>
      <c r="B414">
        <v>14</v>
      </c>
      <c r="C414">
        <v>52</v>
      </c>
      <c r="D414">
        <v>5</v>
      </c>
      <c r="E414">
        <v>0</v>
      </c>
      <c r="F414">
        <v>0</v>
      </c>
      <c r="G414">
        <v>4</v>
      </c>
      <c r="H414">
        <v>0</v>
      </c>
      <c r="I414">
        <v>6053.34</v>
      </c>
      <c r="J414">
        <v>6</v>
      </c>
      <c r="K414">
        <v>1</v>
      </c>
      <c r="L414" s="4">
        <v>0.4670801332466602</v>
      </c>
      <c r="M414" s="4">
        <v>0.5329198667533398</v>
      </c>
      <c r="N414">
        <v>1</v>
      </c>
    </row>
    <row r="415" spans="1:14" x14ac:dyDescent="0.35">
      <c r="A415" s="1">
        <v>1110</v>
      </c>
      <c r="B415">
        <v>13</v>
      </c>
      <c r="C415">
        <v>38</v>
      </c>
      <c r="D415">
        <v>2</v>
      </c>
      <c r="E415">
        <v>2</v>
      </c>
      <c r="F415">
        <v>0</v>
      </c>
      <c r="G415">
        <v>4</v>
      </c>
      <c r="H415">
        <v>2</v>
      </c>
      <c r="I415">
        <v>5000</v>
      </c>
      <c r="J415">
        <v>5</v>
      </c>
      <c r="K415">
        <v>0</v>
      </c>
      <c r="L415" s="4">
        <v>0.46815899650331849</v>
      </c>
      <c r="M415" s="4">
        <v>0.53184100349668151</v>
      </c>
      <c r="N415">
        <v>1</v>
      </c>
    </row>
    <row r="416" spans="1:14" x14ac:dyDescent="0.35">
      <c r="A416" s="1">
        <v>27</v>
      </c>
      <c r="B416">
        <v>9</v>
      </c>
      <c r="C416">
        <v>29</v>
      </c>
      <c r="D416">
        <v>5</v>
      </c>
      <c r="E416">
        <v>0</v>
      </c>
      <c r="F416">
        <v>1</v>
      </c>
      <c r="G416">
        <v>12</v>
      </c>
      <c r="H416">
        <v>2</v>
      </c>
      <c r="I416">
        <v>840</v>
      </c>
      <c r="J416">
        <v>3</v>
      </c>
      <c r="K416">
        <v>1</v>
      </c>
      <c r="L416" s="4">
        <v>0.468874265078569</v>
      </c>
      <c r="M416" s="4">
        <v>0.531125734921431</v>
      </c>
      <c r="N416">
        <v>1</v>
      </c>
    </row>
    <row r="417" spans="1:14" x14ac:dyDescent="0.35">
      <c r="A417" s="1">
        <v>30</v>
      </c>
      <c r="B417">
        <v>11</v>
      </c>
      <c r="C417">
        <v>39</v>
      </c>
      <c r="D417">
        <v>3</v>
      </c>
      <c r="E417">
        <v>0</v>
      </c>
      <c r="F417">
        <v>3</v>
      </c>
      <c r="G417">
        <v>8</v>
      </c>
      <c r="H417">
        <v>1</v>
      </c>
      <c r="I417">
        <v>30238.38</v>
      </c>
      <c r="J417">
        <v>7</v>
      </c>
      <c r="K417">
        <v>1</v>
      </c>
      <c r="L417" s="4">
        <v>0.46889190935372399</v>
      </c>
      <c r="M417" s="4">
        <v>0.53110809064627595</v>
      </c>
      <c r="N417">
        <v>1</v>
      </c>
    </row>
    <row r="418" spans="1:14" x14ac:dyDescent="0.35">
      <c r="A418" s="1">
        <v>4355</v>
      </c>
      <c r="B418">
        <v>8</v>
      </c>
      <c r="C418">
        <v>27</v>
      </c>
      <c r="D418">
        <v>3</v>
      </c>
      <c r="E418">
        <v>0</v>
      </c>
      <c r="F418">
        <v>0</v>
      </c>
      <c r="G418">
        <v>4</v>
      </c>
      <c r="H418">
        <v>2</v>
      </c>
      <c r="I418">
        <v>100</v>
      </c>
      <c r="J418">
        <v>1</v>
      </c>
      <c r="K418">
        <v>0</v>
      </c>
      <c r="L418" s="4">
        <v>0.46941870959624538</v>
      </c>
      <c r="M418" s="4">
        <v>0.53058129040375457</v>
      </c>
      <c r="N418">
        <v>1</v>
      </c>
    </row>
    <row r="419" spans="1:14" x14ac:dyDescent="0.35">
      <c r="A419" s="1">
        <v>48</v>
      </c>
      <c r="B419">
        <v>14</v>
      </c>
      <c r="C419">
        <v>50</v>
      </c>
      <c r="D419">
        <v>2</v>
      </c>
      <c r="E419">
        <v>0</v>
      </c>
      <c r="F419">
        <v>1</v>
      </c>
      <c r="G419">
        <v>12</v>
      </c>
      <c r="H419">
        <v>3</v>
      </c>
      <c r="I419">
        <v>0.01</v>
      </c>
      <c r="J419">
        <v>8</v>
      </c>
      <c r="K419">
        <v>0</v>
      </c>
      <c r="L419" s="4">
        <v>0.47014377164485532</v>
      </c>
      <c r="M419" s="4">
        <v>0.52985622835514468</v>
      </c>
      <c r="N419">
        <v>1</v>
      </c>
    </row>
    <row r="420" spans="1:14" x14ac:dyDescent="0.35">
      <c r="A420" s="1">
        <v>2845</v>
      </c>
      <c r="B420">
        <v>13</v>
      </c>
      <c r="C420">
        <v>44</v>
      </c>
      <c r="D420">
        <v>5</v>
      </c>
      <c r="E420">
        <v>0</v>
      </c>
      <c r="F420">
        <v>3</v>
      </c>
      <c r="G420">
        <v>8</v>
      </c>
      <c r="H420">
        <v>3</v>
      </c>
      <c r="I420">
        <v>0.01</v>
      </c>
      <c r="J420">
        <v>5</v>
      </c>
      <c r="K420">
        <v>0</v>
      </c>
      <c r="L420" s="4">
        <v>0.47022566141152489</v>
      </c>
      <c r="M420" s="4">
        <v>0.52977433858847511</v>
      </c>
      <c r="N420">
        <v>1</v>
      </c>
    </row>
    <row r="421" spans="1:14" x14ac:dyDescent="0.35">
      <c r="A421" s="1">
        <v>304</v>
      </c>
      <c r="B421">
        <v>11</v>
      </c>
      <c r="C421">
        <v>41</v>
      </c>
      <c r="D421">
        <v>3</v>
      </c>
      <c r="E421">
        <v>0</v>
      </c>
      <c r="F421">
        <v>0</v>
      </c>
      <c r="G421">
        <v>2</v>
      </c>
      <c r="H421">
        <v>0</v>
      </c>
      <c r="I421">
        <v>5400</v>
      </c>
      <c r="J421">
        <v>1</v>
      </c>
      <c r="K421">
        <v>0</v>
      </c>
      <c r="L421" s="4">
        <v>0.47035050715523791</v>
      </c>
      <c r="M421" s="4">
        <v>0.52964949284476215</v>
      </c>
      <c r="N421">
        <v>1</v>
      </c>
    </row>
    <row r="422" spans="1:14" x14ac:dyDescent="0.35">
      <c r="A422" s="1">
        <v>2828</v>
      </c>
      <c r="B422">
        <v>11</v>
      </c>
      <c r="C422">
        <v>38</v>
      </c>
      <c r="D422">
        <v>3</v>
      </c>
      <c r="E422">
        <v>0</v>
      </c>
      <c r="F422">
        <v>0</v>
      </c>
      <c r="G422">
        <v>11</v>
      </c>
      <c r="H422">
        <v>3</v>
      </c>
      <c r="I422">
        <v>0.01</v>
      </c>
      <c r="J422">
        <v>8</v>
      </c>
      <c r="K422">
        <v>0</v>
      </c>
      <c r="L422" s="4">
        <v>0.47050587381246128</v>
      </c>
      <c r="M422" s="4">
        <v>0.52949412618753866</v>
      </c>
      <c r="N422">
        <v>1</v>
      </c>
    </row>
    <row r="423" spans="1:14" x14ac:dyDescent="0.35">
      <c r="A423" s="1">
        <v>28</v>
      </c>
      <c r="B423">
        <v>11</v>
      </c>
      <c r="C423">
        <v>33</v>
      </c>
      <c r="D423">
        <v>2</v>
      </c>
      <c r="E423">
        <v>1</v>
      </c>
      <c r="F423">
        <v>1</v>
      </c>
      <c r="G423">
        <v>12</v>
      </c>
      <c r="H423">
        <v>3</v>
      </c>
      <c r="I423">
        <v>0.01</v>
      </c>
      <c r="J423">
        <v>8</v>
      </c>
      <c r="K423">
        <v>0</v>
      </c>
      <c r="L423" s="4">
        <v>0.47105869252233562</v>
      </c>
      <c r="M423" s="4">
        <v>0.52894130747766444</v>
      </c>
      <c r="N423">
        <v>1</v>
      </c>
    </row>
    <row r="424" spans="1:14" x14ac:dyDescent="0.35">
      <c r="A424" s="1">
        <v>903</v>
      </c>
      <c r="B424">
        <v>9</v>
      </c>
      <c r="C424">
        <v>30</v>
      </c>
      <c r="D424">
        <v>3</v>
      </c>
      <c r="E424">
        <v>0</v>
      </c>
      <c r="F424">
        <v>3</v>
      </c>
      <c r="G424">
        <v>3</v>
      </c>
      <c r="H424">
        <v>2</v>
      </c>
      <c r="I424">
        <v>420</v>
      </c>
      <c r="J424">
        <v>7</v>
      </c>
      <c r="K424">
        <v>0</v>
      </c>
      <c r="L424" s="4">
        <v>0.47150224954503589</v>
      </c>
      <c r="M424" s="4">
        <v>0.52849775045496405</v>
      </c>
      <c r="N424">
        <v>1</v>
      </c>
    </row>
    <row r="425" spans="1:14" x14ac:dyDescent="0.35">
      <c r="A425" s="1">
        <v>1262</v>
      </c>
      <c r="B425">
        <v>9</v>
      </c>
      <c r="C425">
        <v>26</v>
      </c>
      <c r="D425">
        <v>1</v>
      </c>
      <c r="E425">
        <v>1</v>
      </c>
      <c r="F425">
        <v>3</v>
      </c>
      <c r="G425">
        <v>3</v>
      </c>
      <c r="H425">
        <v>2</v>
      </c>
      <c r="I425">
        <v>4000</v>
      </c>
      <c r="J425">
        <v>1</v>
      </c>
      <c r="K425">
        <v>0</v>
      </c>
      <c r="L425" s="4">
        <v>0.47252850825784298</v>
      </c>
      <c r="M425" s="4">
        <v>0.52747149174215702</v>
      </c>
      <c r="N425">
        <v>1</v>
      </c>
    </row>
    <row r="426" spans="1:14" x14ac:dyDescent="0.35">
      <c r="A426" s="1">
        <v>2871</v>
      </c>
      <c r="B426">
        <v>9</v>
      </c>
      <c r="C426">
        <v>32</v>
      </c>
      <c r="D426">
        <v>2</v>
      </c>
      <c r="E426">
        <v>0</v>
      </c>
      <c r="F426">
        <v>0</v>
      </c>
      <c r="G426">
        <v>4</v>
      </c>
      <c r="H426">
        <v>2</v>
      </c>
      <c r="I426">
        <v>100</v>
      </c>
      <c r="J426">
        <v>10</v>
      </c>
      <c r="K426">
        <v>1</v>
      </c>
      <c r="L426" s="4">
        <v>0.47422432197451259</v>
      </c>
      <c r="M426" s="4">
        <v>0.52577567802548741</v>
      </c>
      <c r="N426">
        <v>1</v>
      </c>
    </row>
    <row r="427" spans="1:14" x14ac:dyDescent="0.35">
      <c r="A427" s="1">
        <v>3721</v>
      </c>
      <c r="B427">
        <v>11</v>
      </c>
      <c r="C427">
        <v>42</v>
      </c>
      <c r="D427">
        <v>1</v>
      </c>
      <c r="E427">
        <v>0</v>
      </c>
      <c r="F427">
        <v>0</v>
      </c>
      <c r="G427">
        <v>4</v>
      </c>
      <c r="H427">
        <v>0</v>
      </c>
      <c r="I427">
        <v>6000</v>
      </c>
      <c r="J427">
        <v>2</v>
      </c>
      <c r="K427">
        <v>1</v>
      </c>
      <c r="L427" s="4">
        <v>0.47441199404600221</v>
      </c>
      <c r="M427" s="4">
        <v>0.52558800595399779</v>
      </c>
      <c r="N427">
        <v>1</v>
      </c>
    </row>
    <row r="428" spans="1:14" x14ac:dyDescent="0.35">
      <c r="A428" s="1">
        <v>2849</v>
      </c>
      <c r="B428">
        <v>15</v>
      </c>
      <c r="C428">
        <v>51</v>
      </c>
      <c r="D428">
        <v>3</v>
      </c>
      <c r="E428">
        <v>1</v>
      </c>
      <c r="F428">
        <v>0</v>
      </c>
      <c r="G428">
        <v>4</v>
      </c>
      <c r="H428">
        <v>2</v>
      </c>
      <c r="I428">
        <v>5000</v>
      </c>
      <c r="J428">
        <v>5</v>
      </c>
      <c r="K428">
        <v>0</v>
      </c>
      <c r="L428" s="4">
        <v>0.47455081695913942</v>
      </c>
      <c r="M428" s="4">
        <v>0.52544918304086063</v>
      </c>
      <c r="N428">
        <v>1</v>
      </c>
    </row>
    <row r="429" spans="1:14" x14ac:dyDescent="0.35">
      <c r="A429" s="1">
        <v>3178</v>
      </c>
      <c r="B429">
        <v>14</v>
      </c>
      <c r="C429">
        <v>46</v>
      </c>
      <c r="D429">
        <v>5</v>
      </c>
      <c r="E429">
        <v>1</v>
      </c>
      <c r="F429">
        <v>0</v>
      </c>
      <c r="G429">
        <v>4</v>
      </c>
      <c r="H429">
        <v>2</v>
      </c>
      <c r="I429">
        <v>3000</v>
      </c>
      <c r="J429">
        <v>3</v>
      </c>
      <c r="K429">
        <v>0</v>
      </c>
      <c r="L429" s="4">
        <v>0.4748614415716117</v>
      </c>
      <c r="M429" s="4">
        <v>0.5251385584283883</v>
      </c>
      <c r="N429">
        <v>1</v>
      </c>
    </row>
    <row r="430" spans="1:14" x14ac:dyDescent="0.35">
      <c r="A430" s="1">
        <v>911</v>
      </c>
      <c r="B430">
        <v>9</v>
      </c>
      <c r="C430">
        <v>33</v>
      </c>
      <c r="D430">
        <v>2</v>
      </c>
      <c r="E430">
        <v>0</v>
      </c>
      <c r="F430">
        <v>0</v>
      </c>
      <c r="G430">
        <v>10</v>
      </c>
      <c r="H430">
        <v>0</v>
      </c>
      <c r="I430">
        <v>6315</v>
      </c>
      <c r="J430">
        <v>4</v>
      </c>
      <c r="K430">
        <v>0</v>
      </c>
      <c r="L430" s="4">
        <v>0.47491854231132258</v>
      </c>
      <c r="M430" s="4">
        <v>0.52508145768867742</v>
      </c>
      <c r="N430">
        <v>1</v>
      </c>
    </row>
    <row r="431" spans="1:14" x14ac:dyDescent="0.35">
      <c r="A431" s="1">
        <v>1576</v>
      </c>
      <c r="B431">
        <v>14</v>
      </c>
      <c r="C431">
        <v>40</v>
      </c>
      <c r="D431">
        <v>3</v>
      </c>
      <c r="E431">
        <v>2</v>
      </c>
      <c r="F431">
        <v>3</v>
      </c>
      <c r="G431">
        <v>3</v>
      </c>
      <c r="H431">
        <v>3</v>
      </c>
      <c r="I431">
        <v>0.01</v>
      </c>
      <c r="J431">
        <v>9</v>
      </c>
      <c r="K431">
        <v>0</v>
      </c>
      <c r="L431" s="4">
        <v>0.47554675125296703</v>
      </c>
      <c r="M431" s="4">
        <v>0.52445324874703303</v>
      </c>
      <c r="N431">
        <v>1</v>
      </c>
    </row>
    <row r="432" spans="1:14" x14ac:dyDescent="0.35">
      <c r="A432" s="1">
        <v>4311</v>
      </c>
      <c r="B432">
        <v>13</v>
      </c>
      <c r="C432">
        <v>45</v>
      </c>
      <c r="D432">
        <v>5</v>
      </c>
      <c r="E432">
        <v>0</v>
      </c>
      <c r="F432">
        <v>2</v>
      </c>
      <c r="G432">
        <v>6</v>
      </c>
      <c r="H432">
        <v>3</v>
      </c>
      <c r="I432">
        <v>0.01</v>
      </c>
      <c r="J432">
        <v>4</v>
      </c>
      <c r="K432">
        <v>1</v>
      </c>
      <c r="L432" s="4">
        <v>0.47572325865371667</v>
      </c>
      <c r="M432" s="4">
        <v>0.52427674134628333</v>
      </c>
      <c r="N432">
        <v>1</v>
      </c>
    </row>
    <row r="433" spans="1:14" x14ac:dyDescent="0.35">
      <c r="A433" s="1">
        <v>1896</v>
      </c>
      <c r="B433">
        <v>14</v>
      </c>
      <c r="C433">
        <v>49</v>
      </c>
      <c r="D433">
        <v>1</v>
      </c>
      <c r="E433">
        <v>1</v>
      </c>
      <c r="F433">
        <v>0</v>
      </c>
      <c r="G433">
        <v>4</v>
      </c>
      <c r="H433">
        <v>1</v>
      </c>
      <c r="I433">
        <v>20278.84</v>
      </c>
      <c r="J433">
        <v>3</v>
      </c>
      <c r="K433">
        <v>0</v>
      </c>
      <c r="L433" s="4">
        <v>0.47572411737619108</v>
      </c>
      <c r="M433" s="4">
        <v>0.52427588262380886</v>
      </c>
      <c r="N433">
        <v>1</v>
      </c>
    </row>
    <row r="434" spans="1:14" x14ac:dyDescent="0.35">
      <c r="A434" s="1">
        <v>2188</v>
      </c>
      <c r="B434">
        <v>14</v>
      </c>
      <c r="C434">
        <v>51</v>
      </c>
      <c r="D434">
        <v>1</v>
      </c>
      <c r="E434">
        <v>0</v>
      </c>
      <c r="F434">
        <v>3</v>
      </c>
      <c r="G434">
        <v>8</v>
      </c>
      <c r="H434">
        <v>2</v>
      </c>
      <c r="I434">
        <v>1200</v>
      </c>
      <c r="J434">
        <v>8</v>
      </c>
      <c r="K434">
        <v>1</v>
      </c>
      <c r="L434" s="4">
        <v>0.47583153113540311</v>
      </c>
      <c r="M434" s="4">
        <v>0.52416846886459689</v>
      </c>
      <c r="N434">
        <v>1</v>
      </c>
    </row>
    <row r="435" spans="1:14" x14ac:dyDescent="0.35">
      <c r="A435" s="1">
        <v>3253</v>
      </c>
      <c r="B435">
        <v>10</v>
      </c>
      <c r="C435">
        <v>33</v>
      </c>
      <c r="D435">
        <v>5</v>
      </c>
      <c r="E435">
        <v>0</v>
      </c>
      <c r="F435">
        <v>3</v>
      </c>
      <c r="G435">
        <v>8</v>
      </c>
      <c r="H435">
        <v>2</v>
      </c>
      <c r="I435">
        <v>3.32</v>
      </c>
      <c r="J435">
        <v>5</v>
      </c>
      <c r="K435">
        <v>0</v>
      </c>
      <c r="L435" s="4">
        <v>0.47651321981258848</v>
      </c>
      <c r="M435" s="4">
        <v>0.52348678018741146</v>
      </c>
      <c r="N435">
        <v>1</v>
      </c>
    </row>
    <row r="436" spans="1:14" x14ac:dyDescent="0.35">
      <c r="A436" s="1">
        <v>3406</v>
      </c>
      <c r="B436">
        <v>11</v>
      </c>
      <c r="C436">
        <v>34</v>
      </c>
      <c r="D436">
        <v>2</v>
      </c>
      <c r="E436">
        <v>1</v>
      </c>
      <c r="F436">
        <v>1</v>
      </c>
      <c r="G436">
        <v>5</v>
      </c>
      <c r="H436">
        <v>3</v>
      </c>
      <c r="I436">
        <v>0.01</v>
      </c>
      <c r="J436">
        <v>5</v>
      </c>
      <c r="K436">
        <v>0</v>
      </c>
      <c r="L436" s="4">
        <v>0.47744228047245912</v>
      </c>
      <c r="M436" s="4">
        <v>0.52255771952754093</v>
      </c>
      <c r="N436">
        <v>1</v>
      </c>
    </row>
    <row r="437" spans="1:14" x14ac:dyDescent="0.35">
      <c r="A437" s="1">
        <v>135</v>
      </c>
      <c r="B437">
        <v>10</v>
      </c>
      <c r="C437">
        <v>35</v>
      </c>
      <c r="D437">
        <v>3</v>
      </c>
      <c r="E437">
        <v>0</v>
      </c>
      <c r="F437">
        <v>0</v>
      </c>
      <c r="G437">
        <v>4</v>
      </c>
      <c r="H437">
        <v>3</v>
      </c>
      <c r="I437">
        <v>0.01</v>
      </c>
      <c r="J437">
        <v>5</v>
      </c>
      <c r="K437">
        <v>0</v>
      </c>
      <c r="L437" s="4">
        <v>0.47764259729374398</v>
      </c>
      <c r="M437" s="4">
        <v>0.52235740270625597</v>
      </c>
      <c r="N437">
        <v>1</v>
      </c>
    </row>
    <row r="438" spans="1:14" x14ac:dyDescent="0.35">
      <c r="A438" s="1">
        <v>4239</v>
      </c>
      <c r="B438">
        <v>8</v>
      </c>
      <c r="C438">
        <v>28</v>
      </c>
      <c r="D438">
        <v>2</v>
      </c>
      <c r="E438">
        <v>0</v>
      </c>
      <c r="F438">
        <v>0</v>
      </c>
      <c r="G438">
        <v>4</v>
      </c>
      <c r="H438">
        <v>2</v>
      </c>
      <c r="I438">
        <v>600</v>
      </c>
      <c r="J438">
        <v>1</v>
      </c>
      <c r="K438">
        <v>0</v>
      </c>
      <c r="L438" s="4">
        <v>0.47766174740722661</v>
      </c>
      <c r="M438" s="4">
        <v>0.52233825259277344</v>
      </c>
      <c r="N438">
        <v>1</v>
      </c>
    </row>
    <row r="439" spans="1:14" x14ac:dyDescent="0.35">
      <c r="A439" s="1">
        <v>4246</v>
      </c>
      <c r="B439">
        <v>12</v>
      </c>
      <c r="C439">
        <v>36</v>
      </c>
      <c r="D439">
        <v>5</v>
      </c>
      <c r="E439">
        <v>1</v>
      </c>
      <c r="F439">
        <v>3</v>
      </c>
      <c r="G439">
        <v>3</v>
      </c>
      <c r="H439">
        <v>3</v>
      </c>
      <c r="I439">
        <v>0.01</v>
      </c>
      <c r="J439">
        <v>5</v>
      </c>
      <c r="K439">
        <v>0</v>
      </c>
      <c r="L439" s="4">
        <v>0.4777938188287757</v>
      </c>
      <c r="M439" s="4">
        <v>0.5222061811712243</v>
      </c>
      <c r="N439">
        <v>1</v>
      </c>
    </row>
    <row r="440" spans="1:14" x14ac:dyDescent="0.35">
      <c r="A440" s="1">
        <v>1815</v>
      </c>
      <c r="B440">
        <v>8</v>
      </c>
      <c r="C440">
        <v>27</v>
      </c>
      <c r="D440">
        <v>0</v>
      </c>
      <c r="E440">
        <v>0</v>
      </c>
      <c r="F440">
        <v>3</v>
      </c>
      <c r="G440">
        <v>3</v>
      </c>
      <c r="H440">
        <v>3</v>
      </c>
      <c r="I440">
        <v>0.01</v>
      </c>
      <c r="J440">
        <v>8</v>
      </c>
      <c r="K440">
        <v>1</v>
      </c>
      <c r="L440" s="4">
        <v>0.47840750301270119</v>
      </c>
      <c r="M440" s="4">
        <v>0.52159249698729881</v>
      </c>
      <c r="N440">
        <v>1</v>
      </c>
    </row>
    <row r="441" spans="1:14" x14ac:dyDescent="0.35">
      <c r="A441" s="1">
        <v>158</v>
      </c>
      <c r="B441">
        <v>11</v>
      </c>
      <c r="C441">
        <v>39</v>
      </c>
      <c r="D441">
        <v>2</v>
      </c>
      <c r="E441">
        <v>0</v>
      </c>
      <c r="F441">
        <v>3</v>
      </c>
      <c r="G441">
        <v>3</v>
      </c>
      <c r="H441">
        <v>2</v>
      </c>
      <c r="I441">
        <v>5000</v>
      </c>
      <c r="J441">
        <v>1</v>
      </c>
      <c r="K441">
        <v>1</v>
      </c>
      <c r="L441" s="4">
        <v>0.47852418291595161</v>
      </c>
      <c r="M441" s="4">
        <v>0.52147581708404844</v>
      </c>
      <c r="N441">
        <v>1</v>
      </c>
    </row>
    <row r="442" spans="1:14" x14ac:dyDescent="0.35">
      <c r="A442" s="1">
        <v>2385</v>
      </c>
      <c r="B442">
        <v>10</v>
      </c>
      <c r="C442">
        <v>33</v>
      </c>
      <c r="D442">
        <v>4</v>
      </c>
      <c r="E442">
        <v>0</v>
      </c>
      <c r="F442">
        <v>3</v>
      </c>
      <c r="G442">
        <v>8</v>
      </c>
      <c r="H442">
        <v>3</v>
      </c>
      <c r="I442">
        <v>0.01</v>
      </c>
      <c r="J442">
        <v>9</v>
      </c>
      <c r="K442">
        <v>0</v>
      </c>
      <c r="L442" s="4">
        <v>0.47965066527388461</v>
      </c>
      <c r="M442" s="4">
        <v>0.52034933472611544</v>
      </c>
      <c r="N442">
        <v>1</v>
      </c>
    </row>
    <row r="443" spans="1:14" x14ac:dyDescent="0.35">
      <c r="A443" s="1">
        <v>4140</v>
      </c>
      <c r="B443">
        <v>10</v>
      </c>
      <c r="C443">
        <v>34</v>
      </c>
      <c r="D443">
        <v>3</v>
      </c>
      <c r="E443">
        <v>0</v>
      </c>
      <c r="F443">
        <v>1</v>
      </c>
      <c r="G443">
        <v>12</v>
      </c>
      <c r="H443">
        <v>3</v>
      </c>
      <c r="I443">
        <v>0.01</v>
      </c>
      <c r="J443">
        <v>8</v>
      </c>
      <c r="K443">
        <v>0</v>
      </c>
      <c r="L443" s="4">
        <v>0.47971670458320281</v>
      </c>
      <c r="M443" s="4">
        <v>0.52028329541679719</v>
      </c>
      <c r="N443">
        <v>1</v>
      </c>
    </row>
    <row r="444" spans="1:14" x14ac:dyDescent="0.35">
      <c r="A444" s="1">
        <v>2727</v>
      </c>
      <c r="B444">
        <v>11</v>
      </c>
      <c r="C444">
        <v>33</v>
      </c>
      <c r="D444">
        <v>2</v>
      </c>
      <c r="E444">
        <v>1</v>
      </c>
      <c r="F444">
        <v>3</v>
      </c>
      <c r="G444">
        <v>8</v>
      </c>
      <c r="H444">
        <v>3</v>
      </c>
      <c r="I444">
        <v>0.01</v>
      </c>
      <c r="J444">
        <v>8</v>
      </c>
      <c r="K444">
        <v>0</v>
      </c>
      <c r="L444" s="4">
        <v>0.47976027031612312</v>
      </c>
      <c r="M444" s="4">
        <v>0.52023972968387688</v>
      </c>
      <c r="N444">
        <v>1</v>
      </c>
    </row>
    <row r="445" spans="1:14" x14ac:dyDescent="0.35">
      <c r="A445" s="1">
        <v>177</v>
      </c>
      <c r="B445">
        <v>13</v>
      </c>
      <c r="C445">
        <v>48</v>
      </c>
      <c r="D445">
        <v>4</v>
      </c>
      <c r="E445">
        <v>0</v>
      </c>
      <c r="F445">
        <v>3</v>
      </c>
      <c r="G445">
        <v>3</v>
      </c>
      <c r="H445">
        <v>0</v>
      </c>
      <c r="I445">
        <v>6000</v>
      </c>
      <c r="J445">
        <v>9</v>
      </c>
      <c r="K445">
        <v>0</v>
      </c>
      <c r="L445" s="4">
        <v>0.48022643245595309</v>
      </c>
      <c r="M445" s="4">
        <v>0.51977356754404691</v>
      </c>
      <c r="N445">
        <v>1</v>
      </c>
    </row>
    <row r="446" spans="1:14" x14ac:dyDescent="0.35">
      <c r="A446" s="1">
        <v>4112</v>
      </c>
      <c r="B446">
        <v>14</v>
      </c>
      <c r="C446">
        <v>51</v>
      </c>
      <c r="D446">
        <v>1</v>
      </c>
      <c r="E446">
        <v>0</v>
      </c>
      <c r="F446">
        <v>3</v>
      </c>
      <c r="G446">
        <v>3</v>
      </c>
      <c r="H446">
        <v>3</v>
      </c>
      <c r="I446">
        <v>0.01</v>
      </c>
      <c r="J446">
        <v>7</v>
      </c>
      <c r="K446">
        <v>0</v>
      </c>
      <c r="L446" s="4">
        <v>0.4807678328103222</v>
      </c>
      <c r="M446" s="4">
        <v>0.5192321671896778</v>
      </c>
      <c r="N446">
        <v>1</v>
      </c>
    </row>
    <row r="447" spans="1:14" x14ac:dyDescent="0.35">
      <c r="A447" s="1">
        <v>3320</v>
      </c>
      <c r="B447">
        <v>11</v>
      </c>
      <c r="C447">
        <v>38</v>
      </c>
      <c r="D447">
        <v>5</v>
      </c>
      <c r="E447">
        <v>0</v>
      </c>
      <c r="F447">
        <v>3</v>
      </c>
      <c r="G447">
        <v>3</v>
      </c>
      <c r="H447">
        <v>2</v>
      </c>
      <c r="I447">
        <v>250</v>
      </c>
      <c r="J447">
        <v>8</v>
      </c>
      <c r="K447">
        <v>1</v>
      </c>
      <c r="L447" s="4">
        <v>0.48286562188486631</v>
      </c>
      <c r="M447" s="4">
        <v>0.51713437811513374</v>
      </c>
      <c r="N447">
        <v>2</v>
      </c>
    </row>
    <row r="448" spans="1:14" x14ac:dyDescent="0.35">
      <c r="A448" s="1">
        <v>1424</v>
      </c>
      <c r="B448">
        <v>11</v>
      </c>
      <c r="C448">
        <v>32</v>
      </c>
      <c r="D448">
        <v>5</v>
      </c>
      <c r="E448">
        <v>1</v>
      </c>
      <c r="F448">
        <v>4</v>
      </c>
      <c r="G448">
        <v>9</v>
      </c>
      <c r="H448">
        <v>2</v>
      </c>
      <c r="I448">
        <v>420</v>
      </c>
      <c r="J448">
        <v>4</v>
      </c>
      <c r="K448">
        <v>0</v>
      </c>
      <c r="L448" s="4">
        <v>0.48303075989467331</v>
      </c>
      <c r="M448" s="4">
        <v>0.51696924010532674</v>
      </c>
      <c r="N448">
        <v>2</v>
      </c>
    </row>
    <row r="449" spans="1:14" x14ac:dyDescent="0.35">
      <c r="A449" s="1">
        <v>400</v>
      </c>
      <c r="B449">
        <v>10</v>
      </c>
      <c r="C449">
        <v>36</v>
      </c>
      <c r="D449">
        <v>2</v>
      </c>
      <c r="E449">
        <v>0</v>
      </c>
      <c r="F449">
        <v>1</v>
      </c>
      <c r="G449">
        <v>5</v>
      </c>
      <c r="H449">
        <v>2</v>
      </c>
      <c r="I449">
        <v>1100.01</v>
      </c>
      <c r="J449">
        <v>5</v>
      </c>
      <c r="K449">
        <v>0</v>
      </c>
      <c r="L449" s="4">
        <v>0.48313446871541949</v>
      </c>
      <c r="M449" s="4">
        <v>0.51686553128458046</v>
      </c>
      <c r="N449">
        <v>2</v>
      </c>
    </row>
    <row r="450" spans="1:14" x14ac:dyDescent="0.35">
      <c r="A450" s="1">
        <v>2513</v>
      </c>
      <c r="B450">
        <v>19</v>
      </c>
      <c r="C450">
        <v>74</v>
      </c>
      <c r="D450">
        <v>0</v>
      </c>
      <c r="E450">
        <v>0</v>
      </c>
      <c r="F450">
        <v>0</v>
      </c>
      <c r="G450">
        <v>4</v>
      </c>
      <c r="H450">
        <v>2</v>
      </c>
      <c r="I450">
        <v>4092.82</v>
      </c>
      <c r="J450">
        <v>6</v>
      </c>
      <c r="K450">
        <v>1</v>
      </c>
      <c r="L450" s="4">
        <v>0.48326563230690461</v>
      </c>
      <c r="M450" s="4">
        <v>0.51673436769309544</v>
      </c>
      <c r="N450">
        <v>2</v>
      </c>
    </row>
    <row r="451" spans="1:14" x14ac:dyDescent="0.35">
      <c r="A451" s="1">
        <v>3325</v>
      </c>
      <c r="B451">
        <v>11</v>
      </c>
      <c r="C451">
        <v>41</v>
      </c>
      <c r="D451">
        <v>1</v>
      </c>
      <c r="E451">
        <v>0</v>
      </c>
      <c r="F451">
        <v>0</v>
      </c>
      <c r="G451">
        <v>4</v>
      </c>
      <c r="H451">
        <v>2</v>
      </c>
      <c r="I451">
        <v>500</v>
      </c>
      <c r="J451">
        <v>1</v>
      </c>
      <c r="K451">
        <v>1</v>
      </c>
      <c r="L451" s="4">
        <v>0.48389420035725822</v>
      </c>
      <c r="M451" s="4">
        <v>0.51610579964274184</v>
      </c>
      <c r="N451">
        <v>2</v>
      </c>
    </row>
    <row r="452" spans="1:14" x14ac:dyDescent="0.35">
      <c r="A452" s="1">
        <v>849</v>
      </c>
      <c r="B452">
        <v>11</v>
      </c>
      <c r="C452">
        <v>29</v>
      </c>
      <c r="D452">
        <v>5</v>
      </c>
      <c r="E452">
        <v>2</v>
      </c>
      <c r="F452">
        <v>0</v>
      </c>
      <c r="G452">
        <v>11</v>
      </c>
      <c r="H452">
        <v>2</v>
      </c>
      <c r="I452">
        <v>4000</v>
      </c>
      <c r="J452">
        <v>6</v>
      </c>
      <c r="K452">
        <v>0</v>
      </c>
      <c r="L452" s="4">
        <v>0.48400372184110341</v>
      </c>
      <c r="M452" s="4">
        <v>0.51599627815889659</v>
      </c>
      <c r="N452">
        <v>2</v>
      </c>
    </row>
    <row r="453" spans="1:14" x14ac:dyDescent="0.35">
      <c r="A453" s="1">
        <v>3609</v>
      </c>
      <c r="B453">
        <v>14</v>
      </c>
      <c r="C453">
        <v>55</v>
      </c>
      <c r="D453">
        <v>2</v>
      </c>
      <c r="E453">
        <v>0</v>
      </c>
      <c r="F453">
        <v>0</v>
      </c>
      <c r="G453">
        <v>4</v>
      </c>
      <c r="H453">
        <v>0</v>
      </c>
      <c r="I453">
        <v>6061.26</v>
      </c>
      <c r="J453">
        <v>29</v>
      </c>
      <c r="K453">
        <v>1</v>
      </c>
      <c r="L453" s="4">
        <v>0.48504796044587217</v>
      </c>
      <c r="M453" s="4">
        <v>0.51495203955412783</v>
      </c>
      <c r="N453">
        <v>2</v>
      </c>
    </row>
    <row r="454" spans="1:14" x14ac:dyDescent="0.35">
      <c r="A454" s="1">
        <v>783</v>
      </c>
      <c r="B454">
        <v>14</v>
      </c>
      <c r="C454">
        <v>54</v>
      </c>
      <c r="D454">
        <v>3</v>
      </c>
      <c r="E454">
        <v>0</v>
      </c>
      <c r="F454">
        <v>0</v>
      </c>
      <c r="G454">
        <v>4</v>
      </c>
      <c r="H454">
        <v>0</v>
      </c>
      <c r="I454">
        <v>6000</v>
      </c>
      <c r="J454">
        <v>2</v>
      </c>
      <c r="K454">
        <v>0</v>
      </c>
      <c r="L454" s="4">
        <v>0.48527880802786949</v>
      </c>
      <c r="M454" s="4">
        <v>0.51472119197213051</v>
      </c>
      <c r="N454">
        <v>2</v>
      </c>
    </row>
    <row r="455" spans="1:14" x14ac:dyDescent="0.35">
      <c r="A455" s="1">
        <v>132</v>
      </c>
      <c r="B455">
        <v>12</v>
      </c>
      <c r="C455">
        <v>42</v>
      </c>
      <c r="D455">
        <v>5</v>
      </c>
      <c r="E455">
        <v>0</v>
      </c>
      <c r="F455">
        <v>1</v>
      </c>
      <c r="G455">
        <v>7</v>
      </c>
      <c r="H455">
        <v>3</v>
      </c>
      <c r="I455">
        <v>0.01</v>
      </c>
      <c r="J455">
        <v>5</v>
      </c>
      <c r="K455">
        <v>0</v>
      </c>
      <c r="L455" s="4">
        <v>0.48545201884864181</v>
      </c>
      <c r="M455" s="4">
        <v>0.51454798115135825</v>
      </c>
      <c r="N455">
        <v>2</v>
      </c>
    </row>
    <row r="456" spans="1:14" x14ac:dyDescent="0.35">
      <c r="A456" s="1">
        <v>1127</v>
      </c>
      <c r="B456">
        <v>8</v>
      </c>
      <c r="C456">
        <v>29</v>
      </c>
      <c r="D456">
        <v>1</v>
      </c>
      <c r="E456">
        <v>0</v>
      </c>
      <c r="F456">
        <v>0</v>
      </c>
      <c r="G456">
        <v>4</v>
      </c>
      <c r="H456">
        <v>2</v>
      </c>
      <c r="I456">
        <v>35</v>
      </c>
      <c r="J456">
        <v>3</v>
      </c>
      <c r="K456">
        <v>0</v>
      </c>
      <c r="L456" s="4">
        <v>0.48570360528097012</v>
      </c>
      <c r="M456" s="4">
        <v>0.51429639471902988</v>
      </c>
      <c r="N456">
        <v>2</v>
      </c>
    </row>
    <row r="457" spans="1:14" x14ac:dyDescent="0.35">
      <c r="A457" s="1">
        <v>3273</v>
      </c>
      <c r="B457">
        <v>9</v>
      </c>
      <c r="C457">
        <v>30</v>
      </c>
      <c r="D457">
        <v>5</v>
      </c>
      <c r="E457">
        <v>0</v>
      </c>
      <c r="F457">
        <v>2</v>
      </c>
      <c r="G457">
        <v>1</v>
      </c>
      <c r="H457">
        <v>3</v>
      </c>
      <c r="I457">
        <v>0.01</v>
      </c>
      <c r="J457">
        <v>5</v>
      </c>
      <c r="K457">
        <v>1</v>
      </c>
      <c r="L457" s="4">
        <v>0.48658942838938851</v>
      </c>
      <c r="M457" s="4">
        <v>0.51341057161061154</v>
      </c>
      <c r="N457">
        <v>2</v>
      </c>
    </row>
    <row r="458" spans="1:14" x14ac:dyDescent="0.35">
      <c r="A458" s="1">
        <v>3147</v>
      </c>
      <c r="B458">
        <v>12</v>
      </c>
      <c r="C458">
        <v>42</v>
      </c>
      <c r="D458">
        <v>4</v>
      </c>
      <c r="E458">
        <v>0</v>
      </c>
      <c r="F458">
        <v>3</v>
      </c>
      <c r="G458">
        <v>3</v>
      </c>
      <c r="H458">
        <v>3</v>
      </c>
      <c r="I458">
        <v>0.01</v>
      </c>
      <c r="J458">
        <v>8</v>
      </c>
      <c r="K458">
        <v>1</v>
      </c>
      <c r="L458" s="4">
        <v>0.48663458199560999</v>
      </c>
      <c r="M458" s="4">
        <v>0.51336541800438995</v>
      </c>
      <c r="N458">
        <v>2</v>
      </c>
    </row>
    <row r="459" spans="1:14" x14ac:dyDescent="0.35">
      <c r="A459" s="1">
        <v>4118</v>
      </c>
      <c r="B459">
        <v>10</v>
      </c>
      <c r="C459">
        <v>37</v>
      </c>
      <c r="D459">
        <v>0</v>
      </c>
      <c r="E459">
        <v>0</v>
      </c>
      <c r="F459">
        <v>1</v>
      </c>
      <c r="G459">
        <v>7</v>
      </c>
      <c r="H459">
        <v>2</v>
      </c>
      <c r="I459">
        <v>1261.03</v>
      </c>
      <c r="J459">
        <v>8</v>
      </c>
      <c r="K459">
        <v>1</v>
      </c>
      <c r="L459" s="4">
        <v>0.48673941379824498</v>
      </c>
      <c r="M459" s="4">
        <v>0.51326058620175496</v>
      </c>
      <c r="N459">
        <v>2</v>
      </c>
    </row>
    <row r="460" spans="1:14" x14ac:dyDescent="0.35">
      <c r="A460" s="1">
        <v>2444</v>
      </c>
      <c r="B460">
        <v>14</v>
      </c>
      <c r="C460">
        <v>53</v>
      </c>
      <c r="D460">
        <v>2</v>
      </c>
      <c r="E460">
        <v>0</v>
      </c>
      <c r="F460">
        <v>3</v>
      </c>
      <c r="G460">
        <v>8</v>
      </c>
      <c r="H460">
        <v>0</v>
      </c>
      <c r="I460">
        <v>7600.02</v>
      </c>
      <c r="J460">
        <v>11</v>
      </c>
      <c r="K460">
        <v>0</v>
      </c>
      <c r="L460" s="4">
        <v>0.48693060373714442</v>
      </c>
      <c r="M460" s="4">
        <v>0.51306939626285564</v>
      </c>
      <c r="N460">
        <v>2</v>
      </c>
    </row>
    <row r="461" spans="1:14" x14ac:dyDescent="0.35">
      <c r="A461" s="1">
        <v>2488</v>
      </c>
      <c r="B461">
        <v>9</v>
      </c>
      <c r="C461">
        <v>31</v>
      </c>
      <c r="D461">
        <v>3</v>
      </c>
      <c r="E461">
        <v>0</v>
      </c>
      <c r="F461">
        <v>3</v>
      </c>
      <c r="G461">
        <v>3</v>
      </c>
      <c r="H461">
        <v>2</v>
      </c>
      <c r="I461">
        <v>3500</v>
      </c>
      <c r="J461">
        <v>1</v>
      </c>
      <c r="K461">
        <v>0</v>
      </c>
      <c r="L461" s="4">
        <v>0.48720445923735911</v>
      </c>
      <c r="M461" s="4">
        <v>0.51279554076264089</v>
      </c>
      <c r="N461">
        <v>2</v>
      </c>
    </row>
    <row r="462" spans="1:14" x14ac:dyDescent="0.35">
      <c r="A462" s="1">
        <v>1912</v>
      </c>
      <c r="B462">
        <v>10</v>
      </c>
      <c r="C462">
        <v>38</v>
      </c>
      <c r="D462">
        <v>0</v>
      </c>
      <c r="E462">
        <v>0</v>
      </c>
      <c r="F462">
        <v>3</v>
      </c>
      <c r="G462">
        <v>3</v>
      </c>
      <c r="H462">
        <v>0</v>
      </c>
      <c r="I462">
        <v>5089.7</v>
      </c>
      <c r="J462">
        <v>6</v>
      </c>
      <c r="K462">
        <v>0</v>
      </c>
      <c r="L462" s="4">
        <v>0.48759976439546981</v>
      </c>
      <c r="M462" s="4">
        <v>0.51240023560453019</v>
      </c>
      <c r="N462">
        <v>2</v>
      </c>
    </row>
    <row r="463" spans="1:14" x14ac:dyDescent="0.35">
      <c r="A463" s="1">
        <v>262</v>
      </c>
      <c r="B463">
        <v>11</v>
      </c>
      <c r="C463">
        <v>41</v>
      </c>
      <c r="D463">
        <v>4</v>
      </c>
      <c r="E463">
        <v>0</v>
      </c>
      <c r="F463">
        <v>1</v>
      </c>
      <c r="G463">
        <v>5</v>
      </c>
      <c r="H463">
        <v>0</v>
      </c>
      <c r="I463">
        <v>6000</v>
      </c>
      <c r="J463">
        <v>1</v>
      </c>
      <c r="K463">
        <v>1</v>
      </c>
      <c r="L463" s="4">
        <v>0.48787525613484412</v>
      </c>
      <c r="M463" s="4">
        <v>0.51212474386515594</v>
      </c>
      <c r="N463">
        <v>2</v>
      </c>
    </row>
    <row r="464" spans="1:14" x14ac:dyDescent="0.35">
      <c r="A464" s="1">
        <v>3634</v>
      </c>
      <c r="B464">
        <v>12</v>
      </c>
      <c r="C464">
        <v>43</v>
      </c>
      <c r="D464">
        <v>2</v>
      </c>
      <c r="E464">
        <v>0</v>
      </c>
      <c r="F464">
        <v>3</v>
      </c>
      <c r="G464">
        <v>3</v>
      </c>
      <c r="H464">
        <v>3</v>
      </c>
      <c r="I464">
        <v>0.01</v>
      </c>
      <c r="J464">
        <v>9</v>
      </c>
      <c r="K464">
        <v>1</v>
      </c>
      <c r="L464" s="4">
        <v>0.48820448563059909</v>
      </c>
      <c r="M464" s="4">
        <v>0.51179551436940085</v>
      </c>
      <c r="N464">
        <v>2</v>
      </c>
    </row>
    <row r="465" spans="1:14" x14ac:dyDescent="0.35">
      <c r="A465" s="1">
        <v>4126</v>
      </c>
      <c r="B465">
        <v>10</v>
      </c>
      <c r="C465">
        <v>33</v>
      </c>
      <c r="D465">
        <v>4</v>
      </c>
      <c r="E465">
        <v>0</v>
      </c>
      <c r="F465">
        <v>4</v>
      </c>
      <c r="G465">
        <v>9</v>
      </c>
      <c r="H465">
        <v>3</v>
      </c>
      <c r="I465">
        <v>0.01</v>
      </c>
      <c r="J465">
        <v>8</v>
      </c>
      <c r="K465">
        <v>1</v>
      </c>
      <c r="L465" s="4">
        <v>0.48844128313715629</v>
      </c>
      <c r="M465" s="4">
        <v>0.51155871686284371</v>
      </c>
      <c r="N465">
        <v>2</v>
      </c>
    </row>
    <row r="466" spans="1:14" x14ac:dyDescent="0.35">
      <c r="A466" s="1">
        <v>604</v>
      </c>
      <c r="B466">
        <v>12</v>
      </c>
      <c r="C466">
        <v>43</v>
      </c>
      <c r="D466">
        <v>5</v>
      </c>
      <c r="E466">
        <v>0</v>
      </c>
      <c r="F466">
        <v>0</v>
      </c>
      <c r="G466">
        <v>4</v>
      </c>
      <c r="H466">
        <v>3</v>
      </c>
      <c r="I466">
        <v>0.01</v>
      </c>
      <c r="J466">
        <v>5</v>
      </c>
      <c r="K466">
        <v>0</v>
      </c>
      <c r="L466" s="4">
        <v>0.48926969271243381</v>
      </c>
      <c r="M466" s="4">
        <v>0.51073030728756619</v>
      </c>
      <c r="N466">
        <v>2</v>
      </c>
    </row>
    <row r="467" spans="1:14" x14ac:dyDescent="0.35">
      <c r="A467" s="1">
        <v>2207</v>
      </c>
      <c r="B467">
        <v>12</v>
      </c>
      <c r="C467">
        <v>44</v>
      </c>
      <c r="D467">
        <v>2</v>
      </c>
      <c r="E467">
        <v>0</v>
      </c>
      <c r="F467">
        <v>1</v>
      </c>
      <c r="G467">
        <v>12</v>
      </c>
      <c r="H467">
        <v>2</v>
      </c>
      <c r="I467">
        <v>1634.7</v>
      </c>
      <c r="J467">
        <v>5</v>
      </c>
      <c r="K467">
        <v>1</v>
      </c>
      <c r="L467" s="4">
        <v>0.49100933280835152</v>
      </c>
      <c r="M467" s="4">
        <v>0.50899066719164854</v>
      </c>
      <c r="N467">
        <v>2</v>
      </c>
    </row>
    <row r="468" spans="1:14" x14ac:dyDescent="0.35">
      <c r="A468" s="1">
        <v>2642</v>
      </c>
      <c r="B468">
        <v>13</v>
      </c>
      <c r="C468">
        <v>48</v>
      </c>
      <c r="D468">
        <v>2</v>
      </c>
      <c r="E468">
        <v>0</v>
      </c>
      <c r="F468">
        <v>1</v>
      </c>
      <c r="G468">
        <v>5</v>
      </c>
      <c r="H468">
        <v>3</v>
      </c>
      <c r="I468">
        <v>0.01</v>
      </c>
      <c r="J468">
        <v>8</v>
      </c>
      <c r="K468">
        <v>1</v>
      </c>
      <c r="L468" s="4">
        <v>0.49134476610268413</v>
      </c>
      <c r="M468" s="4">
        <v>0.50865523389731593</v>
      </c>
      <c r="N468">
        <v>2</v>
      </c>
    </row>
    <row r="469" spans="1:14" x14ac:dyDescent="0.35">
      <c r="A469" s="1">
        <v>294</v>
      </c>
      <c r="B469">
        <v>16</v>
      </c>
      <c r="C469">
        <v>54</v>
      </c>
      <c r="D469">
        <v>3</v>
      </c>
      <c r="E469">
        <v>1</v>
      </c>
      <c r="F469">
        <v>3</v>
      </c>
      <c r="G469">
        <v>3</v>
      </c>
      <c r="H469">
        <v>3</v>
      </c>
      <c r="I469">
        <v>0.01</v>
      </c>
      <c r="J469">
        <v>5</v>
      </c>
      <c r="K469">
        <v>0</v>
      </c>
      <c r="L469" s="4">
        <v>0.49169379121764512</v>
      </c>
      <c r="M469" s="4">
        <v>0.50830620878235488</v>
      </c>
      <c r="N469">
        <v>2</v>
      </c>
    </row>
    <row r="470" spans="1:14" x14ac:dyDescent="0.35">
      <c r="A470" s="1">
        <v>2320</v>
      </c>
      <c r="B470">
        <v>9</v>
      </c>
      <c r="C470">
        <v>33</v>
      </c>
      <c r="D470">
        <v>3</v>
      </c>
      <c r="E470">
        <v>0</v>
      </c>
      <c r="F470">
        <v>3</v>
      </c>
      <c r="G470">
        <v>3</v>
      </c>
      <c r="H470">
        <v>0</v>
      </c>
      <c r="I470">
        <v>9464.85</v>
      </c>
      <c r="J470">
        <v>1</v>
      </c>
      <c r="K470">
        <v>1</v>
      </c>
      <c r="L470" s="4">
        <v>0.492880558831997</v>
      </c>
      <c r="M470" s="4">
        <v>0.507119441168003</v>
      </c>
      <c r="N470">
        <v>2</v>
      </c>
    </row>
    <row r="471" spans="1:14" x14ac:dyDescent="0.35">
      <c r="A471" s="1">
        <v>4343</v>
      </c>
      <c r="B471">
        <v>11</v>
      </c>
      <c r="C471">
        <v>39</v>
      </c>
      <c r="D471">
        <v>4</v>
      </c>
      <c r="E471">
        <v>0</v>
      </c>
      <c r="F471">
        <v>2</v>
      </c>
      <c r="G471">
        <v>1</v>
      </c>
      <c r="H471">
        <v>3</v>
      </c>
      <c r="I471">
        <v>0.01</v>
      </c>
      <c r="J471">
        <v>5</v>
      </c>
      <c r="K471">
        <v>1</v>
      </c>
      <c r="L471" s="4">
        <v>0.49354348302786738</v>
      </c>
      <c r="M471" s="4">
        <v>0.50645651697213256</v>
      </c>
      <c r="N471">
        <v>2</v>
      </c>
    </row>
    <row r="472" spans="1:14" x14ac:dyDescent="0.35">
      <c r="A472" s="1">
        <v>4392</v>
      </c>
      <c r="B472">
        <v>11</v>
      </c>
      <c r="C472">
        <v>42</v>
      </c>
      <c r="D472">
        <v>1</v>
      </c>
      <c r="E472">
        <v>0</v>
      </c>
      <c r="F472">
        <v>3</v>
      </c>
      <c r="G472">
        <v>3</v>
      </c>
      <c r="H472">
        <v>0</v>
      </c>
      <c r="I472">
        <v>6000</v>
      </c>
      <c r="J472">
        <v>4</v>
      </c>
      <c r="K472">
        <v>0</v>
      </c>
      <c r="L472" s="4">
        <v>0.49369359030606802</v>
      </c>
      <c r="M472" s="4">
        <v>0.50630640969393204</v>
      </c>
      <c r="N472">
        <v>2</v>
      </c>
    </row>
    <row r="473" spans="1:14" x14ac:dyDescent="0.35">
      <c r="A473" s="1">
        <v>877</v>
      </c>
      <c r="B473">
        <v>13</v>
      </c>
      <c r="C473">
        <v>51</v>
      </c>
      <c r="D473">
        <v>2</v>
      </c>
      <c r="E473">
        <v>0</v>
      </c>
      <c r="F473">
        <v>0</v>
      </c>
      <c r="G473">
        <v>4</v>
      </c>
      <c r="H473">
        <v>0</v>
      </c>
      <c r="I473">
        <v>6300</v>
      </c>
      <c r="J473">
        <v>3</v>
      </c>
      <c r="K473">
        <v>1</v>
      </c>
      <c r="L473" s="4">
        <v>0.49405594084537457</v>
      </c>
      <c r="M473" s="4">
        <v>0.50594405915462537</v>
      </c>
      <c r="N473">
        <v>2</v>
      </c>
    </row>
    <row r="474" spans="1:14" x14ac:dyDescent="0.35">
      <c r="A474" s="1">
        <v>3310</v>
      </c>
      <c r="B474">
        <v>9</v>
      </c>
      <c r="C474">
        <v>33</v>
      </c>
      <c r="D474">
        <v>3</v>
      </c>
      <c r="E474">
        <v>0</v>
      </c>
      <c r="F474">
        <v>0</v>
      </c>
      <c r="G474">
        <v>4</v>
      </c>
      <c r="H474">
        <v>2</v>
      </c>
      <c r="I474">
        <v>100</v>
      </c>
      <c r="J474">
        <v>9</v>
      </c>
      <c r="K474">
        <v>1</v>
      </c>
      <c r="L474" s="4">
        <v>0.49614181161439008</v>
      </c>
      <c r="M474" s="4">
        <v>0.50385818838560992</v>
      </c>
      <c r="N474">
        <v>2</v>
      </c>
    </row>
    <row r="475" spans="1:14" x14ac:dyDescent="0.35">
      <c r="A475" s="1">
        <v>3880</v>
      </c>
      <c r="B475">
        <v>8</v>
      </c>
      <c r="C475">
        <v>26</v>
      </c>
      <c r="D475">
        <v>5</v>
      </c>
      <c r="E475">
        <v>0</v>
      </c>
      <c r="F475">
        <v>3</v>
      </c>
      <c r="G475">
        <v>3</v>
      </c>
      <c r="H475">
        <v>3</v>
      </c>
      <c r="I475">
        <v>0.01</v>
      </c>
      <c r="J475">
        <v>8</v>
      </c>
      <c r="K475">
        <v>0</v>
      </c>
      <c r="L475" s="4">
        <v>0.49622882533446089</v>
      </c>
      <c r="M475" s="4">
        <v>0.50377117466553911</v>
      </c>
      <c r="N475">
        <v>2</v>
      </c>
    </row>
    <row r="476" spans="1:14" x14ac:dyDescent="0.35">
      <c r="A476" s="1">
        <v>3579</v>
      </c>
      <c r="B476">
        <v>15</v>
      </c>
      <c r="C476">
        <v>59</v>
      </c>
      <c r="D476">
        <v>3</v>
      </c>
      <c r="E476">
        <v>0</v>
      </c>
      <c r="F476">
        <v>0</v>
      </c>
      <c r="G476">
        <v>2</v>
      </c>
      <c r="H476">
        <v>1</v>
      </c>
      <c r="I476">
        <v>30554.14</v>
      </c>
      <c r="J476">
        <v>3</v>
      </c>
      <c r="K476">
        <v>0</v>
      </c>
      <c r="L476" s="4">
        <v>0.49760871665492612</v>
      </c>
      <c r="M476" s="4">
        <v>0.50239128334507388</v>
      </c>
      <c r="N476">
        <v>2</v>
      </c>
    </row>
    <row r="477" spans="1:14" x14ac:dyDescent="0.35">
      <c r="A477" s="1">
        <v>3345</v>
      </c>
      <c r="B477">
        <v>15</v>
      </c>
      <c r="C477">
        <v>51</v>
      </c>
      <c r="D477">
        <v>5</v>
      </c>
      <c r="E477">
        <v>1</v>
      </c>
      <c r="F477">
        <v>0</v>
      </c>
      <c r="G477">
        <v>2</v>
      </c>
      <c r="H477">
        <v>3</v>
      </c>
      <c r="I477">
        <v>0.01</v>
      </c>
      <c r="J477">
        <v>5</v>
      </c>
      <c r="K477">
        <v>1</v>
      </c>
      <c r="L477" s="4">
        <v>0.49795221650983051</v>
      </c>
      <c r="M477" s="4">
        <v>0.50204778349016954</v>
      </c>
      <c r="N477">
        <v>2</v>
      </c>
    </row>
    <row r="478" spans="1:14" x14ac:dyDescent="0.35">
      <c r="A478" s="1">
        <v>3554</v>
      </c>
      <c r="B478">
        <v>10</v>
      </c>
      <c r="C478">
        <v>39</v>
      </c>
      <c r="D478">
        <v>1</v>
      </c>
      <c r="E478">
        <v>0</v>
      </c>
      <c r="F478">
        <v>2</v>
      </c>
      <c r="G478">
        <v>1</v>
      </c>
      <c r="H478">
        <v>0</v>
      </c>
      <c r="I478">
        <v>10000</v>
      </c>
      <c r="J478">
        <v>3</v>
      </c>
      <c r="K478">
        <v>1</v>
      </c>
      <c r="L478" s="4">
        <v>0.49835121607377708</v>
      </c>
      <c r="M478" s="4">
        <v>0.50164878392622292</v>
      </c>
      <c r="N478">
        <v>2</v>
      </c>
    </row>
    <row r="479" spans="1:14" x14ac:dyDescent="0.35">
      <c r="A479" s="1">
        <v>4029</v>
      </c>
      <c r="B479">
        <v>11</v>
      </c>
      <c r="C479">
        <v>39</v>
      </c>
      <c r="D479">
        <v>5</v>
      </c>
      <c r="E479">
        <v>0</v>
      </c>
      <c r="F479">
        <v>3</v>
      </c>
      <c r="G479">
        <v>3</v>
      </c>
      <c r="H479">
        <v>2</v>
      </c>
      <c r="I479">
        <v>2180</v>
      </c>
      <c r="J479">
        <v>4</v>
      </c>
      <c r="K479">
        <v>0</v>
      </c>
      <c r="L479" s="4">
        <v>0.49840995111877961</v>
      </c>
      <c r="M479" s="4">
        <v>0.50159004888122039</v>
      </c>
      <c r="N479">
        <v>2</v>
      </c>
    </row>
    <row r="480" spans="1:14" x14ac:dyDescent="0.35">
      <c r="A480" s="1">
        <v>1415</v>
      </c>
      <c r="B480">
        <v>13</v>
      </c>
      <c r="C480">
        <v>47</v>
      </c>
      <c r="D480">
        <v>5</v>
      </c>
      <c r="E480">
        <v>0</v>
      </c>
      <c r="F480">
        <v>3</v>
      </c>
      <c r="G480">
        <v>3</v>
      </c>
      <c r="H480">
        <v>2</v>
      </c>
      <c r="I480">
        <v>50</v>
      </c>
      <c r="J480">
        <v>1</v>
      </c>
      <c r="K480">
        <v>0</v>
      </c>
      <c r="L480" s="4">
        <v>0.49872086099804902</v>
      </c>
      <c r="M480" s="4">
        <v>0.50127913900195098</v>
      </c>
      <c r="N480">
        <v>2</v>
      </c>
    </row>
    <row r="481" spans="1:14" x14ac:dyDescent="0.35">
      <c r="A481" s="1">
        <v>989</v>
      </c>
      <c r="B481">
        <v>13</v>
      </c>
      <c r="C481">
        <v>49</v>
      </c>
      <c r="D481">
        <v>4</v>
      </c>
      <c r="E481">
        <v>0</v>
      </c>
      <c r="F481">
        <v>0</v>
      </c>
      <c r="G481">
        <v>4</v>
      </c>
      <c r="H481">
        <v>2</v>
      </c>
      <c r="I481">
        <v>500</v>
      </c>
      <c r="J481">
        <v>9</v>
      </c>
      <c r="K481">
        <v>0</v>
      </c>
      <c r="L481" s="4">
        <v>0.49953448988779248</v>
      </c>
      <c r="M481" s="4">
        <v>0.50046551011220752</v>
      </c>
      <c r="N481">
        <v>2</v>
      </c>
    </row>
    <row r="482" spans="1:14" x14ac:dyDescent="0.35">
      <c r="A482" s="1">
        <v>2370</v>
      </c>
      <c r="B482">
        <v>11</v>
      </c>
      <c r="C482">
        <v>40</v>
      </c>
      <c r="D482">
        <v>3</v>
      </c>
      <c r="E482">
        <v>0</v>
      </c>
      <c r="F482">
        <v>3</v>
      </c>
      <c r="G482">
        <v>3</v>
      </c>
      <c r="H482">
        <v>2</v>
      </c>
      <c r="I482">
        <v>750</v>
      </c>
      <c r="J482">
        <v>8</v>
      </c>
      <c r="K482">
        <v>1</v>
      </c>
      <c r="L482" s="4">
        <v>0.49959306921761842</v>
      </c>
      <c r="M482" s="4">
        <v>0.50040693078238163</v>
      </c>
      <c r="N482">
        <v>2</v>
      </c>
    </row>
    <row r="483" spans="1:14" x14ac:dyDescent="0.35">
      <c r="A483" s="1">
        <v>3647</v>
      </c>
      <c r="B483">
        <v>12</v>
      </c>
      <c r="C483">
        <v>45</v>
      </c>
      <c r="D483">
        <v>2</v>
      </c>
      <c r="E483">
        <v>0</v>
      </c>
      <c r="F483">
        <v>0</v>
      </c>
      <c r="G483">
        <v>4</v>
      </c>
      <c r="H483">
        <v>3</v>
      </c>
      <c r="I483">
        <v>0.01</v>
      </c>
      <c r="J483">
        <v>4</v>
      </c>
      <c r="K483">
        <v>0</v>
      </c>
      <c r="L483" s="4">
        <v>0.49994925678588797</v>
      </c>
      <c r="M483" s="4">
        <v>0.50005074321411203</v>
      </c>
      <c r="N483">
        <v>2</v>
      </c>
    </row>
    <row r="484" spans="1:14" x14ac:dyDescent="0.35">
      <c r="A484" s="1">
        <v>2045</v>
      </c>
      <c r="B484">
        <v>13</v>
      </c>
      <c r="C484">
        <v>51</v>
      </c>
      <c r="D484">
        <v>0</v>
      </c>
      <c r="E484">
        <v>0</v>
      </c>
      <c r="F484">
        <v>3</v>
      </c>
      <c r="G484">
        <v>3</v>
      </c>
      <c r="H484">
        <v>0</v>
      </c>
      <c r="I484">
        <v>6000</v>
      </c>
      <c r="J484">
        <v>6</v>
      </c>
      <c r="K484">
        <v>1</v>
      </c>
      <c r="L484" s="4">
        <v>0.50000763856513641</v>
      </c>
      <c r="M484" s="4">
        <v>0.49999236143486347</v>
      </c>
      <c r="N484">
        <v>2</v>
      </c>
    </row>
    <row r="485" spans="1:14" x14ac:dyDescent="0.35">
      <c r="A485" s="1">
        <v>3445</v>
      </c>
      <c r="B485">
        <v>14</v>
      </c>
      <c r="C485">
        <v>54</v>
      </c>
      <c r="D485">
        <v>2</v>
      </c>
      <c r="E485">
        <v>0</v>
      </c>
      <c r="F485">
        <v>3</v>
      </c>
      <c r="G485">
        <v>8</v>
      </c>
      <c r="H485">
        <v>0</v>
      </c>
      <c r="I485">
        <v>16000</v>
      </c>
      <c r="J485">
        <v>6</v>
      </c>
      <c r="K485">
        <v>0</v>
      </c>
      <c r="L485" s="4">
        <v>0.50019375030018143</v>
      </c>
      <c r="M485" s="4">
        <v>0.49980624969981863</v>
      </c>
      <c r="N485">
        <v>2</v>
      </c>
    </row>
    <row r="486" spans="1:14" x14ac:dyDescent="0.35">
      <c r="A486" s="1">
        <v>4144</v>
      </c>
      <c r="B486">
        <v>12</v>
      </c>
      <c r="C486">
        <v>44</v>
      </c>
      <c r="D486">
        <v>5</v>
      </c>
      <c r="E486">
        <v>0</v>
      </c>
      <c r="F486">
        <v>0</v>
      </c>
      <c r="G486">
        <v>2</v>
      </c>
      <c r="H486">
        <v>3</v>
      </c>
      <c r="I486">
        <v>0.01</v>
      </c>
      <c r="J486">
        <v>8</v>
      </c>
      <c r="K486">
        <v>1</v>
      </c>
      <c r="L486" s="4">
        <v>0.50060292259808259</v>
      </c>
      <c r="M486" s="4">
        <v>0.49939707740191752</v>
      </c>
      <c r="N486">
        <v>2</v>
      </c>
    </row>
    <row r="487" spans="1:14" x14ac:dyDescent="0.35">
      <c r="A487" s="1">
        <v>4130</v>
      </c>
      <c r="B487">
        <v>13</v>
      </c>
      <c r="C487">
        <v>43</v>
      </c>
      <c r="D487">
        <v>4</v>
      </c>
      <c r="E487">
        <v>1</v>
      </c>
      <c r="F487">
        <v>1</v>
      </c>
      <c r="G487">
        <v>12</v>
      </c>
      <c r="H487">
        <v>2</v>
      </c>
      <c r="I487">
        <v>50</v>
      </c>
      <c r="J487">
        <v>11</v>
      </c>
      <c r="K487">
        <v>0</v>
      </c>
      <c r="L487" s="4">
        <v>0.50076669840853394</v>
      </c>
      <c r="M487" s="4">
        <v>0.49923330159146601</v>
      </c>
      <c r="N487">
        <v>2</v>
      </c>
    </row>
    <row r="488" spans="1:14" x14ac:dyDescent="0.35">
      <c r="A488" s="1">
        <v>1606</v>
      </c>
      <c r="B488">
        <v>10</v>
      </c>
      <c r="C488">
        <v>35</v>
      </c>
      <c r="D488">
        <v>5</v>
      </c>
      <c r="E488">
        <v>0</v>
      </c>
      <c r="F488">
        <v>2</v>
      </c>
      <c r="G488">
        <v>1</v>
      </c>
      <c r="H488">
        <v>3</v>
      </c>
      <c r="I488">
        <v>0.01</v>
      </c>
      <c r="J488">
        <v>4</v>
      </c>
      <c r="K488">
        <v>0</v>
      </c>
      <c r="L488" s="4">
        <v>0.50119543938400724</v>
      </c>
      <c r="M488" s="4">
        <v>0.49880456061599271</v>
      </c>
      <c r="N488">
        <v>2</v>
      </c>
    </row>
    <row r="489" spans="1:14" x14ac:dyDescent="0.35">
      <c r="A489" s="1">
        <v>1996</v>
      </c>
      <c r="B489">
        <v>12</v>
      </c>
      <c r="C489">
        <v>38</v>
      </c>
      <c r="D489">
        <v>4</v>
      </c>
      <c r="E489">
        <v>1</v>
      </c>
      <c r="F489">
        <v>3</v>
      </c>
      <c r="G489">
        <v>3</v>
      </c>
      <c r="H489">
        <v>3</v>
      </c>
      <c r="I489">
        <v>0.01</v>
      </c>
      <c r="J489">
        <v>4</v>
      </c>
      <c r="K489">
        <v>1</v>
      </c>
      <c r="L489" s="4">
        <v>0.5016116430489963</v>
      </c>
      <c r="M489" s="4">
        <v>0.49838835695100381</v>
      </c>
      <c r="N489">
        <v>2</v>
      </c>
    </row>
    <row r="490" spans="1:14" x14ac:dyDescent="0.35">
      <c r="A490" s="1">
        <v>303</v>
      </c>
      <c r="B490">
        <v>8</v>
      </c>
      <c r="C490">
        <v>28</v>
      </c>
      <c r="D490">
        <v>3</v>
      </c>
      <c r="E490">
        <v>0</v>
      </c>
      <c r="F490">
        <v>3</v>
      </c>
      <c r="G490">
        <v>3</v>
      </c>
      <c r="H490">
        <v>2</v>
      </c>
      <c r="I490">
        <v>25</v>
      </c>
      <c r="J490">
        <v>6</v>
      </c>
      <c r="K490">
        <v>1</v>
      </c>
      <c r="L490" s="4">
        <v>0.50279391199860435</v>
      </c>
      <c r="M490" s="4">
        <v>0.49720608800139571</v>
      </c>
      <c r="N490">
        <v>2</v>
      </c>
    </row>
    <row r="491" spans="1:14" x14ac:dyDescent="0.35">
      <c r="A491" s="1">
        <v>3960</v>
      </c>
      <c r="B491">
        <v>15</v>
      </c>
      <c r="C491">
        <v>60</v>
      </c>
      <c r="D491">
        <v>2</v>
      </c>
      <c r="E491">
        <v>0</v>
      </c>
      <c r="F491">
        <v>0</v>
      </c>
      <c r="G491">
        <v>4</v>
      </c>
      <c r="H491">
        <v>0</v>
      </c>
      <c r="I491">
        <v>15250</v>
      </c>
      <c r="J491">
        <v>4</v>
      </c>
      <c r="K491">
        <v>0</v>
      </c>
      <c r="L491" s="4">
        <v>0.50366170586592107</v>
      </c>
      <c r="M491" s="4">
        <v>0.49633829413407887</v>
      </c>
      <c r="N491">
        <v>2</v>
      </c>
    </row>
    <row r="492" spans="1:14" x14ac:dyDescent="0.35">
      <c r="A492" s="1">
        <v>4433</v>
      </c>
      <c r="B492">
        <v>10</v>
      </c>
      <c r="C492">
        <v>35</v>
      </c>
      <c r="D492">
        <v>3</v>
      </c>
      <c r="E492">
        <v>0</v>
      </c>
      <c r="F492">
        <v>3</v>
      </c>
      <c r="G492">
        <v>8</v>
      </c>
      <c r="H492">
        <v>3</v>
      </c>
      <c r="I492">
        <v>0.01</v>
      </c>
      <c r="J492">
        <v>6</v>
      </c>
      <c r="K492">
        <v>1</v>
      </c>
      <c r="L492" s="4">
        <v>0.50411430332313723</v>
      </c>
      <c r="M492" s="4">
        <v>0.49588569667686272</v>
      </c>
      <c r="N492">
        <v>2</v>
      </c>
    </row>
    <row r="493" spans="1:14" x14ac:dyDescent="0.35">
      <c r="A493" s="1">
        <v>1084</v>
      </c>
      <c r="B493">
        <v>10</v>
      </c>
      <c r="C493">
        <v>38</v>
      </c>
      <c r="D493">
        <v>0</v>
      </c>
      <c r="E493">
        <v>0</v>
      </c>
      <c r="F493">
        <v>1</v>
      </c>
      <c r="G493">
        <v>7</v>
      </c>
      <c r="H493">
        <v>2</v>
      </c>
      <c r="I493">
        <v>500</v>
      </c>
      <c r="J493">
        <v>1</v>
      </c>
      <c r="K493">
        <v>0</v>
      </c>
      <c r="L493" s="4">
        <v>0.50433500134683906</v>
      </c>
      <c r="M493" s="4">
        <v>0.49566499865316088</v>
      </c>
      <c r="N493">
        <v>2</v>
      </c>
    </row>
    <row r="494" spans="1:14" x14ac:dyDescent="0.35">
      <c r="A494" s="1">
        <v>2884</v>
      </c>
      <c r="B494">
        <v>10</v>
      </c>
      <c r="C494">
        <v>36</v>
      </c>
      <c r="D494">
        <v>2</v>
      </c>
      <c r="E494">
        <v>0</v>
      </c>
      <c r="F494">
        <v>3</v>
      </c>
      <c r="G494">
        <v>3</v>
      </c>
      <c r="H494">
        <v>3</v>
      </c>
      <c r="I494">
        <v>0.01</v>
      </c>
      <c r="J494">
        <v>8</v>
      </c>
      <c r="K494">
        <v>0</v>
      </c>
      <c r="L494" s="4">
        <v>0.50507765661928516</v>
      </c>
      <c r="M494" s="4">
        <v>0.49492234338071489</v>
      </c>
      <c r="N494">
        <v>2</v>
      </c>
    </row>
    <row r="495" spans="1:14" x14ac:dyDescent="0.35">
      <c r="A495" s="1">
        <v>3162</v>
      </c>
      <c r="B495">
        <v>9</v>
      </c>
      <c r="C495">
        <v>31</v>
      </c>
      <c r="D495">
        <v>4</v>
      </c>
      <c r="E495">
        <v>0</v>
      </c>
      <c r="F495">
        <v>3</v>
      </c>
      <c r="G495">
        <v>3</v>
      </c>
      <c r="H495">
        <v>3</v>
      </c>
      <c r="I495">
        <v>0.01</v>
      </c>
      <c r="J495">
        <v>4</v>
      </c>
      <c r="K495">
        <v>0</v>
      </c>
      <c r="L495" s="4">
        <v>0.50522597138199932</v>
      </c>
      <c r="M495" s="4">
        <v>0.49477402861800063</v>
      </c>
      <c r="N495">
        <v>2</v>
      </c>
    </row>
    <row r="496" spans="1:14" x14ac:dyDescent="0.35">
      <c r="A496" s="1">
        <v>2543</v>
      </c>
      <c r="B496">
        <v>13</v>
      </c>
      <c r="C496">
        <v>46</v>
      </c>
      <c r="D496">
        <v>1</v>
      </c>
      <c r="E496">
        <v>1</v>
      </c>
      <c r="F496">
        <v>0</v>
      </c>
      <c r="G496">
        <v>2</v>
      </c>
      <c r="H496">
        <v>2</v>
      </c>
      <c r="I496">
        <v>5000</v>
      </c>
      <c r="J496">
        <v>4</v>
      </c>
      <c r="K496">
        <v>0</v>
      </c>
      <c r="L496" s="4">
        <v>0.50559494478189881</v>
      </c>
      <c r="M496" s="4">
        <v>0.49440505521810119</v>
      </c>
      <c r="N496">
        <v>2</v>
      </c>
    </row>
    <row r="497" spans="1:14" x14ac:dyDescent="0.35">
      <c r="A497" s="1">
        <v>838</v>
      </c>
      <c r="B497">
        <v>16</v>
      </c>
      <c r="C497">
        <v>63</v>
      </c>
      <c r="D497">
        <v>1</v>
      </c>
      <c r="E497">
        <v>0</v>
      </c>
      <c r="F497">
        <v>3</v>
      </c>
      <c r="G497">
        <v>3</v>
      </c>
      <c r="H497">
        <v>0</v>
      </c>
      <c r="I497">
        <v>6000</v>
      </c>
      <c r="J497">
        <v>1</v>
      </c>
      <c r="K497">
        <v>0</v>
      </c>
      <c r="L497" s="4">
        <v>0.50592300054105355</v>
      </c>
      <c r="M497" s="4">
        <v>0.49407699945894651</v>
      </c>
      <c r="N497">
        <v>2</v>
      </c>
    </row>
    <row r="498" spans="1:14" x14ac:dyDescent="0.35">
      <c r="A498" s="1">
        <v>247</v>
      </c>
      <c r="B498">
        <v>11</v>
      </c>
      <c r="C498">
        <v>40</v>
      </c>
      <c r="D498">
        <v>4</v>
      </c>
      <c r="E498">
        <v>0</v>
      </c>
      <c r="F498">
        <v>3</v>
      </c>
      <c r="G498">
        <v>3</v>
      </c>
      <c r="H498">
        <v>2</v>
      </c>
      <c r="I498">
        <v>0.02</v>
      </c>
      <c r="J498">
        <v>9</v>
      </c>
      <c r="K498">
        <v>0</v>
      </c>
      <c r="L498" s="4">
        <v>0.50614921166211424</v>
      </c>
      <c r="M498" s="4">
        <v>0.49385078833788582</v>
      </c>
      <c r="N498">
        <v>2</v>
      </c>
    </row>
    <row r="499" spans="1:14" x14ac:dyDescent="0.35">
      <c r="A499" s="1">
        <v>2422</v>
      </c>
      <c r="B499">
        <v>10</v>
      </c>
      <c r="C499">
        <v>39</v>
      </c>
      <c r="D499">
        <v>2</v>
      </c>
      <c r="E499">
        <v>0</v>
      </c>
      <c r="F499">
        <v>2</v>
      </c>
      <c r="G499">
        <v>1</v>
      </c>
      <c r="H499">
        <v>0</v>
      </c>
      <c r="I499">
        <v>8500</v>
      </c>
      <c r="J499">
        <v>1</v>
      </c>
      <c r="K499">
        <v>1</v>
      </c>
      <c r="L499" s="4">
        <v>0.50617326023232223</v>
      </c>
      <c r="M499" s="4">
        <v>0.49382673976767782</v>
      </c>
      <c r="N499">
        <v>2</v>
      </c>
    </row>
    <row r="500" spans="1:14" x14ac:dyDescent="0.35">
      <c r="A500" s="1">
        <v>3313</v>
      </c>
      <c r="B500">
        <v>12</v>
      </c>
      <c r="C500">
        <v>45</v>
      </c>
      <c r="D500">
        <v>3</v>
      </c>
      <c r="E500">
        <v>0</v>
      </c>
      <c r="F500">
        <v>0</v>
      </c>
      <c r="G500">
        <v>4</v>
      </c>
      <c r="H500">
        <v>3</v>
      </c>
      <c r="I500">
        <v>0.01</v>
      </c>
      <c r="J500">
        <v>5</v>
      </c>
      <c r="K500">
        <v>0</v>
      </c>
      <c r="L500" s="4">
        <v>0.50620329116105756</v>
      </c>
      <c r="M500" s="4">
        <v>0.49379670883894239</v>
      </c>
      <c r="N500">
        <v>2</v>
      </c>
    </row>
    <row r="501" spans="1:14" x14ac:dyDescent="0.35">
      <c r="A501" s="1">
        <v>39</v>
      </c>
      <c r="B501">
        <v>10</v>
      </c>
      <c r="C501">
        <v>36</v>
      </c>
      <c r="D501">
        <v>4</v>
      </c>
      <c r="E501">
        <v>0</v>
      </c>
      <c r="F501">
        <v>3</v>
      </c>
      <c r="G501">
        <v>3</v>
      </c>
      <c r="H501">
        <v>2</v>
      </c>
      <c r="I501">
        <v>1600</v>
      </c>
      <c r="J501">
        <v>9</v>
      </c>
      <c r="K501">
        <v>1</v>
      </c>
      <c r="L501" s="4">
        <v>0.50626014034612621</v>
      </c>
      <c r="M501" s="4">
        <v>0.49373985965387379</v>
      </c>
      <c r="N501">
        <v>2</v>
      </c>
    </row>
    <row r="502" spans="1:14" x14ac:dyDescent="0.35">
      <c r="A502" s="1">
        <v>2529</v>
      </c>
      <c r="B502">
        <v>9</v>
      </c>
      <c r="C502">
        <v>33</v>
      </c>
      <c r="D502">
        <v>3</v>
      </c>
      <c r="E502">
        <v>0</v>
      </c>
      <c r="F502">
        <v>1</v>
      </c>
      <c r="G502">
        <v>5</v>
      </c>
      <c r="H502">
        <v>2</v>
      </c>
      <c r="I502">
        <v>2400</v>
      </c>
      <c r="J502">
        <v>0</v>
      </c>
      <c r="K502">
        <v>1</v>
      </c>
      <c r="L502" s="4">
        <v>0.50658481526614085</v>
      </c>
      <c r="M502" s="4">
        <v>0.49341518473385909</v>
      </c>
      <c r="N502">
        <v>2</v>
      </c>
    </row>
    <row r="503" spans="1:14" x14ac:dyDescent="0.35">
      <c r="A503" s="1">
        <v>3142</v>
      </c>
      <c r="B503">
        <v>10</v>
      </c>
      <c r="C503">
        <v>39</v>
      </c>
      <c r="D503">
        <v>0</v>
      </c>
      <c r="E503">
        <v>0</v>
      </c>
      <c r="F503">
        <v>0</v>
      </c>
      <c r="G503">
        <v>4</v>
      </c>
      <c r="H503">
        <v>2</v>
      </c>
      <c r="I503">
        <v>1000</v>
      </c>
      <c r="J503">
        <v>5</v>
      </c>
      <c r="K503">
        <v>1</v>
      </c>
      <c r="L503" s="4">
        <v>0.50666838244596746</v>
      </c>
      <c r="M503" s="4">
        <v>0.4933316175540326</v>
      </c>
      <c r="N503">
        <v>2</v>
      </c>
    </row>
    <row r="504" spans="1:14" x14ac:dyDescent="0.35">
      <c r="A504" s="1">
        <v>3617</v>
      </c>
      <c r="B504">
        <v>13</v>
      </c>
      <c r="C504">
        <v>49</v>
      </c>
      <c r="D504">
        <v>4</v>
      </c>
      <c r="E504">
        <v>0</v>
      </c>
      <c r="F504">
        <v>3</v>
      </c>
      <c r="G504">
        <v>8</v>
      </c>
      <c r="H504">
        <v>1</v>
      </c>
      <c r="I504">
        <v>25000</v>
      </c>
      <c r="J504">
        <v>4</v>
      </c>
      <c r="K504">
        <v>0</v>
      </c>
      <c r="L504" s="4">
        <v>0.50707662372753481</v>
      </c>
      <c r="M504" s="4">
        <v>0.49292337627246519</v>
      </c>
      <c r="N504">
        <v>2</v>
      </c>
    </row>
    <row r="505" spans="1:14" x14ac:dyDescent="0.35">
      <c r="A505" s="1">
        <v>3561</v>
      </c>
      <c r="B505">
        <v>11</v>
      </c>
      <c r="C505">
        <v>36</v>
      </c>
      <c r="D505">
        <v>2</v>
      </c>
      <c r="E505">
        <v>1</v>
      </c>
      <c r="F505">
        <v>3</v>
      </c>
      <c r="G505">
        <v>3</v>
      </c>
      <c r="H505">
        <v>2</v>
      </c>
      <c r="I505">
        <v>1000</v>
      </c>
      <c r="J505">
        <v>6</v>
      </c>
      <c r="K505">
        <v>1</v>
      </c>
      <c r="L505" s="4">
        <v>0.50725396092089781</v>
      </c>
      <c r="M505" s="4">
        <v>0.49274603907910219</v>
      </c>
      <c r="N505">
        <v>2</v>
      </c>
    </row>
    <row r="506" spans="1:14" x14ac:dyDescent="0.35">
      <c r="A506" s="1">
        <v>2661</v>
      </c>
      <c r="B506">
        <v>9</v>
      </c>
      <c r="C506">
        <v>33</v>
      </c>
      <c r="D506">
        <v>3</v>
      </c>
      <c r="E506">
        <v>0</v>
      </c>
      <c r="F506">
        <v>1</v>
      </c>
      <c r="G506">
        <v>7</v>
      </c>
      <c r="H506">
        <v>2</v>
      </c>
      <c r="I506">
        <v>420</v>
      </c>
      <c r="J506">
        <v>8</v>
      </c>
      <c r="K506">
        <v>0</v>
      </c>
      <c r="L506" s="4">
        <v>0.50755679177832791</v>
      </c>
      <c r="M506" s="4">
        <v>0.49244320822167209</v>
      </c>
      <c r="N506">
        <v>2</v>
      </c>
    </row>
    <row r="507" spans="1:14" x14ac:dyDescent="0.35">
      <c r="A507" s="1">
        <v>2460</v>
      </c>
      <c r="B507">
        <v>17</v>
      </c>
      <c r="C507">
        <v>59</v>
      </c>
      <c r="D507">
        <v>5</v>
      </c>
      <c r="E507">
        <v>1</v>
      </c>
      <c r="F507">
        <v>1</v>
      </c>
      <c r="G507">
        <v>5</v>
      </c>
      <c r="H507">
        <v>3</v>
      </c>
      <c r="I507">
        <v>0.01</v>
      </c>
      <c r="J507">
        <v>5</v>
      </c>
      <c r="K507">
        <v>1</v>
      </c>
      <c r="L507" s="4">
        <v>0.50766400187929994</v>
      </c>
      <c r="M507" s="4">
        <v>0.4923359981207</v>
      </c>
      <c r="N507">
        <v>2</v>
      </c>
    </row>
    <row r="508" spans="1:14" x14ac:dyDescent="0.35">
      <c r="A508" s="1">
        <v>238</v>
      </c>
      <c r="B508">
        <v>13</v>
      </c>
      <c r="C508">
        <v>51</v>
      </c>
      <c r="D508">
        <v>1</v>
      </c>
      <c r="E508">
        <v>0</v>
      </c>
      <c r="F508">
        <v>3</v>
      </c>
      <c r="G508">
        <v>3</v>
      </c>
      <c r="H508">
        <v>0</v>
      </c>
      <c r="I508">
        <v>6000</v>
      </c>
      <c r="J508">
        <v>2</v>
      </c>
      <c r="K508">
        <v>1</v>
      </c>
      <c r="L508" s="4">
        <v>0.50786766719404242</v>
      </c>
      <c r="M508" s="4">
        <v>0.49213233280595758</v>
      </c>
      <c r="N508">
        <v>2</v>
      </c>
    </row>
    <row r="509" spans="1:14" x14ac:dyDescent="0.35">
      <c r="A509" s="1">
        <v>2404</v>
      </c>
      <c r="B509">
        <v>8</v>
      </c>
      <c r="C509">
        <v>29</v>
      </c>
      <c r="D509">
        <v>5</v>
      </c>
      <c r="E509">
        <v>0</v>
      </c>
      <c r="F509">
        <v>0</v>
      </c>
      <c r="G509">
        <v>4</v>
      </c>
      <c r="H509">
        <v>2</v>
      </c>
      <c r="I509">
        <v>2000</v>
      </c>
      <c r="J509">
        <v>12</v>
      </c>
      <c r="K509">
        <v>0</v>
      </c>
      <c r="L509" s="4">
        <v>0.50831850222979535</v>
      </c>
      <c r="M509" s="4">
        <v>0.49168149777020459</v>
      </c>
      <c r="N509">
        <v>2</v>
      </c>
    </row>
    <row r="510" spans="1:14" x14ac:dyDescent="0.35">
      <c r="A510" s="1">
        <v>4372</v>
      </c>
      <c r="B510">
        <v>11</v>
      </c>
      <c r="C510">
        <v>39</v>
      </c>
      <c r="D510">
        <v>5</v>
      </c>
      <c r="E510">
        <v>0</v>
      </c>
      <c r="F510">
        <v>3</v>
      </c>
      <c r="G510">
        <v>3</v>
      </c>
      <c r="H510">
        <v>3</v>
      </c>
      <c r="I510">
        <v>0.01</v>
      </c>
      <c r="J510">
        <v>8</v>
      </c>
      <c r="K510">
        <v>1</v>
      </c>
      <c r="L510" s="4">
        <v>0.50900487597405841</v>
      </c>
      <c r="M510" s="4">
        <v>0.49099512402594148</v>
      </c>
      <c r="N510">
        <v>2</v>
      </c>
    </row>
    <row r="511" spans="1:14" x14ac:dyDescent="0.35">
      <c r="A511" s="1">
        <v>96</v>
      </c>
      <c r="B511">
        <v>10</v>
      </c>
      <c r="C511">
        <v>36</v>
      </c>
      <c r="D511">
        <v>4</v>
      </c>
      <c r="E511">
        <v>0</v>
      </c>
      <c r="F511">
        <v>2</v>
      </c>
      <c r="G511">
        <v>1</v>
      </c>
      <c r="H511">
        <v>3</v>
      </c>
      <c r="I511">
        <v>0.01</v>
      </c>
      <c r="J511">
        <v>5</v>
      </c>
      <c r="K511">
        <v>1</v>
      </c>
      <c r="L511" s="4">
        <v>0.50934087193781186</v>
      </c>
      <c r="M511" s="4">
        <v>0.49065912806218809</v>
      </c>
      <c r="N511">
        <v>2</v>
      </c>
    </row>
    <row r="512" spans="1:14" x14ac:dyDescent="0.35">
      <c r="A512" s="1">
        <v>2228</v>
      </c>
      <c r="B512">
        <v>13</v>
      </c>
      <c r="C512">
        <v>48</v>
      </c>
      <c r="D512">
        <v>3</v>
      </c>
      <c r="E512">
        <v>0</v>
      </c>
      <c r="F512">
        <v>3</v>
      </c>
      <c r="G512">
        <v>3</v>
      </c>
      <c r="H512">
        <v>3</v>
      </c>
      <c r="I512">
        <v>0.01</v>
      </c>
      <c r="J512">
        <v>8</v>
      </c>
      <c r="K512">
        <v>1</v>
      </c>
      <c r="L512" s="4">
        <v>0.50938604209369198</v>
      </c>
      <c r="M512" s="4">
        <v>0.49061395790630802</v>
      </c>
      <c r="N512">
        <v>2</v>
      </c>
    </row>
    <row r="513" spans="1:14" x14ac:dyDescent="0.35">
      <c r="A513" s="1">
        <v>3580</v>
      </c>
      <c r="B513">
        <v>14</v>
      </c>
      <c r="C513">
        <v>56</v>
      </c>
      <c r="D513">
        <v>1</v>
      </c>
      <c r="E513">
        <v>0</v>
      </c>
      <c r="F513">
        <v>1</v>
      </c>
      <c r="G513">
        <v>5</v>
      </c>
      <c r="H513">
        <v>0</v>
      </c>
      <c r="I513">
        <v>6000</v>
      </c>
      <c r="J513">
        <v>6</v>
      </c>
      <c r="K513">
        <v>1</v>
      </c>
      <c r="L513" s="4">
        <v>0.50940248742625371</v>
      </c>
      <c r="M513" s="4">
        <v>0.49059751257374629</v>
      </c>
      <c r="N513">
        <v>2</v>
      </c>
    </row>
    <row r="514" spans="1:14" x14ac:dyDescent="0.35">
      <c r="A514" s="1">
        <v>2669</v>
      </c>
      <c r="B514">
        <v>10</v>
      </c>
      <c r="C514">
        <v>40</v>
      </c>
      <c r="D514">
        <v>0</v>
      </c>
      <c r="E514">
        <v>0</v>
      </c>
      <c r="F514">
        <v>1</v>
      </c>
      <c r="G514">
        <v>7</v>
      </c>
      <c r="H514">
        <v>0</v>
      </c>
      <c r="I514">
        <v>6000</v>
      </c>
      <c r="J514">
        <v>1</v>
      </c>
      <c r="K514">
        <v>0</v>
      </c>
      <c r="L514" s="4">
        <v>0.51019935422727158</v>
      </c>
      <c r="M514" s="4">
        <v>0.48980064577272853</v>
      </c>
      <c r="N514">
        <v>2</v>
      </c>
    </row>
    <row r="515" spans="1:14" x14ac:dyDescent="0.35">
      <c r="A515" s="1">
        <v>1871</v>
      </c>
      <c r="B515">
        <v>10</v>
      </c>
      <c r="C515">
        <v>32</v>
      </c>
      <c r="D515">
        <v>2</v>
      </c>
      <c r="E515">
        <v>1</v>
      </c>
      <c r="F515">
        <v>2</v>
      </c>
      <c r="G515">
        <v>1</v>
      </c>
      <c r="H515">
        <v>3</v>
      </c>
      <c r="I515">
        <v>0.01</v>
      </c>
      <c r="J515">
        <v>4</v>
      </c>
      <c r="K515">
        <v>0</v>
      </c>
      <c r="L515" s="4">
        <v>0.51020576175712495</v>
      </c>
      <c r="M515" s="4">
        <v>0.48979423824287499</v>
      </c>
      <c r="N515">
        <v>2</v>
      </c>
    </row>
    <row r="516" spans="1:14" x14ac:dyDescent="0.35">
      <c r="A516" s="1">
        <v>2254</v>
      </c>
      <c r="B516">
        <v>12</v>
      </c>
      <c r="C516">
        <v>45</v>
      </c>
      <c r="D516">
        <v>1</v>
      </c>
      <c r="E516">
        <v>0</v>
      </c>
      <c r="F516">
        <v>3</v>
      </c>
      <c r="G516">
        <v>3</v>
      </c>
      <c r="H516">
        <v>3</v>
      </c>
      <c r="I516">
        <v>0.01</v>
      </c>
      <c r="J516">
        <v>9</v>
      </c>
      <c r="K516">
        <v>0</v>
      </c>
      <c r="L516" s="4">
        <v>0.51171133656463619</v>
      </c>
      <c r="M516" s="4">
        <v>0.48828866343536381</v>
      </c>
      <c r="N516">
        <v>2</v>
      </c>
    </row>
    <row r="517" spans="1:14" x14ac:dyDescent="0.35">
      <c r="A517" s="1">
        <v>857</v>
      </c>
      <c r="B517">
        <v>14</v>
      </c>
      <c r="C517">
        <v>53</v>
      </c>
      <c r="D517">
        <v>3</v>
      </c>
      <c r="E517">
        <v>0</v>
      </c>
      <c r="F517">
        <v>3</v>
      </c>
      <c r="G517">
        <v>3</v>
      </c>
      <c r="H517">
        <v>2</v>
      </c>
      <c r="I517">
        <v>1703.85</v>
      </c>
      <c r="J517">
        <v>7</v>
      </c>
      <c r="K517">
        <v>1</v>
      </c>
      <c r="L517" s="4">
        <v>0.51230472430297169</v>
      </c>
      <c r="M517" s="4">
        <v>0.48769527569702831</v>
      </c>
      <c r="N517">
        <v>2</v>
      </c>
    </row>
    <row r="518" spans="1:14" x14ac:dyDescent="0.35">
      <c r="A518" s="1">
        <v>4204</v>
      </c>
      <c r="B518">
        <v>12</v>
      </c>
      <c r="C518">
        <v>45</v>
      </c>
      <c r="D518">
        <v>1</v>
      </c>
      <c r="E518">
        <v>0</v>
      </c>
      <c r="F518">
        <v>3</v>
      </c>
      <c r="G518">
        <v>3</v>
      </c>
      <c r="H518">
        <v>3</v>
      </c>
      <c r="I518">
        <v>0.01</v>
      </c>
      <c r="J518">
        <v>5</v>
      </c>
      <c r="K518">
        <v>0</v>
      </c>
      <c r="L518" s="4">
        <v>0.51299561172514097</v>
      </c>
      <c r="M518" s="4">
        <v>0.48700438827485898</v>
      </c>
      <c r="N518">
        <v>2</v>
      </c>
    </row>
    <row r="519" spans="1:14" x14ac:dyDescent="0.35">
      <c r="A519" s="1">
        <v>4293</v>
      </c>
      <c r="B519">
        <v>7</v>
      </c>
      <c r="C519">
        <v>27</v>
      </c>
      <c r="D519">
        <v>1</v>
      </c>
      <c r="E519">
        <v>0</v>
      </c>
      <c r="F519">
        <v>0</v>
      </c>
      <c r="G519">
        <v>2</v>
      </c>
      <c r="H519">
        <v>2</v>
      </c>
      <c r="I519">
        <v>600</v>
      </c>
      <c r="J519">
        <v>4</v>
      </c>
      <c r="K519">
        <v>1</v>
      </c>
      <c r="L519" s="4">
        <v>0.51324526261020531</v>
      </c>
      <c r="M519" s="4">
        <v>0.48675473738979469</v>
      </c>
      <c r="N519">
        <v>2</v>
      </c>
    </row>
    <row r="520" spans="1:14" x14ac:dyDescent="0.35">
      <c r="A520" s="1">
        <v>2397</v>
      </c>
      <c r="B520">
        <v>15</v>
      </c>
      <c r="C520">
        <v>59</v>
      </c>
      <c r="D520">
        <v>2</v>
      </c>
      <c r="E520">
        <v>0</v>
      </c>
      <c r="F520">
        <v>3</v>
      </c>
      <c r="G520">
        <v>3</v>
      </c>
      <c r="H520">
        <v>0</v>
      </c>
      <c r="I520">
        <v>6000</v>
      </c>
      <c r="J520">
        <v>1</v>
      </c>
      <c r="K520">
        <v>1</v>
      </c>
      <c r="L520" s="4">
        <v>0.51325122630349229</v>
      </c>
      <c r="M520" s="4">
        <v>0.48674877369650771</v>
      </c>
      <c r="N520">
        <v>2</v>
      </c>
    </row>
    <row r="521" spans="1:14" x14ac:dyDescent="0.35">
      <c r="A521" s="1">
        <v>1053</v>
      </c>
      <c r="B521">
        <v>10</v>
      </c>
      <c r="C521">
        <v>37</v>
      </c>
      <c r="D521">
        <v>3</v>
      </c>
      <c r="E521">
        <v>0</v>
      </c>
      <c r="F521">
        <v>3</v>
      </c>
      <c r="G521">
        <v>3</v>
      </c>
      <c r="H521">
        <v>2</v>
      </c>
      <c r="I521">
        <v>1105.3900000000001</v>
      </c>
      <c r="J521">
        <v>13</v>
      </c>
      <c r="K521">
        <v>1</v>
      </c>
      <c r="L521" s="4">
        <v>0.51363903917307807</v>
      </c>
      <c r="M521" s="4">
        <v>0.48636096082692187</v>
      </c>
      <c r="N521">
        <v>2</v>
      </c>
    </row>
    <row r="522" spans="1:14" x14ac:dyDescent="0.35">
      <c r="A522" s="1">
        <v>957</v>
      </c>
      <c r="B522">
        <v>11</v>
      </c>
      <c r="C522">
        <v>37</v>
      </c>
      <c r="D522">
        <v>2</v>
      </c>
      <c r="E522">
        <v>1</v>
      </c>
      <c r="F522">
        <v>1</v>
      </c>
      <c r="G522">
        <v>7</v>
      </c>
      <c r="H522">
        <v>2</v>
      </c>
      <c r="I522">
        <v>1000</v>
      </c>
      <c r="J522">
        <v>4</v>
      </c>
      <c r="K522">
        <v>1</v>
      </c>
      <c r="L522" s="4">
        <v>0.51421367067012713</v>
      </c>
      <c r="M522" s="4">
        <v>0.48578632932987292</v>
      </c>
      <c r="N522">
        <v>2</v>
      </c>
    </row>
    <row r="523" spans="1:14" x14ac:dyDescent="0.35">
      <c r="A523" s="1">
        <v>1951</v>
      </c>
      <c r="B523">
        <v>13</v>
      </c>
      <c r="C523">
        <v>51</v>
      </c>
      <c r="D523">
        <v>4</v>
      </c>
      <c r="E523">
        <v>0</v>
      </c>
      <c r="F523">
        <v>0</v>
      </c>
      <c r="G523">
        <v>11</v>
      </c>
      <c r="H523">
        <v>0</v>
      </c>
      <c r="I523">
        <v>6000</v>
      </c>
      <c r="J523">
        <v>11</v>
      </c>
      <c r="K523">
        <v>0</v>
      </c>
      <c r="L523" s="4">
        <v>0.51436021247459562</v>
      </c>
      <c r="M523" s="4">
        <v>0.48563978752540438</v>
      </c>
      <c r="N523">
        <v>2</v>
      </c>
    </row>
    <row r="524" spans="1:14" x14ac:dyDescent="0.35">
      <c r="A524" s="1">
        <v>3629</v>
      </c>
      <c r="B524">
        <v>13</v>
      </c>
      <c r="C524">
        <v>51</v>
      </c>
      <c r="D524">
        <v>2</v>
      </c>
      <c r="E524">
        <v>0</v>
      </c>
      <c r="F524">
        <v>3</v>
      </c>
      <c r="G524">
        <v>3</v>
      </c>
      <c r="H524">
        <v>0</v>
      </c>
      <c r="I524">
        <v>6000</v>
      </c>
      <c r="J524">
        <v>1</v>
      </c>
      <c r="K524">
        <v>0</v>
      </c>
      <c r="L524" s="4">
        <v>0.51476090900162652</v>
      </c>
      <c r="M524" s="4">
        <v>0.48523909099837348</v>
      </c>
      <c r="N524">
        <v>2</v>
      </c>
    </row>
    <row r="525" spans="1:14" x14ac:dyDescent="0.35">
      <c r="A525" s="1">
        <v>3015</v>
      </c>
      <c r="B525">
        <v>15</v>
      </c>
      <c r="C525">
        <v>57</v>
      </c>
      <c r="D525">
        <v>3</v>
      </c>
      <c r="E525">
        <v>0</v>
      </c>
      <c r="F525">
        <v>1</v>
      </c>
      <c r="G525">
        <v>7</v>
      </c>
      <c r="H525">
        <v>3</v>
      </c>
      <c r="I525">
        <v>0.01</v>
      </c>
      <c r="J525">
        <v>5</v>
      </c>
      <c r="K525">
        <v>1</v>
      </c>
      <c r="L525" s="4">
        <v>0.51515592752612338</v>
      </c>
      <c r="M525" s="4">
        <v>0.48484407247387662</v>
      </c>
      <c r="N525">
        <v>2</v>
      </c>
    </row>
    <row r="526" spans="1:14" x14ac:dyDescent="0.35">
      <c r="A526" s="1">
        <v>2705</v>
      </c>
      <c r="B526">
        <v>9</v>
      </c>
      <c r="C526">
        <v>32</v>
      </c>
      <c r="D526">
        <v>5</v>
      </c>
      <c r="E526">
        <v>0</v>
      </c>
      <c r="F526">
        <v>3</v>
      </c>
      <c r="G526">
        <v>3</v>
      </c>
      <c r="H526">
        <v>2</v>
      </c>
      <c r="I526">
        <v>600.01</v>
      </c>
      <c r="J526">
        <v>5</v>
      </c>
      <c r="K526">
        <v>1</v>
      </c>
      <c r="L526" s="4">
        <v>0.51527463245940297</v>
      </c>
      <c r="M526" s="4">
        <v>0.48472536754059697</v>
      </c>
      <c r="N526">
        <v>2</v>
      </c>
    </row>
    <row r="527" spans="1:14" x14ac:dyDescent="0.35">
      <c r="A527" s="1">
        <v>1927</v>
      </c>
      <c r="B527">
        <v>16</v>
      </c>
      <c r="C527">
        <v>62</v>
      </c>
      <c r="D527">
        <v>5</v>
      </c>
      <c r="E527">
        <v>0</v>
      </c>
      <c r="F527">
        <v>0</v>
      </c>
      <c r="G527">
        <v>4</v>
      </c>
      <c r="H527">
        <v>2</v>
      </c>
      <c r="I527">
        <v>3000</v>
      </c>
      <c r="J527">
        <v>16</v>
      </c>
      <c r="K527">
        <v>1</v>
      </c>
      <c r="L527" s="4">
        <v>0.51562623089967241</v>
      </c>
      <c r="M527" s="4">
        <v>0.48437376910032748</v>
      </c>
      <c r="N527">
        <v>2</v>
      </c>
    </row>
    <row r="528" spans="1:14" x14ac:dyDescent="0.35">
      <c r="A528" s="1">
        <v>1601</v>
      </c>
      <c r="B528">
        <v>12</v>
      </c>
      <c r="C528">
        <v>47</v>
      </c>
      <c r="D528">
        <v>0</v>
      </c>
      <c r="E528">
        <v>0</v>
      </c>
      <c r="F528">
        <v>1</v>
      </c>
      <c r="G528">
        <v>7</v>
      </c>
      <c r="H528">
        <v>2</v>
      </c>
      <c r="I528">
        <v>500</v>
      </c>
      <c r="J528">
        <v>7</v>
      </c>
      <c r="K528">
        <v>1</v>
      </c>
      <c r="L528" s="4">
        <v>0.5159346521440773</v>
      </c>
      <c r="M528" s="4">
        <v>0.48406534785592259</v>
      </c>
      <c r="N528">
        <v>2</v>
      </c>
    </row>
    <row r="529" spans="1:14" x14ac:dyDescent="0.35">
      <c r="A529" s="1">
        <v>996</v>
      </c>
      <c r="B529">
        <v>10</v>
      </c>
      <c r="C529">
        <v>38</v>
      </c>
      <c r="D529">
        <v>2</v>
      </c>
      <c r="E529">
        <v>0</v>
      </c>
      <c r="F529">
        <v>0</v>
      </c>
      <c r="G529">
        <v>4</v>
      </c>
      <c r="H529">
        <v>3</v>
      </c>
      <c r="I529">
        <v>0.01</v>
      </c>
      <c r="J529">
        <v>4</v>
      </c>
      <c r="K529">
        <v>1</v>
      </c>
      <c r="L529" s="4">
        <v>0.5164975354734368</v>
      </c>
      <c r="M529" s="4">
        <v>0.4835024645265632</v>
      </c>
      <c r="N529">
        <v>2</v>
      </c>
    </row>
    <row r="530" spans="1:14" x14ac:dyDescent="0.35">
      <c r="A530" s="1">
        <v>2486</v>
      </c>
      <c r="B530">
        <v>15</v>
      </c>
      <c r="C530">
        <v>57</v>
      </c>
      <c r="D530">
        <v>4</v>
      </c>
      <c r="E530">
        <v>0</v>
      </c>
      <c r="F530">
        <v>1</v>
      </c>
      <c r="G530">
        <v>12</v>
      </c>
      <c r="H530">
        <v>2</v>
      </c>
      <c r="I530">
        <v>1000</v>
      </c>
      <c r="J530">
        <v>5</v>
      </c>
      <c r="K530">
        <v>0</v>
      </c>
      <c r="L530" s="4">
        <v>0.51718558662485381</v>
      </c>
      <c r="M530" s="4">
        <v>0.48281441337514619</v>
      </c>
      <c r="N530">
        <v>2</v>
      </c>
    </row>
    <row r="531" spans="1:14" x14ac:dyDescent="0.35">
      <c r="A531" s="1">
        <v>2220</v>
      </c>
      <c r="B531">
        <v>13</v>
      </c>
      <c r="C531">
        <v>44</v>
      </c>
      <c r="D531">
        <v>2</v>
      </c>
      <c r="E531">
        <v>1</v>
      </c>
      <c r="F531">
        <v>3</v>
      </c>
      <c r="G531">
        <v>3</v>
      </c>
      <c r="H531">
        <v>3</v>
      </c>
      <c r="I531">
        <v>0.01</v>
      </c>
      <c r="J531">
        <v>5</v>
      </c>
      <c r="K531">
        <v>1</v>
      </c>
      <c r="L531" s="4">
        <v>0.5174634070705042</v>
      </c>
      <c r="M531" s="4">
        <v>0.48253659292949569</v>
      </c>
      <c r="N531">
        <v>2</v>
      </c>
    </row>
    <row r="532" spans="1:14" x14ac:dyDescent="0.35">
      <c r="A532" s="1">
        <v>1958</v>
      </c>
      <c r="B532">
        <v>13</v>
      </c>
      <c r="C532">
        <v>44</v>
      </c>
      <c r="D532">
        <v>2</v>
      </c>
      <c r="E532">
        <v>1</v>
      </c>
      <c r="F532">
        <v>3</v>
      </c>
      <c r="G532">
        <v>3</v>
      </c>
      <c r="H532">
        <v>3</v>
      </c>
      <c r="I532">
        <v>0.01</v>
      </c>
      <c r="J532">
        <v>5</v>
      </c>
      <c r="K532">
        <v>1</v>
      </c>
      <c r="L532" s="4">
        <v>0.51746340707050442</v>
      </c>
      <c r="M532" s="4">
        <v>0.48253659292949558</v>
      </c>
      <c r="N532">
        <v>2</v>
      </c>
    </row>
    <row r="533" spans="1:14" x14ac:dyDescent="0.35">
      <c r="A533" s="1">
        <v>811</v>
      </c>
      <c r="B533">
        <v>10</v>
      </c>
      <c r="C533">
        <v>32</v>
      </c>
      <c r="D533">
        <v>2</v>
      </c>
      <c r="E533">
        <v>1</v>
      </c>
      <c r="F533">
        <v>3</v>
      </c>
      <c r="G533">
        <v>3</v>
      </c>
      <c r="H533">
        <v>3</v>
      </c>
      <c r="I533">
        <v>0.01</v>
      </c>
      <c r="J533">
        <v>7</v>
      </c>
      <c r="K533">
        <v>0</v>
      </c>
      <c r="L533" s="4">
        <v>0.51908501056480671</v>
      </c>
      <c r="M533" s="4">
        <v>0.48091498943519329</v>
      </c>
      <c r="N533">
        <v>2</v>
      </c>
    </row>
    <row r="534" spans="1:14" x14ac:dyDescent="0.35">
      <c r="A534" s="1">
        <v>4409</v>
      </c>
      <c r="B534">
        <v>9</v>
      </c>
      <c r="C534">
        <v>35</v>
      </c>
      <c r="D534">
        <v>2</v>
      </c>
      <c r="E534">
        <v>0</v>
      </c>
      <c r="F534">
        <v>0</v>
      </c>
      <c r="G534">
        <v>4</v>
      </c>
      <c r="H534">
        <v>2</v>
      </c>
      <c r="I534">
        <v>50</v>
      </c>
      <c r="J534">
        <v>9</v>
      </c>
      <c r="K534">
        <v>0</v>
      </c>
      <c r="L534" s="4">
        <v>0.51966291206560633</v>
      </c>
      <c r="M534" s="4">
        <v>0.48033708793439372</v>
      </c>
      <c r="N534">
        <v>2</v>
      </c>
    </row>
    <row r="535" spans="1:14" x14ac:dyDescent="0.35">
      <c r="A535" s="1">
        <v>1106</v>
      </c>
      <c r="B535">
        <v>10</v>
      </c>
      <c r="C535">
        <v>37</v>
      </c>
      <c r="D535">
        <v>5</v>
      </c>
      <c r="E535">
        <v>0</v>
      </c>
      <c r="F535">
        <v>0</v>
      </c>
      <c r="G535">
        <v>4</v>
      </c>
      <c r="H535">
        <v>3</v>
      </c>
      <c r="I535">
        <v>0.01</v>
      </c>
      <c r="J535">
        <v>8</v>
      </c>
      <c r="K535">
        <v>1</v>
      </c>
      <c r="L535" s="4">
        <v>0.5198914153019587</v>
      </c>
      <c r="M535" s="4">
        <v>0.48010858469804141</v>
      </c>
      <c r="N535">
        <v>2</v>
      </c>
    </row>
    <row r="536" spans="1:14" x14ac:dyDescent="0.35">
      <c r="A536" s="1">
        <v>3384</v>
      </c>
      <c r="B536">
        <v>10</v>
      </c>
      <c r="C536">
        <v>37</v>
      </c>
      <c r="D536">
        <v>5</v>
      </c>
      <c r="E536">
        <v>0</v>
      </c>
      <c r="F536">
        <v>0</v>
      </c>
      <c r="G536">
        <v>4</v>
      </c>
      <c r="H536">
        <v>3</v>
      </c>
      <c r="I536">
        <v>0.01</v>
      </c>
      <c r="J536">
        <v>8</v>
      </c>
      <c r="K536">
        <v>1</v>
      </c>
      <c r="L536" s="4">
        <v>0.5198914153019587</v>
      </c>
      <c r="M536" s="4">
        <v>0.48010858469804141</v>
      </c>
      <c r="N536">
        <v>2</v>
      </c>
    </row>
    <row r="537" spans="1:14" x14ac:dyDescent="0.35">
      <c r="A537" s="1">
        <v>581</v>
      </c>
      <c r="B537">
        <v>10</v>
      </c>
      <c r="C537">
        <v>38</v>
      </c>
      <c r="D537">
        <v>3</v>
      </c>
      <c r="E537">
        <v>0</v>
      </c>
      <c r="F537">
        <v>0</v>
      </c>
      <c r="G537">
        <v>2</v>
      </c>
      <c r="H537">
        <v>3</v>
      </c>
      <c r="I537">
        <v>0.01</v>
      </c>
      <c r="J537">
        <v>4</v>
      </c>
      <c r="K537">
        <v>1</v>
      </c>
      <c r="L537" s="4">
        <v>0.52032321380185165</v>
      </c>
      <c r="M537" s="4">
        <v>0.47967678619814841</v>
      </c>
      <c r="N537">
        <v>2</v>
      </c>
    </row>
    <row r="538" spans="1:14" x14ac:dyDescent="0.35">
      <c r="A538" s="1">
        <v>1105</v>
      </c>
      <c r="B538">
        <v>13</v>
      </c>
      <c r="C538">
        <v>43</v>
      </c>
      <c r="D538">
        <v>5</v>
      </c>
      <c r="E538">
        <v>1</v>
      </c>
      <c r="F538">
        <v>3</v>
      </c>
      <c r="G538">
        <v>3</v>
      </c>
      <c r="H538">
        <v>3</v>
      </c>
      <c r="I538">
        <v>0.01</v>
      </c>
      <c r="J538">
        <v>5</v>
      </c>
      <c r="K538">
        <v>1</v>
      </c>
      <c r="L538" s="4">
        <v>0.52213948050468706</v>
      </c>
      <c r="M538" s="4">
        <v>0.47786051949531289</v>
      </c>
      <c r="N538">
        <v>2</v>
      </c>
    </row>
    <row r="539" spans="1:14" x14ac:dyDescent="0.35">
      <c r="A539" s="1">
        <v>4429</v>
      </c>
      <c r="B539">
        <v>12</v>
      </c>
      <c r="C539">
        <v>33</v>
      </c>
      <c r="D539">
        <v>5</v>
      </c>
      <c r="E539">
        <v>2</v>
      </c>
      <c r="F539">
        <v>4</v>
      </c>
      <c r="G539">
        <v>9</v>
      </c>
      <c r="H539">
        <v>3</v>
      </c>
      <c r="I539">
        <v>0.01</v>
      </c>
      <c r="J539">
        <v>4</v>
      </c>
      <c r="K539">
        <v>0</v>
      </c>
      <c r="L539" s="4">
        <v>0.52216487812368473</v>
      </c>
      <c r="M539" s="4">
        <v>0.47783512187631533</v>
      </c>
      <c r="N539">
        <v>2</v>
      </c>
    </row>
    <row r="540" spans="1:14" x14ac:dyDescent="0.35">
      <c r="A540" s="1">
        <v>959</v>
      </c>
      <c r="B540">
        <v>14</v>
      </c>
      <c r="C540">
        <v>48</v>
      </c>
      <c r="D540">
        <v>1</v>
      </c>
      <c r="E540">
        <v>2</v>
      </c>
      <c r="F540">
        <v>3</v>
      </c>
      <c r="G540">
        <v>3</v>
      </c>
      <c r="H540">
        <v>1</v>
      </c>
      <c r="I540">
        <v>100000</v>
      </c>
      <c r="J540">
        <v>1</v>
      </c>
      <c r="K540">
        <v>1</v>
      </c>
      <c r="L540" s="4">
        <v>0.52299034955360468</v>
      </c>
      <c r="M540" s="4">
        <v>0.47700965044639532</v>
      </c>
      <c r="N540">
        <v>2</v>
      </c>
    </row>
    <row r="541" spans="1:14" x14ac:dyDescent="0.35">
      <c r="A541" s="1">
        <v>396</v>
      </c>
      <c r="B541">
        <v>11</v>
      </c>
      <c r="C541">
        <v>40</v>
      </c>
      <c r="D541">
        <v>5</v>
      </c>
      <c r="E541">
        <v>0</v>
      </c>
      <c r="F541">
        <v>3</v>
      </c>
      <c r="G541">
        <v>3</v>
      </c>
      <c r="H541">
        <v>3</v>
      </c>
      <c r="I541">
        <v>0.01</v>
      </c>
      <c r="J541">
        <v>9</v>
      </c>
      <c r="K541">
        <v>0</v>
      </c>
      <c r="L541" s="4">
        <v>0.52371018836402405</v>
      </c>
      <c r="M541" s="4">
        <v>0.47628981163597589</v>
      </c>
      <c r="N541">
        <v>2</v>
      </c>
    </row>
    <row r="542" spans="1:14" x14ac:dyDescent="0.35">
      <c r="A542" s="1">
        <v>199</v>
      </c>
      <c r="B542">
        <v>8</v>
      </c>
      <c r="C542">
        <v>27</v>
      </c>
      <c r="D542">
        <v>3</v>
      </c>
      <c r="E542">
        <v>1</v>
      </c>
      <c r="F542">
        <v>0</v>
      </c>
      <c r="G542">
        <v>11</v>
      </c>
      <c r="H542">
        <v>0</v>
      </c>
      <c r="I542">
        <v>13535.88</v>
      </c>
      <c r="J542">
        <v>6</v>
      </c>
      <c r="K542">
        <v>1</v>
      </c>
      <c r="L542" s="4">
        <v>0.52381367197222972</v>
      </c>
      <c r="M542" s="4">
        <v>0.47618632802777022</v>
      </c>
      <c r="N542">
        <v>2</v>
      </c>
    </row>
    <row r="543" spans="1:14" x14ac:dyDescent="0.35">
      <c r="A543" s="1">
        <v>389</v>
      </c>
      <c r="B543">
        <v>8</v>
      </c>
      <c r="C543">
        <v>31</v>
      </c>
      <c r="D543">
        <v>1</v>
      </c>
      <c r="E543">
        <v>0</v>
      </c>
      <c r="F543">
        <v>2</v>
      </c>
      <c r="G543">
        <v>1</v>
      </c>
      <c r="H543">
        <v>2</v>
      </c>
      <c r="I543">
        <v>5000</v>
      </c>
      <c r="J543">
        <v>1</v>
      </c>
      <c r="K543">
        <v>0</v>
      </c>
      <c r="L543" s="4">
        <v>0.52450469732790694</v>
      </c>
      <c r="M543" s="4">
        <v>0.47549530267209311</v>
      </c>
      <c r="N543">
        <v>2</v>
      </c>
    </row>
    <row r="544" spans="1:14" x14ac:dyDescent="0.35">
      <c r="A544" s="1">
        <v>3843</v>
      </c>
      <c r="B544">
        <v>12</v>
      </c>
      <c r="C544">
        <v>46</v>
      </c>
      <c r="D544">
        <v>2</v>
      </c>
      <c r="E544">
        <v>0</v>
      </c>
      <c r="F544">
        <v>3</v>
      </c>
      <c r="G544">
        <v>3</v>
      </c>
      <c r="H544">
        <v>2</v>
      </c>
      <c r="I544">
        <v>50</v>
      </c>
      <c r="J544">
        <v>2</v>
      </c>
      <c r="K544">
        <v>0</v>
      </c>
      <c r="L544" s="4">
        <v>0.52453864498852365</v>
      </c>
      <c r="M544" s="4">
        <v>0.47546135501147629</v>
      </c>
      <c r="N544">
        <v>2</v>
      </c>
    </row>
    <row r="545" spans="1:14" x14ac:dyDescent="0.35">
      <c r="A545" s="1">
        <v>4408</v>
      </c>
      <c r="B545">
        <v>10</v>
      </c>
      <c r="C545">
        <v>38</v>
      </c>
      <c r="D545">
        <v>2</v>
      </c>
      <c r="E545">
        <v>0</v>
      </c>
      <c r="F545">
        <v>1</v>
      </c>
      <c r="G545">
        <v>5</v>
      </c>
      <c r="H545">
        <v>3</v>
      </c>
      <c r="I545">
        <v>0.01</v>
      </c>
      <c r="J545">
        <v>5</v>
      </c>
      <c r="K545">
        <v>1</v>
      </c>
      <c r="L545" s="4">
        <v>0.52464082344778995</v>
      </c>
      <c r="M545" s="4">
        <v>0.47535917655220999</v>
      </c>
      <c r="N545">
        <v>2</v>
      </c>
    </row>
    <row r="546" spans="1:14" x14ac:dyDescent="0.35">
      <c r="A546" s="1">
        <v>3519</v>
      </c>
      <c r="B546">
        <v>11</v>
      </c>
      <c r="C546">
        <v>42</v>
      </c>
      <c r="D546">
        <v>4</v>
      </c>
      <c r="E546">
        <v>0</v>
      </c>
      <c r="F546">
        <v>0</v>
      </c>
      <c r="G546">
        <v>2</v>
      </c>
      <c r="H546">
        <v>3</v>
      </c>
      <c r="I546">
        <v>0.01</v>
      </c>
      <c r="J546">
        <v>8</v>
      </c>
      <c r="K546">
        <v>0</v>
      </c>
      <c r="L546" s="4">
        <v>0.52484905126216508</v>
      </c>
      <c r="M546" s="4">
        <v>0.47515094873783498</v>
      </c>
      <c r="N546">
        <v>2</v>
      </c>
    </row>
    <row r="547" spans="1:14" x14ac:dyDescent="0.35">
      <c r="A547" s="1">
        <v>817</v>
      </c>
      <c r="B547">
        <v>15</v>
      </c>
      <c r="C547">
        <v>58</v>
      </c>
      <c r="D547">
        <v>1</v>
      </c>
      <c r="E547">
        <v>0</v>
      </c>
      <c r="F547">
        <v>3</v>
      </c>
      <c r="G547">
        <v>3</v>
      </c>
      <c r="H547">
        <v>3</v>
      </c>
      <c r="I547">
        <v>0.01</v>
      </c>
      <c r="J547">
        <v>6</v>
      </c>
      <c r="K547">
        <v>1</v>
      </c>
      <c r="L547" s="4">
        <v>0.52543240286795301</v>
      </c>
      <c r="M547" s="4">
        <v>0.47456759713204699</v>
      </c>
      <c r="N547">
        <v>2</v>
      </c>
    </row>
    <row r="548" spans="1:14" x14ac:dyDescent="0.35">
      <c r="A548" s="1">
        <v>2868</v>
      </c>
      <c r="B548">
        <v>9</v>
      </c>
      <c r="C548">
        <v>34</v>
      </c>
      <c r="D548">
        <v>2</v>
      </c>
      <c r="E548">
        <v>0</v>
      </c>
      <c r="F548">
        <v>3</v>
      </c>
      <c r="G548">
        <v>3</v>
      </c>
      <c r="H548">
        <v>2</v>
      </c>
      <c r="I548">
        <v>100</v>
      </c>
      <c r="J548">
        <v>3</v>
      </c>
      <c r="K548">
        <v>0</v>
      </c>
      <c r="L548" s="4">
        <v>0.52645853497983819</v>
      </c>
      <c r="M548" s="4">
        <v>0.47354146502016181</v>
      </c>
      <c r="N548">
        <v>2</v>
      </c>
    </row>
    <row r="549" spans="1:14" x14ac:dyDescent="0.35">
      <c r="A549" s="1">
        <v>314</v>
      </c>
      <c r="B549">
        <v>13</v>
      </c>
      <c r="C549">
        <v>52</v>
      </c>
      <c r="D549">
        <v>2</v>
      </c>
      <c r="E549">
        <v>0</v>
      </c>
      <c r="F549">
        <v>0</v>
      </c>
      <c r="G549">
        <v>2</v>
      </c>
      <c r="H549">
        <v>2</v>
      </c>
      <c r="I549">
        <v>3000</v>
      </c>
      <c r="J549">
        <v>11</v>
      </c>
      <c r="K549">
        <v>0</v>
      </c>
      <c r="L549" s="4">
        <v>0.52709260897071131</v>
      </c>
      <c r="M549" s="4">
        <v>0.47290739102928869</v>
      </c>
      <c r="N549">
        <v>2</v>
      </c>
    </row>
    <row r="550" spans="1:14" x14ac:dyDescent="0.35">
      <c r="A550" s="1">
        <v>2854</v>
      </c>
      <c r="B550">
        <v>13</v>
      </c>
      <c r="C550">
        <v>51</v>
      </c>
      <c r="D550">
        <v>3</v>
      </c>
      <c r="E550">
        <v>0</v>
      </c>
      <c r="F550">
        <v>3</v>
      </c>
      <c r="G550">
        <v>8</v>
      </c>
      <c r="H550">
        <v>0</v>
      </c>
      <c r="I550">
        <v>5286.11</v>
      </c>
      <c r="J550">
        <v>5</v>
      </c>
      <c r="K550">
        <v>0</v>
      </c>
      <c r="L550" s="4">
        <v>0.52717832151966126</v>
      </c>
      <c r="M550" s="4">
        <v>0.47282167848033868</v>
      </c>
      <c r="N550">
        <v>2</v>
      </c>
    </row>
    <row r="551" spans="1:14" x14ac:dyDescent="0.35">
      <c r="A551" s="1">
        <v>3664</v>
      </c>
      <c r="B551">
        <v>13</v>
      </c>
      <c r="C551">
        <v>51</v>
      </c>
      <c r="D551">
        <v>2</v>
      </c>
      <c r="E551">
        <v>0</v>
      </c>
      <c r="F551">
        <v>0</v>
      </c>
      <c r="G551">
        <v>11</v>
      </c>
      <c r="H551">
        <v>2</v>
      </c>
      <c r="I551">
        <v>840</v>
      </c>
      <c r="J551">
        <v>5</v>
      </c>
      <c r="K551">
        <v>0</v>
      </c>
      <c r="L551" s="4">
        <v>0.52719783009153609</v>
      </c>
      <c r="M551" s="4">
        <v>0.47280216990846391</v>
      </c>
      <c r="N551">
        <v>2</v>
      </c>
    </row>
    <row r="552" spans="1:14" x14ac:dyDescent="0.35">
      <c r="A552" s="1">
        <v>254</v>
      </c>
      <c r="B552">
        <v>9</v>
      </c>
      <c r="C552">
        <v>37</v>
      </c>
      <c r="D552">
        <v>2</v>
      </c>
      <c r="E552">
        <v>0</v>
      </c>
      <c r="F552">
        <v>0</v>
      </c>
      <c r="G552">
        <v>4</v>
      </c>
      <c r="H552">
        <v>0</v>
      </c>
      <c r="I552">
        <v>6000</v>
      </c>
      <c r="J552">
        <v>3</v>
      </c>
      <c r="K552">
        <v>1</v>
      </c>
      <c r="L552" s="4">
        <v>0.52725799105473237</v>
      </c>
      <c r="M552" s="4">
        <v>0.47274200894526758</v>
      </c>
      <c r="N552">
        <v>2</v>
      </c>
    </row>
    <row r="553" spans="1:14" x14ac:dyDescent="0.35">
      <c r="A553" s="1">
        <v>1333</v>
      </c>
      <c r="B553">
        <v>9</v>
      </c>
      <c r="C553">
        <v>33</v>
      </c>
      <c r="D553">
        <v>3</v>
      </c>
      <c r="E553">
        <v>0</v>
      </c>
      <c r="F553">
        <v>3</v>
      </c>
      <c r="G553">
        <v>3</v>
      </c>
      <c r="H553">
        <v>3</v>
      </c>
      <c r="I553">
        <v>0.01</v>
      </c>
      <c r="J553">
        <v>8</v>
      </c>
      <c r="K553">
        <v>0</v>
      </c>
      <c r="L553" s="4">
        <v>0.52742473180892269</v>
      </c>
      <c r="M553" s="4">
        <v>0.47257526819107742</v>
      </c>
      <c r="N553">
        <v>2</v>
      </c>
    </row>
    <row r="554" spans="1:14" x14ac:dyDescent="0.35">
      <c r="A554" s="1">
        <v>134</v>
      </c>
      <c r="B554">
        <v>11</v>
      </c>
      <c r="C554">
        <v>45</v>
      </c>
      <c r="D554">
        <v>3</v>
      </c>
      <c r="E554">
        <v>0</v>
      </c>
      <c r="F554">
        <v>0</v>
      </c>
      <c r="G554">
        <v>2</v>
      </c>
      <c r="H554">
        <v>0</v>
      </c>
      <c r="I554">
        <v>6053.34</v>
      </c>
      <c r="J554">
        <v>9</v>
      </c>
      <c r="K554">
        <v>0</v>
      </c>
      <c r="L554" s="4">
        <v>0.52762781871531461</v>
      </c>
      <c r="M554" s="4">
        <v>0.47237218128468539</v>
      </c>
      <c r="N554">
        <v>2</v>
      </c>
    </row>
    <row r="555" spans="1:14" x14ac:dyDescent="0.35">
      <c r="A555" s="1">
        <v>2704</v>
      </c>
      <c r="B555">
        <v>16</v>
      </c>
      <c r="C555">
        <v>66</v>
      </c>
      <c r="D555">
        <v>1</v>
      </c>
      <c r="E555">
        <v>0</v>
      </c>
      <c r="F555">
        <v>0</v>
      </c>
      <c r="G555">
        <v>2</v>
      </c>
      <c r="H555">
        <v>0</v>
      </c>
      <c r="I555">
        <v>6000</v>
      </c>
      <c r="J555">
        <v>1</v>
      </c>
      <c r="K555">
        <v>1</v>
      </c>
      <c r="L555" s="4">
        <v>0.52833220341746889</v>
      </c>
      <c r="M555" s="4">
        <v>0.47166779658253111</v>
      </c>
      <c r="N555">
        <v>2</v>
      </c>
    </row>
    <row r="556" spans="1:14" x14ac:dyDescent="0.35">
      <c r="A556" s="1">
        <v>1729</v>
      </c>
      <c r="B556">
        <v>13</v>
      </c>
      <c r="C556">
        <v>44</v>
      </c>
      <c r="D556">
        <v>0</v>
      </c>
      <c r="E556">
        <v>2</v>
      </c>
      <c r="F556">
        <v>2</v>
      </c>
      <c r="G556">
        <v>1</v>
      </c>
      <c r="H556">
        <v>0</v>
      </c>
      <c r="I556">
        <v>10000</v>
      </c>
      <c r="J556">
        <v>11</v>
      </c>
      <c r="K556">
        <v>1</v>
      </c>
      <c r="L556" s="4">
        <v>0.52933920684620728</v>
      </c>
      <c r="M556" s="4">
        <v>0.47066079315379272</v>
      </c>
      <c r="N556">
        <v>2</v>
      </c>
    </row>
    <row r="557" spans="1:14" x14ac:dyDescent="0.35">
      <c r="A557" s="1">
        <v>822</v>
      </c>
      <c r="B557">
        <v>16</v>
      </c>
      <c r="C557">
        <v>64</v>
      </c>
      <c r="D557">
        <v>1</v>
      </c>
      <c r="E557">
        <v>0</v>
      </c>
      <c r="F557">
        <v>1</v>
      </c>
      <c r="G557">
        <v>5</v>
      </c>
      <c r="H557">
        <v>2</v>
      </c>
      <c r="I557">
        <v>1000</v>
      </c>
      <c r="J557">
        <v>13</v>
      </c>
      <c r="K557">
        <v>1</v>
      </c>
      <c r="L557" s="4">
        <v>0.52962885290432515</v>
      </c>
      <c r="M557" s="4">
        <v>0.4703711470956749</v>
      </c>
      <c r="N557">
        <v>2</v>
      </c>
    </row>
    <row r="558" spans="1:14" x14ac:dyDescent="0.35">
      <c r="A558" s="1">
        <v>938</v>
      </c>
      <c r="B558">
        <v>13</v>
      </c>
      <c r="C558">
        <v>54</v>
      </c>
      <c r="D558">
        <v>0</v>
      </c>
      <c r="E558">
        <v>0</v>
      </c>
      <c r="F558">
        <v>2</v>
      </c>
      <c r="G558">
        <v>1</v>
      </c>
      <c r="H558">
        <v>0</v>
      </c>
      <c r="I558">
        <v>6000</v>
      </c>
      <c r="J558">
        <v>23</v>
      </c>
      <c r="K558">
        <v>1</v>
      </c>
      <c r="L558" s="4">
        <v>0.52979010428488327</v>
      </c>
      <c r="M558" s="4">
        <v>0.47020989571511668</v>
      </c>
      <c r="N558">
        <v>2</v>
      </c>
    </row>
    <row r="559" spans="1:14" x14ac:dyDescent="0.35">
      <c r="A559" s="1">
        <v>1265</v>
      </c>
      <c r="B559">
        <v>8</v>
      </c>
      <c r="C559">
        <v>29</v>
      </c>
      <c r="D559">
        <v>5</v>
      </c>
      <c r="E559">
        <v>0</v>
      </c>
      <c r="F559">
        <v>3</v>
      </c>
      <c r="G559">
        <v>3</v>
      </c>
      <c r="H559">
        <v>2</v>
      </c>
      <c r="I559">
        <v>500</v>
      </c>
      <c r="J559">
        <v>9</v>
      </c>
      <c r="K559">
        <v>1</v>
      </c>
      <c r="L559" s="4">
        <v>0.5297980929552113</v>
      </c>
      <c r="M559" s="4">
        <v>0.4702019070447887</v>
      </c>
      <c r="N559">
        <v>2</v>
      </c>
    </row>
    <row r="560" spans="1:14" x14ac:dyDescent="0.35">
      <c r="A560" s="1">
        <v>2048</v>
      </c>
      <c r="B560">
        <v>15</v>
      </c>
      <c r="C560">
        <v>60</v>
      </c>
      <c r="D560">
        <v>2</v>
      </c>
      <c r="E560">
        <v>0</v>
      </c>
      <c r="F560">
        <v>3</v>
      </c>
      <c r="G560">
        <v>3</v>
      </c>
      <c r="H560">
        <v>1</v>
      </c>
      <c r="I560">
        <v>20194.13</v>
      </c>
      <c r="J560">
        <v>12</v>
      </c>
      <c r="K560">
        <v>0</v>
      </c>
      <c r="L560" s="4">
        <v>0.5300129842742497</v>
      </c>
      <c r="M560" s="4">
        <v>0.4699870157257503</v>
      </c>
      <c r="N560">
        <v>2</v>
      </c>
    </row>
    <row r="561" spans="1:14" x14ac:dyDescent="0.35">
      <c r="A561" s="1">
        <v>3452</v>
      </c>
      <c r="B561">
        <v>9</v>
      </c>
      <c r="C561">
        <v>30</v>
      </c>
      <c r="D561">
        <v>4</v>
      </c>
      <c r="E561">
        <v>1</v>
      </c>
      <c r="F561">
        <v>0</v>
      </c>
      <c r="G561">
        <v>2</v>
      </c>
      <c r="H561">
        <v>2</v>
      </c>
      <c r="I561">
        <v>750</v>
      </c>
      <c r="J561">
        <v>4</v>
      </c>
      <c r="K561">
        <v>0</v>
      </c>
      <c r="L561" s="4">
        <v>0.53001956681367557</v>
      </c>
      <c r="M561" s="4">
        <v>0.46998043318632438</v>
      </c>
      <c r="N561">
        <v>2</v>
      </c>
    </row>
    <row r="562" spans="1:14" x14ac:dyDescent="0.35">
      <c r="A562" s="1">
        <v>3751</v>
      </c>
      <c r="B562">
        <v>10</v>
      </c>
      <c r="C562">
        <v>38</v>
      </c>
      <c r="D562">
        <v>3</v>
      </c>
      <c r="E562">
        <v>0</v>
      </c>
      <c r="F562">
        <v>3</v>
      </c>
      <c r="G562">
        <v>3</v>
      </c>
      <c r="H562">
        <v>2</v>
      </c>
      <c r="I562">
        <v>500</v>
      </c>
      <c r="J562">
        <v>9</v>
      </c>
      <c r="K562">
        <v>1</v>
      </c>
      <c r="L562" s="4">
        <v>0.53017801646912999</v>
      </c>
      <c r="M562" s="4">
        <v>0.46982198353087001</v>
      </c>
      <c r="N562">
        <v>2</v>
      </c>
    </row>
    <row r="563" spans="1:14" x14ac:dyDescent="0.35">
      <c r="A563" s="1">
        <v>2097</v>
      </c>
      <c r="B563">
        <v>13</v>
      </c>
      <c r="C563">
        <v>49</v>
      </c>
      <c r="D563">
        <v>5</v>
      </c>
      <c r="E563">
        <v>0</v>
      </c>
      <c r="F563">
        <v>3</v>
      </c>
      <c r="G563">
        <v>8</v>
      </c>
      <c r="H563">
        <v>2</v>
      </c>
      <c r="I563">
        <v>3000.01</v>
      </c>
      <c r="J563">
        <v>14</v>
      </c>
      <c r="K563">
        <v>0</v>
      </c>
      <c r="L563" s="4">
        <v>0.53026768021490756</v>
      </c>
      <c r="M563" s="4">
        <v>0.46973231978509239</v>
      </c>
      <c r="N563">
        <v>2</v>
      </c>
    </row>
    <row r="564" spans="1:14" x14ac:dyDescent="0.35">
      <c r="A564" s="1">
        <v>3431</v>
      </c>
      <c r="B564">
        <v>10</v>
      </c>
      <c r="C564">
        <v>37</v>
      </c>
      <c r="D564">
        <v>5</v>
      </c>
      <c r="E564">
        <v>0</v>
      </c>
      <c r="F564">
        <v>3</v>
      </c>
      <c r="G564">
        <v>3</v>
      </c>
      <c r="H564">
        <v>2</v>
      </c>
      <c r="I564">
        <v>100</v>
      </c>
      <c r="J564">
        <v>2</v>
      </c>
      <c r="K564">
        <v>1</v>
      </c>
      <c r="L564" s="4">
        <v>0.53069391300693636</v>
      </c>
      <c r="M564" s="4">
        <v>0.4693060869930637</v>
      </c>
      <c r="N564">
        <v>2</v>
      </c>
    </row>
    <row r="565" spans="1:14" x14ac:dyDescent="0.35">
      <c r="A565" s="1">
        <v>2</v>
      </c>
      <c r="B565">
        <v>16</v>
      </c>
      <c r="C565">
        <v>65</v>
      </c>
      <c r="D565">
        <v>1</v>
      </c>
      <c r="E565">
        <v>0</v>
      </c>
      <c r="F565">
        <v>2</v>
      </c>
      <c r="G565">
        <v>6</v>
      </c>
      <c r="H565">
        <v>0</v>
      </c>
      <c r="I565">
        <v>6053.35</v>
      </c>
      <c r="J565">
        <v>7</v>
      </c>
      <c r="K565">
        <v>0</v>
      </c>
      <c r="L565" s="4">
        <v>0.5310319745446398</v>
      </c>
      <c r="M565" s="4">
        <v>0.4689680254553602</v>
      </c>
      <c r="N565">
        <v>2</v>
      </c>
    </row>
    <row r="566" spans="1:14" x14ac:dyDescent="0.35">
      <c r="A566" s="1">
        <v>3646</v>
      </c>
      <c r="B566">
        <v>14</v>
      </c>
      <c r="C566">
        <v>54</v>
      </c>
      <c r="D566">
        <v>5</v>
      </c>
      <c r="E566">
        <v>0</v>
      </c>
      <c r="F566">
        <v>1</v>
      </c>
      <c r="G566">
        <v>7</v>
      </c>
      <c r="H566">
        <v>2</v>
      </c>
      <c r="I566">
        <v>100</v>
      </c>
      <c r="J566">
        <v>10</v>
      </c>
      <c r="K566">
        <v>0</v>
      </c>
      <c r="L566" s="4">
        <v>0.53141974348159904</v>
      </c>
      <c r="M566" s="4">
        <v>0.46858025651840091</v>
      </c>
      <c r="N566">
        <v>2</v>
      </c>
    </row>
    <row r="567" spans="1:14" x14ac:dyDescent="0.35">
      <c r="A567" s="1">
        <v>2913</v>
      </c>
      <c r="B567">
        <v>12</v>
      </c>
      <c r="C567">
        <v>49</v>
      </c>
      <c r="D567">
        <v>2</v>
      </c>
      <c r="E567">
        <v>0</v>
      </c>
      <c r="F567">
        <v>0</v>
      </c>
      <c r="G567">
        <v>11</v>
      </c>
      <c r="H567">
        <v>0</v>
      </c>
      <c r="I567">
        <v>6000</v>
      </c>
      <c r="J567">
        <v>12</v>
      </c>
      <c r="K567">
        <v>1</v>
      </c>
      <c r="L567" s="4">
        <v>0.53169135576899595</v>
      </c>
      <c r="M567" s="4">
        <v>0.4683086442310041</v>
      </c>
      <c r="N567">
        <v>2</v>
      </c>
    </row>
    <row r="568" spans="1:14" x14ac:dyDescent="0.35">
      <c r="A568" s="1">
        <v>2808</v>
      </c>
      <c r="B568">
        <v>15</v>
      </c>
      <c r="C568">
        <v>54</v>
      </c>
      <c r="D568">
        <v>0</v>
      </c>
      <c r="E568">
        <v>1</v>
      </c>
      <c r="F568">
        <v>3</v>
      </c>
      <c r="G568">
        <v>3</v>
      </c>
      <c r="H568">
        <v>3</v>
      </c>
      <c r="I568">
        <v>0.01</v>
      </c>
      <c r="J568">
        <v>8</v>
      </c>
      <c r="K568">
        <v>0</v>
      </c>
      <c r="L568" s="4">
        <v>0.531888073625846</v>
      </c>
      <c r="M568" s="4">
        <v>0.468111926374154</v>
      </c>
      <c r="N568">
        <v>2</v>
      </c>
    </row>
    <row r="569" spans="1:14" x14ac:dyDescent="0.35">
      <c r="A569" s="1">
        <v>1899</v>
      </c>
      <c r="B569">
        <v>15</v>
      </c>
      <c r="C569">
        <v>56</v>
      </c>
      <c r="D569">
        <v>1</v>
      </c>
      <c r="E569">
        <v>1</v>
      </c>
      <c r="F569">
        <v>1</v>
      </c>
      <c r="G569">
        <v>12</v>
      </c>
      <c r="H569">
        <v>0</v>
      </c>
      <c r="I569">
        <v>6000</v>
      </c>
      <c r="J569">
        <v>5</v>
      </c>
      <c r="K569">
        <v>0</v>
      </c>
      <c r="L569" s="4">
        <v>0.5322264251272526</v>
      </c>
      <c r="M569" s="4">
        <v>0.46777357487274751</v>
      </c>
      <c r="N569">
        <v>2</v>
      </c>
    </row>
    <row r="570" spans="1:14" x14ac:dyDescent="0.35">
      <c r="A570" s="1">
        <v>34</v>
      </c>
      <c r="B570">
        <v>11</v>
      </c>
      <c r="C570">
        <v>37</v>
      </c>
      <c r="D570">
        <v>5</v>
      </c>
      <c r="E570">
        <v>1</v>
      </c>
      <c r="F570">
        <v>0</v>
      </c>
      <c r="G570">
        <v>4</v>
      </c>
      <c r="H570">
        <v>3</v>
      </c>
      <c r="I570">
        <v>0.01</v>
      </c>
      <c r="J570">
        <v>8</v>
      </c>
      <c r="K570">
        <v>1</v>
      </c>
      <c r="L570" s="4">
        <v>0.5327945272255088</v>
      </c>
      <c r="M570" s="4">
        <v>0.4672054727744912</v>
      </c>
      <c r="N570">
        <v>2</v>
      </c>
    </row>
    <row r="571" spans="1:14" x14ac:dyDescent="0.35">
      <c r="A571" s="1">
        <v>1992</v>
      </c>
      <c r="B571">
        <v>13</v>
      </c>
      <c r="C571">
        <v>50</v>
      </c>
      <c r="D571">
        <v>2</v>
      </c>
      <c r="E571">
        <v>0</v>
      </c>
      <c r="F571">
        <v>3</v>
      </c>
      <c r="G571">
        <v>3</v>
      </c>
      <c r="H571">
        <v>3</v>
      </c>
      <c r="I571">
        <v>0.01</v>
      </c>
      <c r="J571">
        <v>5</v>
      </c>
      <c r="K571">
        <v>1</v>
      </c>
      <c r="L571" s="4">
        <v>0.53381044679461964</v>
      </c>
      <c r="M571" s="4">
        <v>0.46618955320538041</v>
      </c>
      <c r="N571">
        <v>2</v>
      </c>
    </row>
    <row r="572" spans="1:14" x14ac:dyDescent="0.35">
      <c r="A572" s="1">
        <v>1800</v>
      </c>
      <c r="B572">
        <v>11</v>
      </c>
      <c r="C572">
        <v>43</v>
      </c>
      <c r="D572">
        <v>3</v>
      </c>
      <c r="E572">
        <v>0</v>
      </c>
      <c r="F572">
        <v>2</v>
      </c>
      <c r="G572">
        <v>1</v>
      </c>
      <c r="H572">
        <v>2</v>
      </c>
      <c r="I572">
        <v>1100.01</v>
      </c>
      <c r="J572">
        <v>10</v>
      </c>
      <c r="K572">
        <v>1</v>
      </c>
      <c r="L572" s="4">
        <v>0.53403612896896857</v>
      </c>
      <c r="M572" s="4">
        <v>0.46596387103103148</v>
      </c>
      <c r="N572">
        <v>2</v>
      </c>
    </row>
    <row r="573" spans="1:14" x14ac:dyDescent="0.35">
      <c r="A573" s="1">
        <v>1061</v>
      </c>
      <c r="B573">
        <v>6</v>
      </c>
      <c r="C573">
        <v>23</v>
      </c>
      <c r="D573">
        <v>1</v>
      </c>
      <c r="E573">
        <v>0</v>
      </c>
      <c r="F573">
        <v>1</v>
      </c>
      <c r="G573">
        <v>12</v>
      </c>
      <c r="H573">
        <v>2</v>
      </c>
      <c r="I573">
        <v>600</v>
      </c>
      <c r="J573">
        <v>4</v>
      </c>
      <c r="K573">
        <v>0</v>
      </c>
      <c r="L573" s="4">
        <v>0.5347773613389939</v>
      </c>
      <c r="M573" s="4">
        <v>0.4652226386610061</v>
      </c>
      <c r="N573">
        <v>2</v>
      </c>
    </row>
    <row r="574" spans="1:14" x14ac:dyDescent="0.35">
      <c r="A574" s="1">
        <v>1326</v>
      </c>
      <c r="B574">
        <v>14</v>
      </c>
      <c r="C574">
        <v>57</v>
      </c>
      <c r="D574">
        <v>1</v>
      </c>
      <c r="E574">
        <v>0</v>
      </c>
      <c r="F574">
        <v>3</v>
      </c>
      <c r="G574">
        <v>3</v>
      </c>
      <c r="H574">
        <v>0</v>
      </c>
      <c r="I574">
        <v>6000</v>
      </c>
      <c r="J574">
        <v>9</v>
      </c>
      <c r="K574">
        <v>1</v>
      </c>
      <c r="L574" s="4">
        <v>0.53489401141875348</v>
      </c>
      <c r="M574" s="4">
        <v>0.46510598858124652</v>
      </c>
      <c r="N574">
        <v>2</v>
      </c>
    </row>
    <row r="575" spans="1:14" x14ac:dyDescent="0.35">
      <c r="A575" s="1">
        <v>993</v>
      </c>
      <c r="B575">
        <v>15</v>
      </c>
      <c r="C575">
        <v>61</v>
      </c>
      <c r="D575">
        <v>1</v>
      </c>
      <c r="E575">
        <v>0</v>
      </c>
      <c r="F575">
        <v>3</v>
      </c>
      <c r="G575">
        <v>3</v>
      </c>
      <c r="H575">
        <v>0</v>
      </c>
      <c r="I575">
        <v>7500</v>
      </c>
      <c r="J575">
        <v>4</v>
      </c>
      <c r="K575">
        <v>0</v>
      </c>
      <c r="L575" s="4">
        <v>0.53513947631750636</v>
      </c>
      <c r="M575" s="4">
        <v>0.46486052368249359</v>
      </c>
      <c r="N575">
        <v>2</v>
      </c>
    </row>
    <row r="576" spans="1:14" x14ac:dyDescent="0.35">
      <c r="A576" s="1">
        <v>851</v>
      </c>
      <c r="B576">
        <v>11</v>
      </c>
      <c r="C576">
        <v>44</v>
      </c>
      <c r="D576">
        <v>1</v>
      </c>
      <c r="E576">
        <v>0</v>
      </c>
      <c r="F576">
        <v>0</v>
      </c>
      <c r="G576">
        <v>2</v>
      </c>
      <c r="H576">
        <v>3</v>
      </c>
      <c r="I576">
        <v>0.01</v>
      </c>
      <c r="J576">
        <v>8</v>
      </c>
      <c r="K576">
        <v>1</v>
      </c>
      <c r="L576" s="4">
        <v>0.5351713036252691</v>
      </c>
      <c r="M576" s="4">
        <v>0.4648286963747309</v>
      </c>
      <c r="N576">
        <v>2</v>
      </c>
    </row>
    <row r="577" spans="1:14" x14ac:dyDescent="0.35">
      <c r="A577" s="1">
        <v>4067</v>
      </c>
      <c r="B577">
        <v>10</v>
      </c>
      <c r="C577">
        <v>38</v>
      </c>
      <c r="D577">
        <v>1</v>
      </c>
      <c r="E577">
        <v>0</v>
      </c>
      <c r="F577">
        <v>3</v>
      </c>
      <c r="G577">
        <v>8</v>
      </c>
      <c r="H577">
        <v>3</v>
      </c>
      <c r="I577">
        <v>0.01</v>
      </c>
      <c r="J577">
        <v>7</v>
      </c>
      <c r="K577">
        <v>1</v>
      </c>
      <c r="L577" s="4">
        <v>0.53571118634520776</v>
      </c>
      <c r="M577" s="4">
        <v>0.46428881365479219</v>
      </c>
      <c r="N577">
        <v>2</v>
      </c>
    </row>
    <row r="578" spans="1:14" x14ac:dyDescent="0.35">
      <c r="A578" s="1">
        <v>436</v>
      </c>
      <c r="B578">
        <v>13</v>
      </c>
      <c r="C578">
        <v>51</v>
      </c>
      <c r="D578">
        <v>2</v>
      </c>
      <c r="E578">
        <v>0</v>
      </c>
      <c r="F578">
        <v>2</v>
      </c>
      <c r="G578">
        <v>6</v>
      </c>
      <c r="H578">
        <v>2</v>
      </c>
      <c r="I578">
        <v>158</v>
      </c>
      <c r="J578">
        <v>2</v>
      </c>
      <c r="K578">
        <v>0</v>
      </c>
      <c r="L578" s="4">
        <v>0.53575262835837667</v>
      </c>
      <c r="M578" s="4">
        <v>0.46424737164162339</v>
      </c>
      <c r="N578">
        <v>2</v>
      </c>
    </row>
    <row r="579" spans="1:14" x14ac:dyDescent="0.35">
      <c r="A579" s="1">
        <v>3430</v>
      </c>
      <c r="B579">
        <v>8</v>
      </c>
      <c r="C579">
        <v>29</v>
      </c>
      <c r="D579">
        <v>4</v>
      </c>
      <c r="E579">
        <v>0</v>
      </c>
      <c r="F579">
        <v>3</v>
      </c>
      <c r="G579">
        <v>3</v>
      </c>
      <c r="H579">
        <v>3</v>
      </c>
      <c r="I579">
        <v>0.01</v>
      </c>
      <c r="J579">
        <v>4</v>
      </c>
      <c r="K579">
        <v>1</v>
      </c>
      <c r="L579" s="4">
        <v>0.53600596314319549</v>
      </c>
      <c r="M579" s="4">
        <v>0.46399403685680451</v>
      </c>
      <c r="N579">
        <v>2</v>
      </c>
    </row>
    <row r="580" spans="1:14" x14ac:dyDescent="0.35">
      <c r="A580" s="1">
        <v>3037</v>
      </c>
      <c r="B580">
        <v>8</v>
      </c>
      <c r="C580">
        <v>30</v>
      </c>
      <c r="D580">
        <v>2</v>
      </c>
      <c r="E580">
        <v>0</v>
      </c>
      <c r="F580">
        <v>3</v>
      </c>
      <c r="G580">
        <v>3</v>
      </c>
      <c r="H580">
        <v>3</v>
      </c>
      <c r="I580">
        <v>0.01</v>
      </c>
      <c r="J580">
        <v>9</v>
      </c>
      <c r="K580">
        <v>0</v>
      </c>
      <c r="L580" s="4">
        <v>0.53629030823523571</v>
      </c>
      <c r="M580" s="4">
        <v>0.46370969176476429</v>
      </c>
      <c r="N580">
        <v>2</v>
      </c>
    </row>
    <row r="581" spans="1:14" x14ac:dyDescent="0.35">
      <c r="A581" s="1">
        <v>1689</v>
      </c>
      <c r="B581">
        <v>12</v>
      </c>
      <c r="C581">
        <v>48</v>
      </c>
      <c r="D581">
        <v>5</v>
      </c>
      <c r="E581">
        <v>0</v>
      </c>
      <c r="F581">
        <v>0</v>
      </c>
      <c r="G581">
        <v>11</v>
      </c>
      <c r="H581">
        <v>0</v>
      </c>
      <c r="I581">
        <v>6053.34</v>
      </c>
      <c r="J581">
        <v>12</v>
      </c>
      <c r="K581">
        <v>0</v>
      </c>
      <c r="L581" s="4">
        <v>0.53633171745746089</v>
      </c>
      <c r="M581" s="4">
        <v>0.46366828254253911</v>
      </c>
      <c r="N581">
        <v>2</v>
      </c>
    </row>
    <row r="582" spans="1:14" x14ac:dyDescent="0.35">
      <c r="A582" s="1">
        <v>1918</v>
      </c>
      <c r="B582">
        <v>9</v>
      </c>
      <c r="C582">
        <v>31</v>
      </c>
      <c r="D582">
        <v>3</v>
      </c>
      <c r="E582">
        <v>1</v>
      </c>
      <c r="F582">
        <v>3</v>
      </c>
      <c r="G582">
        <v>3</v>
      </c>
      <c r="H582">
        <v>0</v>
      </c>
      <c r="I582">
        <v>6000</v>
      </c>
      <c r="J582">
        <v>6</v>
      </c>
      <c r="K582">
        <v>0</v>
      </c>
      <c r="L582" s="4">
        <v>0.53638698104896321</v>
      </c>
      <c r="M582" s="4">
        <v>0.46361301895103679</v>
      </c>
      <c r="N582">
        <v>2</v>
      </c>
    </row>
    <row r="583" spans="1:14" x14ac:dyDescent="0.35">
      <c r="A583" s="1">
        <v>1635</v>
      </c>
      <c r="B583">
        <v>8</v>
      </c>
      <c r="C583">
        <v>30</v>
      </c>
      <c r="D583">
        <v>5</v>
      </c>
      <c r="E583">
        <v>0</v>
      </c>
      <c r="F583">
        <v>4</v>
      </c>
      <c r="G583">
        <v>9</v>
      </c>
      <c r="H583">
        <v>0</v>
      </c>
      <c r="I583">
        <v>8700</v>
      </c>
      <c r="J583">
        <v>2</v>
      </c>
      <c r="K583">
        <v>1</v>
      </c>
      <c r="L583" s="4">
        <v>0.53708907749927326</v>
      </c>
      <c r="M583" s="4">
        <v>0.46291092250072668</v>
      </c>
      <c r="N583">
        <v>2</v>
      </c>
    </row>
    <row r="584" spans="1:14" x14ac:dyDescent="0.35">
      <c r="A584" s="1">
        <v>4206</v>
      </c>
      <c r="B584">
        <v>9</v>
      </c>
      <c r="C584">
        <v>33</v>
      </c>
      <c r="D584">
        <v>2</v>
      </c>
      <c r="E584">
        <v>0</v>
      </c>
      <c r="F584">
        <v>4</v>
      </c>
      <c r="G584">
        <v>9</v>
      </c>
      <c r="H584">
        <v>3</v>
      </c>
      <c r="I584">
        <v>0.01</v>
      </c>
      <c r="J584">
        <v>4</v>
      </c>
      <c r="K584">
        <v>0</v>
      </c>
      <c r="L584" s="4">
        <v>0.53743191666416434</v>
      </c>
      <c r="M584" s="4">
        <v>0.46256808333583571</v>
      </c>
      <c r="N584">
        <v>2</v>
      </c>
    </row>
    <row r="585" spans="1:14" x14ac:dyDescent="0.35">
      <c r="A585" s="1">
        <v>4040</v>
      </c>
      <c r="B585">
        <v>10</v>
      </c>
      <c r="C585">
        <v>39</v>
      </c>
      <c r="D585">
        <v>0</v>
      </c>
      <c r="E585">
        <v>0</v>
      </c>
      <c r="F585">
        <v>3</v>
      </c>
      <c r="G585">
        <v>3</v>
      </c>
      <c r="H585">
        <v>3</v>
      </c>
      <c r="I585">
        <v>0.01</v>
      </c>
      <c r="J585">
        <v>5</v>
      </c>
      <c r="K585">
        <v>1</v>
      </c>
      <c r="L585" s="4">
        <v>0.53794747839081403</v>
      </c>
      <c r="M585" s="4">
        <v>0.46205252160918597</v>
      </c>
      <c r="N585">
        <v>2</v>
      </c>
    </row>
    <row r="586" spans="1:14" x14ac:dyDescent="0.35">
      <c r="A586" s="1">
        <v>2825</v>
      </c>
      <c r="B586">
        <v>9</v>
      </c>
      <c r="C586">
        <v>33</v>
      </c>
      <c r="D586">
        <v>5</v>
      </c>
      <c r="E586">
        <v>0</v>
      </c>
      <c r="F586">
        <v>1</v>
      </c>
      <c r="G586">
        <v>12</v>
      </c>
      <c r="H586">
        <v>3</v>
      </c>
      <c r="I586">
        <v>0.01</v>
      </c>
      <c r="J586">
        <v>8</v>
      </c>
      <c r="K586">
        <v>0</v>
      </c>
      <c r="L586" s="4">
        <v>0.5386650879109206</v>
      </c>
      <c r="M586" s="4">
        <v>0.4613349120890794</v>
      </c>
      <c r="N586">
        <v>2</v>
      </c>
    </row>
    <row r="587" spans="1:14" x14ac:dyDescent="0.35">
      <c r="A587" s="1">
        <v>2609</v>
      </c>
      <c r="B587">
        <v>9</v>
      </c>
      <c r="C587">
        <v>35</v>
      </c>
      <c r="D587">
        <v>3</v>
      </c>
      <c r="E587">
        <v>0</v>
      </c>
      <c r="F587">
        <v>0</v>
      </c>
      <c r="G587">
        <v>4</v>
      </c>
      <c r="H587">
        <v>3</v>
      </c>
      <c r="I587">
        <v>0.01</v>
      </c>
      <c r="J587">
        <v>4</v>
      </c>
      <c r="K587">
        <v>1</v>
      </c>
      <c r="L587" s="4">
        <v>0.53879981576309977</v>
      </c>
      <c r="M587" s="4">
        <v>0.46120018423690018</v>
      </c>
      <c r="N587">
        <v>2</v>
      </c>
    </row>
    <row r="588" spans="1:14" x14ac:dyDescent="0.35">
      <c r="A588" s="1">
        <v>4190</v>
      </c>
      <c r="B588">
        <v>10</v>
      </c>
      <c r="C588">
        <v>39</v>
      </c>
      <c r="D588">
        <v>2</v>
      </c>
      <c r="E588">
        <v>0</v>
      </c>
      <c r="F588">
        <v>3</v>
      </c>
      <c r="G588">
        <v>3</v>
      </c>
      <c r="H588">
        <v>2</v>
      </c>
      <c r="I588">
        <v>3000</v>
      </c>
      <c r="J588">
        <v>5</v>
      </c>
      <c r="K588">
        <v>1</v>
      </c>
      <c r="L588" s="4">
        <v>0.5388818962371148</v>
      </c>
      <c r="M588" s="4">
        <v>0.4611181037628852</v>
      </c>
      <c r="N588">
        <v>2</v>
      </c>
    </row>
    <row r="589" spans="1:14" x14ac:dyDescent="0.35">
      <c r="A589" s="1">
        <v>2664</v>
      </c>
      <c r="B589">
        <v>9</v>
      </c>
      <c r="C589">
        <v>36</v>
      </c>
      <c r="D589">
        <v>3</v>
      </c>
      <c r="E589">
        <v>0</v>
      </c>
      <c r="F589">
        <v>3</v>
      </c>
      <c r="G589">
        <v>3</v>
      </c>
      <c r="H589">
        <v>0</v>
      </c>
      <c r="I589">
        <v>6000</v>
      </c>
      <c r="J589">
        <v>2</v>
      </c>
      <c r="K589">
        <v>0</v>
      </c>
      <c r="L589" s="4">
        <v>0.53900527669059439</v>
      </c>
      <c r="M589" s="4">
        <v>0.46099472330940572</v>
      </c>
      <c r="N589">
        <v>2</v>
      </c>
    </row>
    <row r="590" spans="1:14" x14ac:dyDescent="0.35">
      <c r="A590" s="1">
        <v>2119</v>
      </c>
      <c r="B590">
        <v>12</v>
      </c>
      <c r="C590">
        <v>48</v>
      </c>
      <c r="D590">
        <v>5</v>
      </c>
      <c r="E590">
        <v>0</v>
      </c>
      <c r="F590">
        <v>0</v>
      </c>
      <c r="G590">
        <v>11</v>
      </c>
      <c r="H590">
        <v>0</v>
      </c>
      <c r="I590">
        <v>6544.76</v>
      </c>
      <c r="J590">
        <v>2</v>
      </c>
      <c r="K590">
        <v>0</v>
      </c>
      <c r="L590" s="4">
        <v>0.53932915194695585</v>
      </c>
      <c r="M590" s="4">
        <v>0.46067084805304409</v>
      </c>
      <c r="N590">
        <v>2</v>
      </c>
    </row>
    <row r="591" spans="1:14" x14ac:dyDescent="0.35">
      <c r="A591" s="1">
        <v>1570</v>
      </c>
      <c r="B591">
        <v>13</v>
      </c>
      <c r="C591">
        <v>45</v>
      </c>
      <c r="D591">
        <v>5</v>
      </c>
      <c r="E591">
        <v>1</v>
      </c>
      <c r="F591">
        <v>1</v>
      </c>
      <c r="G591">
        <v>5</v>
      </c>
      <c r="H591">
        <v>3</v>
      </c>
      <c r="I591">
        <v>0.01</v>
      </c>
      <c r="J591">
        <v>8</v>
      </c>
      <c r="K591">
        <v>0</v>
      </c>
      <c r="L591" s="4">
        <v>0.53972543957649388</v>
      </c>
      <c r="M591" s="4">
        <v>0.46027456042350617</v>
      </c>
      <c r="N591">
        <v>2</v>
      </c>
    </row>
    <row r="592" spans="1:14" x14ac:dyDescent="0.35">
      <c r="A592" s="1">
        <v>2388</v>
      </c>
      <c r="B592">
        <v>15</v>
      </c>
      <c r="C592">
        <v>62</v>
      </c>
      <c r="D592">
        <v>1</v>
      </c>
      <c r="E592">
        <v>0</v>
      </c>
      <c r="F592">
        <v>1</v>
      </c>
      <c r="G592">
        <v>7</v>
      </c>
      <c r="H592">
        <v>0</v>
      </c>
      <c r="I592">
        <v>8400</v>
      </c>
      <c r="J592">
        <v>6</v>
      </c>
      <c r="K592">
        <v>0</v>
      </c>
      <c r="L592" s="4">
        <v>0.54042451645306522</v>
      </c>
      <c r="M592" s="4">
        <v>0.45957548354693478</v>
      </c>
      <c r="N592">
        <v>2</v>
      </c>
    </row>
    <row r="593" spans="1:14" x14ac:dyDescent="0.35">
      <c r="A593" s="1">
        <v>145</v>
      </c>
      <c r="B593">
        <v>8</v>
      </c>
      <c r="C593">
        <v>31</v>
      </c>
      <c r="D593">
        <v>5</v>
      </c>
      <c r="E593">
        <v>0</v>
      </c>
      <c r="F593">
        <v>0</v>
      </c>
      <c r="G593">
        <v>4</v>
      </c>
      <c r="H593">
        <v>2</v>
      </c>
      <c r="I593">
        <v>5000</v>
      </c>
      <c r="J593">
        <v>1</v>
      </c>
      <c r="K593">
        <v>0</v>
      </c>
      <c r="L593" s="4">
        <v>0.5406416910048103</v>
      </c>
      <c r="M593" s="4">
        <v>0.4593583089951897</v>
      </c>
      <c r="N593">
        <v>2</v>
      </c>
    </row>
    <row r="594" spans="1:14" x14ac:dyDescent="0.35">
      <c r="A594" s="1">
        <v>4299</v>
      </c>
      <c r="B594">
        <v>11</v>
      </c>
      <c r="C594">
        <v>44</v>
      </c>
      <c r="D594">
        <v>5</v>
      </c>
      <c r="E594">
        <v>0</v>
      </c>
      <c r="F594">
        <v>1</v>
      </c>
      <c r="G594">
        <v>7</v>
      </c>
      <c r="H594">
        <v>0</v>
      </c>
      <c r="I594">
        <v>7000</v>
      </c>
      <c r="J594">
        <v>4</v>
      </c>
      <c r="K594">
        <v>0</v>
      </c>
      <c r="L594" s="4">
        <v>0.54086545808712883</v>
      </c>
      <c r="M594" s="4">
        <v>0.45913454191287112</v>
      </c>
      <c r="N594">
        <v>2</v>
      </c>
    </row>
    <row r="595" spans="1:14" x14ac:dyDescent="0.35">
      <c r="A595" s="1">
        <v>1052</v>
      </c>
      <c r="B595">
        <v>11</v>
      </c>
      <c r="C595">
        <v>42</v>
      </c>
      <c r="D595">
        <v>3</v>
      </c>
      <c r="E595">
        <v>0</v>
      </c>
      <c r="F595">
        <v>3</v>
      </c>
      <c r="G595">
        <v>3</v>
      </c>
      <c r="H595">
        <v>3</v>
      </c>
      <c r="I595">
        <v>0.01</v>
      </c>
      <c r="J595">
        <v>4</v>
      </c>
      <c r="K595">
        <v>1</v>
      </c>
      <c r="L595" s="4">
        <v>0.54216946115002596</v>
      </c>
      <c r="M595" s="4">
        <v>0.45783053884997399</v>
      </c>
      <c r="N595">
        <v>2</v>
      </c>
    </row>
    <row r="596" spans="1:14" x14ac:dyDescent="0.35">
      <c r="A596" s="1">
        <v>2198</v>
      </c>
      <c r="B596">
        <v>8</v>
      </c>
      <c r="C596">
        <v>30</v>
      </c>
      <c r="D596">
        <v>3</v>
      </c>
      <c r="E596">
        <v>0</v>
      </c>
      <c r="F596">
        <v>1</v>
      </c>
      <c r="G596">
        <v>12</v>
      </c>
      <c r="H596">
        <v>3</v>
      </c>
      <c r="I596">
        <v>0.01</v>
      </c>
      <c r="J596">
        <v>5</v>
      </c>
      <c r="K596">
        <v>1</v>
      </c>
      <c r="L596" s="4">
        <v>0.5422528200851302</v>
      </c>
      <c r="M596" s="4">
        <v>0.45774717991486968</v>
      </c>
      <c r="N596">
        <v>2</v>
      </c>
    </row>
    <row r="597" spans="1:14" x14ac:dyDescent="0.35">
      <c r="A597" s="1">
        <v>3425</v>
      </c>
      <c r="B597">
        <v>11</v>
      </c>
      <c r="C597">
        <v>44</v>
      </c>
      <c r="D597">
        <v>2</v>
      </c>
      <c r="E597">
        <v>0</v>
      </c>
      <c r="F597">
        <v>0</v>
      </c>
      <c r="G597">
        <v>10</v>
      </c>
      <c r="H597">
        <v>2</v>
      </c>
      <c r="I597">
        <v>2500</v>
      </c>
      <c r="J597">
        <v>2</v>
      </c>
      <c r="K597">
        <v>1</v>
      </c>
      <c r="L597" s="4">
        <v>0.54259822187559736</v>
      </c>
      <c r="M597" s="4">
        <v>0.45740177812440258</v>
      </c>
      <c r="N597">
        <v>2</v>
      </c>
    </row>
    <row r="598" spans="1:14" x14ac:dyDescent="0.35">
      <c r="A598" s="1">
        <v>4100</v>
      </c>
      <c r="B598">
        <v>9</v>
      </c>
      <c r="C598">
        <v>34</v>
      </c>
      <c r="D598">
        <v>3</v>
      </c>
      <c r="E598">
        <v>0</v>
      </c>
      <c r="F598">
        <v>3</v>
      </c>
      <c r="G598">
        <v>3</v>
      </c>
      <c r="H598">
        <v>3</v>
      </c>
      <c r="I598">
        <v>0.01</v>
      </c>
      <c r="J598">
        <v>5</v>
      </c>
      <c r="K598">
        <v>1</v>
      </c>
      <c r="L598" s="4">
        <v>0.54335036456237384</v>
      </c>
      <c r="M598" s="4">
        <v>0.4566496354376261</v>
      </c>
      <c r="N598">
        <v>2</v>
      </c>
    </row>
    <row r="599" spans="1:14" x14ac:dyDescent="0.35">
      <c r="A599" s="1">
        <v>2465</v>
      </c>
      <c r="B599">
        <v>15</v>
      </c>
      <c r="C599">
        <v>62</v>
      </c>
      <c r="D599">
        <v>3</v>
      </c>
      <c r="E599">
        <v>0</v>
      </c>
      <c r="F599">
        <v>0</v>
      </c>
      <c r="G599">
        <v>4</v>
      </c>
      <c r="H599">
        <v>0</v>
      </c>
      <c r="I599">
        <v>6000</v>
      </c>
      <c r="J599">
        <v>5</v>
      </c>
      <c r="K599">
        <v>1</v>
      </c>
      <c r="L599" s="4">
        <v>0.54361776996841171</v>
      </c>
      <c r="M599" s="4">
        <v>0.45638223003158829</v>
      </c>
      <c r="N599">
        <v>2</v>
      </c>
    </row>
    <row r="600" spans="1:14" x14ac:dyDescent="0.35">
      <c r="A600" s="1">
        <v>2469</v>
      </c>
      <c r="B600">
        <v>9</v>
      </c>
      <c r="C600">
        <v>34</v>
      </c>
      <c r="D600">
        <v>2</v>
      </c>
      <c r="E600">
        <v>0</v>
      </c>
      <c r="F600">
        <v>3</v>
      </c>
      <c r="G600">
        <v>8</v>
      </c>
      <c r="H600">
        <v>3</v>
      </c>
      <c r="I600">
        <v>0.01</v>
      </c>
      <c r="J600">
        <v>5</v>
      </c>
      <c r="K600">
        <v>1</v>
      </c>
      <c r="L600" s="4">
        <v>0.54363439841731487</v>
      </c>
      <c r="M600" s="4">
        <v>0.45636560158268508</v>
      </c>
      <c r="N600">
        <v>2</v>
      </c>
    </row>
    <row r="601" spans="1:14" x14ac:dyDescent="0.35">
      <c r="A601" s="1">
        <v>1063</v>
      </c>
      <c r="B601">
        <v>8</v>
      </c>
      <c r="C601">
        <v>31</v>
      </c>
      <c r="D601">
        <v>2</v>
      </c>
      <c r="E601">
        <v>0</v>
      </c>
      <c r="F601">
        <v>1</v>
      </c>
      <c r="G601">
        <v>7</v>
      </c>
      <c r="H601">
        <v>3</v>
      </c>
      <c r="I601">
        <v>0.01</v>
      </c>
      <c r="J601">
        <v>5</v>
      </c>
      <c r="K601">
        <v>1</v>
      </c>
      <c r="L601" s="4">
        <v>0.5438468785637629</v>
      </c>
      <c r="M601" s="4">
        <v>0.45615312143623699</v>
      </c>
      <c r="N601">
        <v>2</v>
      </c>
    </row>
    <row r="602" spans="1:14" x14ac:dyDescent="0.35">
      <c r="A602" s="1">
        <v>3853</v>
      </c>
      <c r="B602">
        <v>9</v>
      </c>
      <c r="C602">
        <v>36</v>
      </c>
      <c r="D602">
        <v>4</v>
      </c>
      <c r="E602">
        <v>0</v>
      </c>
      <c r="F602">
        <v>0</v>
      </c>
      <c r="G602">
        <v>2</v>
      </c>
      <c r="H602">
        <v>2</v>
      </c>
      <c r="I602">
        <v>420.01</v>
      </c>
      <c r="J602">
        <v>10</v>
      </c>
      <c r="K602">
        <v>1</v>
      </c>
      <c r="L602" s="4">
        <v>0.54453432680430269</v>
      </c>
      <c r="M602" s="4">
        <v>0.45546567319569731</v>
      </c>
      <c r="N602">
        <v>2</v>
      </c>
    </row>
    <row r="603" spans="1:14" x14ac:dyDescent="0.35">
      <c r="A603" s="1">
        <v>4340</v>
      </c>
      <c r="B603">
        <v>12</v>
      </c>
      <c r="C603">
        <v>47</v>
      </c>
      <c r="D603">
        <v>2</v>
      </c>
      <c r="E603">
        <v>0</v>
      </c>
      <c r="F603">
        <v>3</v>
      </c>
      <c r="G603">
        <v>8</v>
      </c>
      <c r="H603">
        <v>2</v>
      </c>
      <c r="I603">
        <v>3000</v>
      </c>
      <c r="J603">
        <v>3</v>
      </c>
      <c r="K603">
        <v>0</v>
      </c>
      <c r="L603" s="4">
        <v>0.54483329764872246</v>
      </c>
      <c r="M603" s="4">
        <v>0.45516670235127749</v>
      </c>
      <c r="N603">
        <v>2</v>
      </c>
    </row>
    <row r="604" spans="1:14" x14ac:dyDescent="0.35">
      <c r="A604" s="1">
        <v>1845</v>
      </c>
      <c r="B604">
        <v>10</v>
      </c>
      <c r="C604">
        <v>39</v>
      </c>
      <c r="D604">
        <v>3</v>
      </c>
      <c r="E604">
        <v>0</v>
      </c>
      <c r="F604">
        <v>3</v>
      </c>
      <c r="G604">
        <v>3</v>
      </c>
      <c r="H604">
        <v>2</v>
      </c>
      <c r="I604">
        <v>2000</v>
      </c>
      <c r="J604">
        <v>6</v>
      </c>
      <c r="K604">
        <v>0</v>
      </c>
      <c r="L604" s="4">
        <v>0.54549156825124512</v>
      </c>
      <c r="M604" s="4">
        <v>0.45450843174875488</v>
      </c>
      <c r="N604">
        <v>2</v>
      </c>
    </row>
    <row r="605" spans="1:14" x14ac:dyDescent="0.35">
      <c r="A605" s="1">
        <v>1486</v>
      </c>
      <c r="B605">
        <v>12</v>
      </c>
      <c r="C605">
        <v>47</v>
      </c>
      <c r="D605">
        <v>1</v>
      </c>
      <c r="E605">
        <v>0</v>
      </c>
      <c r="F605">
        <v>4</v>
      </c>
      <c r="G605">
        <v>9</v>
      </c>
      <c r="H605">
        <v>2</v>
      </c>
      <c r="I605">
        <v>960</v>
      </c>
      <c r="J605">
        <v>8</v>
      </c>
      <c r="K605">
        <v>0</v>
      </c>
      <c r="L605" s="4">
        <v>0.54594241205704885</v>
      </c>
      <c r="M605" s="4">
        <v>0.45405758794295109</v>
      </c>
      <c r="N605">
        <v>2</v>
      </c>
    </row>
    <row r="606" spans="1:14" x14ac:dyDescent="0.35">
      <c r="A606" s="1">
        <v>3624</v>
      </c>
      <c r="B606">
        <v>11</v>
      </c>
      <c r="C606">
        <v>43</v>
      </c>
      <c r="D606">
        <v>4</v>
      </c>
      <c r="E606">
        <v>0</v>
      </c>
      <c r="F606">
        <v>4</v>
      </c>
      <c r="G606">
        <v>9</v>
      </c>
      <c r="H606">
        <v>1</v>
      </c>
      <c r="I606">
        <v>23042.91</v>
      </c>
      <c r="J606">
        <v>8</v>
      </c>
      <c r="K606">
        <v>1</v>
      </c>
      <c r="L606" s="4">
        <v>0.54652163338423987</v>
      </c>
      <c r="M606" s="4">
        <v>0.45347836661576008</v>
      </c>
      <c r="N606">
        <v>2</v>
      </c>
    </row>
    <row r="607" spans="1:14" x14ac:dyDescent="0.35">
      <c r="A607" s="1">
        <v>833</v>
      </c>
      <c r="B607">
        <v>9</v>
      </c>
      <c r="C607">
        <v>35</v>
      </c>
      <c r="D607">
        <v>2</v>
      </c>
      <c r="E607">
        <v>0</v>
      </c>
      <c r="F607">
        <v>3</v>
      </c>
      <c r="G607">
        <v>8</v>
      </c>
      <c r="H607">
        <v>2</v>
      </c>
      <c r="I607">
        <v>680.01</v>
      </c>
      <c r="J607">
        <v>5</v>
      </c>
      <c r="K607">
        <v>1</v>
      </c>
      <c r="L607" s="4">
        <v>0.54736983342089562</v>
      </c>
      <c r="M607" s="4">
        <v>0.45263016657910438</v>
      </c>
      <c r="N607">
        <v>2</v>
      </c>
    </row>
    <row r="608" spans="1:14" x14ac:dyDescent="0.35">
      <c r="A608" s="1">
        <v>4093</v>
      </c>
      <c r="B608">
        <v>14</v>
      </c>
      <c r="C608">
        <v>55</v>
      </c>
      <c r="D608">
        <v>4</v>
      </c>
      <c r="E608">
        <v>0</v>
      </c>
      <c r="F608">
        <v>1</v>
      </c>
      <c r="G608">
        <v>5</v>
      </c>
      <c r="H608">
        <v>3</v>
      </c>
      <c r="I608">
        <v>0.01</v>
      </c>
      <c r="J608">
        <v>10</v>
      </c>
      <c r="K608">
        <v>0</v>
      </c>
      <c r="L608" s="4">
        <v>0.54807836523802567</v>
      </c>
      <c r="M608" s="4">
        <v>0.45192163476197439</v>
      </c>
      <c r="N608">
        <v>2</v>
      </c>
    </row>
    <row r="609" spans="1:14" x14ac:dyDescent="0.35">
      <c r="A609" s="1">
        <v>3641</v>
      </c>
      <c r="B609">
        <v>13</v>
      </c>
      <c r="C609">
        <v>51</v>
      </c>
      <c r="D609">
        <v>1</v>
      </c>
      <c r="E609">
        <v>0</v>
      </c>
      <c r="F609">
        <v>3</v>
      </c>
      <c r="G609">
        <v>8</v>
      </c>
      <c r="H609">
        <v>3</v>
      </c>
      <c r="I609">
        <v>0.01</v>
      </c>
      <c r="J609">
        <v>7</v>
      </c>
      <c r="K609">
        <v>0</v>
      </c>
      <c r="L609" s="4">
        <v>0.54839718930212245</v>
      </c>
      <c r="M609" s="4">
        <v>0.45160281069787761</v>
      </c>
      <c r="N609">
        <v>2</v>
      </c>
    </row>
    <row r="610" spans="1:14" x14ac:dyDescent="0.35">
      <c r="A610" s="1">
        <v>2168</v>
      </c>
      <c r="B610">
        <v>13</v>
      </c>
      <c r="C610">
        <v>51</v>
      </c>
      <c r="D610">
        <v>5</v>
      </c>
      <c r="E610">
        <v>0</v>
      </c>
      <c r="F610">
        <v>0</v>
      </c>
      <c r="G610">
        <v>4</v>
      </c>
      <c r="H610">
        <v>3</v>
      </c>
      <c r="I610">
        <v>0.01</v>
      </c>
      <c r="J610">
        <v>5</v>
      </c>
      <c r="K610">
        <v>1</v>
      </c>
      <c r="L610" s="4">
        <v>0.54853292070558823</v>
      </c>
      <c r="M610" s="4">
        <v>0.45146707929441182</v>
      </c>
      <c r="N610">
        <v>2</v>
      </c>
    </row>
    <row r="611" spans="1:14" x14ac:dyDescent="0.35">
      <c r="A611" s="1">
        <v>1339</v>
      </c>
      <c r="B611">
        <v>10</v>
      </c>
      <c r="C611">
        <v>35</v>
      </c>
      <c r="D611">
        <v>3</v>
      </c>
      <c r="E611">
        <v>1</v>
      </c>
      <c r="F611">
        <v>0</v>
      </c>
      <c r="G611">
        <v>2</v>
      </c>
      <c r="H611">
        <v>3</v>
      </c>
      <c r="I611">
        <v>0.01</v>
      </c>
      <c r="J611">
        <v>5</v>
      </c>
      <c r="K611">
        <v>0</v>
      </c>
      <c r="L611" s="4">
        <v>0.54859783523143024</v>
      </c>
      <c r="M611" s="4">
        <v>0.4514021647685697</v>
      </c>
      <c r="N611">
        <v>2</v>
      </c>
    </row>
    <row r="612" spans="1:14" x14ac:dyDescent="0.35">
      <c r="A612" s="1">
        <v>726</v>
      </c>
      <c r="B612">
        <v>11</v>
      </c>
      <c r="C612">
        <v>42</v>
      </c>
      <c r="D612">
        <v>3</v>
      </c>
      <c r="E612">
        <v>0</v>
      </c>
      <c r="F612">
        <v>3</v>
      </c>
      <c r="G612">
        <v>8</v>
      </c>
      <c r="H612">
        <v>3</v>
      </c>
      <c r="I612">
        <v>0.01</v>
      </c>
      <c r="J612">
        <v>5</v>
      </c>
      <c r="K612">
        <v>0</v>
      </c>
      <c r="L612" s="4">
        <v>0.54865596369511338</v>
      </c>
      <c r="M612" s="4">
        <v>0.45134403630488662</v>
      </c>
      <c r="N612">
        <v>2</v>
      </c>
    </row>
    <row r="613" spans="1:14" x14ac:dyDescent="0.35">
      <c r="A613" s="1">
        <v>1934</v>
      </c>
      <c r="B613">
        <v>10</v>
      </c>
      <c r="C613">
        <v>40</v>
      </c>
      <c r="D613">
        <v>1</v>
      </c>
      <c r="E613">
        <v>0</v>
      </c>
      <c r="F613">
        <v>2</v>
      </c>
      <c r="G613">
        <v>1</v>
      </c>
      <c r="H613">
        <v>3</v>
      </c>
      <c r="I613">
        <v>0.01</v>
      </c>
      <c r="J613">
        <v>8</v>
      </c>
      <c r="K613">
        <v>1</v>
      </c>
      <c r="L613" s="4">
        <v>0.54867031028295321</v>
      </c>
      <c r="M613" s="4">
        <v>0.45132968971704679</v>
      </c>
      <c r="N613">
        <v>2</v>
      </c>
    </row>
    <row r="614" spans="1:14" x14ac:dyDescent="0.35">
      <c r="A614" s="1">
        <v>2512</v>
      </c>
      <c r="B614">
        <v>9</v>
      </c>
      <c r="C614">
        <v>35</v>
      </c>
      <c r="D614">
        <v>5</v>
      </c>
      <c r="E614">
        <v>0</v>
      </c>
      <c r="F614">
        <v>0</v>
      </c>
      <c r="G614">
        <v>11</v>
      </c>
      <c r="H614">
        <v>2</v>
      </c>
      <c r="I614">
        <v>100</v>
      </c>
      <c r="J614">
        <v>8</v>
      </c>
      <c r="K614">
        <v>1</v>
      </c>
      <c r="L614" s="4">
        <v>0.54914836104203224</v>
      </c>
      <c r="M614" s="4">
        <v>0.45085163895796782</v>
      </c>
      <c r="N614">
        <v>2</v>
      </c>
    </row>
    <row r="615" spans="1:14" x14ac:dyDescent="0.35">
      <c r="A615" s="1">
        <v>2517</v>
      </c>
      <c r="B615">
        <v>10</v>
      </c>
      <c r="C615">
        <v>40</v>
      </c>
      <c r="D615">
        <v>3</v>
      </c>
      <c r="E615">
        <v>0</v>
      </c>
      <c r="F615">
        <v>0</v>
      </c>
      <c r="G615">
        <v>2</v>
      </c>
      <c r="H615">
        <v>3</v>
      </c>
      <c r="I615">
        <v>0.01</v>
      </c>
      <c r="J615">
        <v>7</v>
      </c>
      <c r="K615">
        <v>1</v>
      </c>
      <c r="L615" s="4">
        <v>0.54929675115608201</v>
      </c>
      <c r="M615" s="4">
        <v>0.45070324884391788</v>
      </c>
      <c r="N615">
        <v>2</v>
      </c>
    </row>
    <row r="616" spans="1:14" x14ac:dyDescent="0.35">
      <c r="A616" s="1">
        <v>1692</v>
      </c>
      <c r="B616">
        <v>8</v>
      </c>
      <c r="C616">
        <v>31</v>
      </c>
      <c r="D616">
        <v>5</v>
      </c>
      <c r="E616">
        <v>0</v>
      </c>
      <c r="F616">
        <v>0</v>
      </c>
      <c r="G616">
        <v>11</v>
      </c>
      <c r="H616">
        <v>2</v>
      </c>
      <c r="I616">
        <v>600</v>
      </c>
      <c r="J616">
        <v>9</v>
      </c>
      <c r="K616">
        <v>1</v>
      </c>
      <c r="L616" s="4">
        <v>0.54937886576439521</v>
      </c>
      <c r="M616" s="4">
        <v>0.45062113423560468</v>
      </c>
      <c r="N616">
        <v>2</v>
      </c>
    </row>
    <row r="617" spans="1:14" x14ac:dyDescent="0.35">
      <c r="A617" s="1">
        <v>3006</v>
      </c>
      <c r="B617">
        <v>15</v>
      </c>
      <c r="C617">
        <v>55</v>
      </c>
      <c r="D617">
        <v>2</v>
      </c>
      <c r="E617">
        <v>1</v>
      </c>
      <c r="F617">
        <v>1</v>
      </c>
      <c r="G617">
        <v>5</v>
      </c>
      <c r="H617">
        <v>3</v>
      </c>
      <c r="I617">
        <v>0.01</v>
      </c>
      <c r="J617">
        <v>5</v>
      </c>
      <c r="K617">
        <v>1</v>
      </c>
      <c r="L617" s="4">
        <v>0.54945994036281265</v>
      </c>
      <c r="M617" s="4">
        <v>0.4505400596371873</v>
      </c>
      <c r="N617">
        <v>2</v>
      </c>
    </row>
    <row r="618" spans="1:14" x14ac:dyDescent="0.35">
      <c r="A618" s="1">
        <v>845</v>
      </c>
      <c r="B618">
        <v>13</v>
      </c>
      <c r="C618">
        <v>51</v>
      </c>
      <c r="D618">
        <v>4</v>
      </c>
      <c r="E618">
        <v>0</v>
      </c>
      <c r="F618">
        <v>1</v>
      </c>
      <c r="G618">
        <v>5</v>
      </c>
      <c r="H618">
        <v>3</v>
      </c>
      <c r="I618">
        <v>0.01</v>
      </c>
      <c r="J618">
        <v>8</v>
      </c>
      <c r="K618">
        <v>0</v>
      </c>
      <c r="L618" s="4">
        <v>0.54946302847565009</v>
      </c>
      <c r="M618" s="4">
        <v>0.45053697152435002</v>
      </c>
      <c r="N618">
        <v>2</v>
      </c>
    </row>
    <row r="619" spans="1:14" x14ac:dyDescent="0.35">
      <c r="A619" s="1">
        <v>2694</v>
      </c>
      <c r="B619">
        <v>12</v>
      </c>
      <c r="C619">
        <v>49</v>
      </c>
      <c r="D619">
        <v>1</v>
      </c>
      <c r="E619">
        <v>0</v>
      </c>
      <c r="F619">
        <v>2</v>
      </c>
      <c r="G619">
        <v>0</v>
      </c>
      <c r="H619">
        <v>2</v>
      </c>
      <c r="I619">
        <v>2000</v>
      </c>
      <c r="J619">
        <v>1</v>
      </c>
      <c r="K619">
        <v>0</v>
      </c>
      <c r="L619" s="4">
        <v>0.55124490709929974</v>
      </c>
      <c r="M619" s="4">
        <v>0.44875509290070031</v>
      </c>
      <c r="N619">
        <v>2</v>
      </c>
    </row>
    <row r="620" spans="1:14" x14ac:dyDescent="0.35">
      <c r="A620" s="1">
        <v>2248</v>
      </c>
      <c r="B620">
        <v>13</v>
      </c>
      <c r="C620">
        <v>51</v>
      </c>
      <c r="D620">
        <v>4</v>
      </c>
      <c r="E620">
        <v>0</v>
      </c>
      <c r="F620">
        <v>2</v>
      </c>
      <c r="G620">
        <v>1</v>
      </c>
      <c r="H620">
        <v>3</v>
      </c>
      <c r="I620">
        <v>0.01</v>
      </c>
      <c r="J620">
        <v>5</v>
      </c>
      <c r="K620">
        <v>0</v>
      </c>
      <c r="L620" s="4">
        <v>0.5520169657708226</v>
      </c>
      <c r="M620" s="4">
        <v>0.4479830342291774</v>
      </c>
      <c r="N620">
        <v>2</v>
      </c>
    </row>
    <row r="621" spans="1:14" x14ac:dyDescent="0.35">
      <c r="A621" s="1">
        <v>803</v>
      </c>
      <c r="B621">
        <v>8</v>
      </c>
      <c r="C621">
        <v>31</v>
      </c>
      <c r="D621">
        <v>1</v>
      </c>
      <c r="E621">
        <v>0</v>
      </c>
      <c r="F621">
        <v>3</v>
      </c>
      <c r="G621">
        <v>8</v>
      </c>
      <c r="H621">
        <v>3</v>
      </c>
      <c r="I621">
        <v>0.01</v>
      </c>
      <c r="J621">
        <v>7</v>
      </c>
      <c r="K621">
        <v>1</v>
      </c>
      <c r="L621" s="4">
        <v>0.55213616875034777</v>
      </c>
      <c r="M621" s="4">
        <v>0.44786383124965218</v>
      </c>
      <c r="N621">
        <v>2</v>
      </c>
    </row>
    <row r="622" spans="1:14" x14ac:dyDescent="0.35">
      <c r="A622" s="1">
        <v>4026</v>
      </c>
      <c r="B622">
        <v>8</v>
      </c>
      <c r="C622">
        <v>33</v>
      </c>
      <c r="D622">
        <v>3</v>
      </c>
      <c r="E622">
        <v>0</v>
      </c>
      <c r="F622">
        <v>3</v>
      </c>
      <c r="G622">
        <v>3</v>
      </c>
      <c r="H622">
        <v>0</v>
      </c>
      <c r="I622">
        <v>12500</v>
      </c>
      <c r="J622">
        <v>1</v>
      </c>
      <c r="K622">
        <v>1</v>
      </c>
      <c r="L622" s="4">
        <v>0.55239348285355361</v>
      </c>
      <c r="M622" s="4">
        <v>0.44760651714644639</v>
      </c>
      <c r="N622">
        <v>2</v>
      </c>
    </row>
    <row r="623" spans="1:14" x14ac:dyDescent="0.35">
      <c r="A623" s="1">
        <v>476</v>
      </c>
      <c r="B623">
        <v>14</v>
      </c>
      <c r="C623">
        <v>59</v>
      </c>
      <c r="D623">
        <v>1</v>
      </c>
      <c r="E623">
        <v>0</v>
      </c>
      <c r="F623">
        <v>1</v>
      </c>
      <c r="G623">
        <v>5</v>
      </c>
      <c r="H623">
        <v>0</v>
      </c>
      <c r="I623">
        <v>9000</v>
      </c>
      <c r="J623">
        <v>8</v>
      </c>
      <c r="K623">
        <v>1</v>
      </c>
      <c r="L623" s="4">
        <v>0.55248873566768109</v>
      </c>
      <c r="M623" s="4">
        <v>0.44751126433231891</v>
      </c>
      <c r="N623">
        <v>2</v>
      </c>
    </row>
    <row r="624" spans="1:14" x14ac:dyDescent="0.35">
      <c r="A624" s="1">
        <v>1271</v>
      </c>
      <c r="B624">
        <v>14</v>
      </c>
      <c r="C624">
        <v>58</v>
      </c>
      <c r="D624">
        <v>2</v>
      </c>
      <c r="E624">
        <v>0</v>
      </c>
      <c r="F624">
        <v>2</v>
      </c>
      <c r="G624">
        <v>1</v>
      </c>
      <c r="H624">
        <v>1</v>
      </c>
      <c r="I624">
        <v>20268.84</v>
      </c>
      <c r="J624">
        <v>3</v>
      </c>
      <c r="K624">
        <v>1</v>
      </c>
      <c r="L624" s="4">
        <v>0.55369389076804865</v>
      </c>
      <c r="M624" s="4">
        <v>0.44630610923195141</v>
      </c>
      <c r="N624">
        <v>2</v>
      </c>
    </row>
    <row r="625" spans="1:14" x14ac:dyDescent="0.35">
      <c r="A625" s="1">
        <v>1381</v>
      </c>
      <c r="B625">
        <v>8</v>
      </c>
      <c r="C625">
        <v>28</v>
      </c>
      <c r="D625">
        <v>1</v>
      </c>
      <c r="E625">
        <v>1</v>
      </c>
      <c r="F625">
        <v>0</v>
      </c>
      <c r="G625">
        <v>4</v>
      </c>
      <c r="H625">
        <v>3</v>
      </c>
      <c r="I625">
        <v>0.01</v>
      </c>
      <c r="J625">
        <v>8</v>
      </c>
      <c r="K625">
        <v>0</v>
      </c>
      <c r="L625" s="4">
        <v>0.55372747479392559</v>
      </c>
      <c r="M625" s="4">
        <v>0.44627252520607452</v>
      </c>
      <c r="N625">
        <v>2</v>
      </c>
    </row>
    <row r="626" spans="1:14" x14ac:dyDescent="0.35">
      <c r="A626" s="1">
        <v>87</v>
      </c>
      <c r="B626">
        <v>12</v>
      </c>
      <c r="C626">
        <v>47</v>
      </c>
      <c r="D626">
        <v>4</v>
      </c>
      <c r="E626">
        <v>0</v>
      </c>
      <c r="F626">
        <v>1</v>
      </c>
      <c r="G626">
        <v>7</v>
      </c>
      <c r="H626">
        <v>3</v>
      </c>
      <c r="I626">
        <v>0.01</v>
      </c>
      <c r="J626">
        <v>5</v>
      </c>
      <c r="K626">
        <v>0</v>
      </c>
      <c r="L626" s="4">
        <v>0.55387928155752442</v>
      </c>
      <c r="M626" s="4">
        <v>0.44612071844247558</v>
      </c>
      <c r="N626">
        <v>2</v>
      </c>
    </row>
    <row r="627" spans="1:14" x14ac:dyDescent="0.35">
      <c r="A627" s="1">
        <v>3290</v>
      </c>
      <c r="B627">
        <v>13</v>
      </c>
      <c r="C627">
        <v>51</v>
      </c>
      <c r="D627">
        <v>2</v>
      </c>
      <c r="E627">
        <v>0</v>
      </c>
      <c r="F627">
        <v>3</v>
      </c>
      <c r="G627">
        <v>8</v>
      </c>
      <c r="H627">
        <v>3</v>
      </c>
      <c r="I627">
        <v>0.01</v>
      </c>
      <c r="J627">
        <v>9</v>
      </c>
      <c r="K627">
        <v>0</v>
      </c>
      <c r="L627" s="4">
        <v>0.55426767066520433</v>
      </c>
      <c r="M627" s="4">
        <v>0.44573232933479562</v>
      </c>
      <c r="N627">
        <v>2</v>
      </c>
    </row>
    <row r="628" spans="1:14" x14ac:dyDescent="0.35">
      <c r="A628" s="1">
        <v>2592</v>
      </c>
      <c r="B628">
        <v>12</v>
      </c>
      <c r="C628">
        <v>44</v>
      </c>
      <c r="D628">
        <v>3</v>
      </c>
      <c r="E628">
        <v>1</v>
      </c>
      <c r="F628">
        <v>0</v>
      </c>
      <c r="G628">
        <v>4</v>
      </c>
      <c r="H628">
        <v>2</v>
      </c>
      <c r="I628">
        <v>1198</v>
      </c>
      <c r="J628">
        <v>1</v>
      </c>
      <c r="K628">
        <v>0</v>
      </c>
      <c r="L628" s="4">
        <v>0.55460994202135794</v>
      </c>
      <c r="M628" s="4">
        <v>0.44539005797864212</v>
      </c>
      <c r="N628">
        <v>2</v>
      </c>
    </row>
    <row r="629" spans="1:14" x14ac:dyDescent="0.35">
      <c r="A629" s="1">
        <v>775</v>
      </c>
      <c r="B629">
        <v>13</v>
      </c>
      <c r="C629">
        <v>51</v>
      </c>
      <c r="D629">
        <v>3</v>
      </c>
      <c r="E629">
        <v>0</v>
      </c>
      <c r="F629">
        <v>3</v>
      </c>
      <c r="G629">
        <v>3</v>
      </c>
      <c r="H629">
        <v>3</v>
      </c>
      <c r="I629">
        <v>0.01</v>
      </c>
      <c r="J629">
        <v>7</v>
      </c>
      <c r="K629">
        <v>0</v>
      </c>
      <c r="L629" s="4">
        <v>0.55461977663117912</v>
      </c>
      <c r="M629" s="4">
        <v>0.44538022336882083</v>
      </c>
      <c r="N629">
        <v>2</v>
      </c>
    </row>
    <row r="630" spans="1:14" x14ac:dyDescent="0.35">
      <c r="A630" s="1">
        <v>2221</v>
      </c>
      <c r="B630">
        <v>13</v>
      </c>
      <c r="C630">
        <v>48</v>
      </c>
      <c r="D630">
        <v>2</v>
      </c>
      <c r="E630">
        <v>1</v>
      </c>
      <c r="F630">
        <v>0</v>
      </c>
      <c r="G630">
        <v>11</v>
      </c>
      <c r="H630">
        <v>2</v>
      </c>
      <c r="I630">
        <v>420.01</v>
      </c>
      <c r="J630">
        <v>9</v>
      </c>
      <c r="K630">
        <v>1</v>
      </c>
      <c r="L630" s="4">
        <v>0.55462847173263885</v>
      </c>
      <c r="M630" s="4">
        <v>0.44537152826736109</v>
      </c>
      <c r="N630">
        <v>2</v>
      </c>
    </row>
    <row r="631" spans="1:14" x14ac:dyDescent="0.35">
      <c r="A631" s="1">
        <v>253</v>
      </c>
      <c r="B631">
        <v>10</v>
      </c>
      <c r="C631">
        <v>38</v>
      </c>
      <c r="D631">
        <v>5</v>
      </c>
      <c r="E631">
        <v>0</v>
      </c>
      <c r="F631">
        <v>3</v>
      </c>
      <c r="G631">
        <v>3</v>
      </c>
      <c r="H631">
        <v>3</v>
      </c>
      <c r="I631">
        <v>0.01</v>
      </c>
      <c r="J631">
        <v>8</v>
      </c>
      <c r="K631">
        <v>0</v>
      </c>
      <c r="L631" s="4">
        <v>0.55467201958003465</v>
      </c>
      <c r="M631" s="4">
        <v>0.44532798041996541</v>
      </c>
      <c r="N631">
        <v>2</v>
      </c>
    </row>
    <row r="632" spans="1:14" x14ac:dyDescent="0.35">
      <c r="A632" s="1">
        <v>2840</v>
      </c>
      <c r="B632">
        <v>10</v>
      </c>
      <c r="C632">
        <v>41</v>
      </c>
      <c r="D632">
        <v>3</v>
      </c>
      <c r="E632">
        <v>0</v>
      </c>
      <c r="F632">
        <v>0</v>
      </c>
      <c r="G632">
        <v>4</v>
      </c>
      <c r="H632">
        <v>2</v>
      </c>
      <c r="I632">
        <v>300</v>
      </c>
      <c r="J632">
        <v>9</v>
      </c>
      <c r="K632">
        <v>1</v>
      </c>
      <c r="L632" s="4">
        <v>0.55525276999373496</v>
      </c>
      <c r="M632" s="4">
        <v>0.44474723000626498</v>
      </c>
      <c r="N632">
        <v>2</v>
      </c>
    </row>
    <row r="633" spans="1:14" x14ac:dyDescent="0.35">
      <c r="A633" s="1">
        <v>4366</v>
      </c>
      <c r="B633">
        <v>13</v>
      </c>
      <c r="C633">
        <v>51</v>
      </c>
      <c r="D633">
        <v>3</v>
      </c>
      <c r="E633">
        <v>0</v>
      </c>
      <c r="F633">
        <v>3</v>
      </c>
      <c r="G633">
        <v>3</v>
      </c>
      <c r="H633">
        <v>3</v>
      </c>
      <c r="I633">
        <v>0.01</v>
      </c>
      <c r="J633">
        <v>5</v>
      </c>
      <c r="K633">
        <v>0</v>
      </c>
      <c r="L633" s="4">
        <v>0.55525454983658129</v>
      </c>
      <c r="M633" s="4">
        <v>0.44474545016341882</v>
      </c>
      <c r="N633">
        <v>2</v>
      </c>
    </row>
    <row r="634" spans="1:14" x14ac:dyDescent="0.35">
      <c r="A634" s="1">
        <v>2993</v>
      </c>
      <c r="B634">
        <v>8</v>
      </c>
      <c r="C634">
        <v>32</v>
      </c>
      <c r="D634">
        <v>2</v>
      </c>
      <c r="E634">
        <v>0</v>
      </c>
      <c r="F634">
        <v>3</v>
      </c>
      <c r="G634">
        <v>3</v>
      </c>
      <c r="H634">
        <v>2</v>
      </c>
      <c r="I634">
        <v>3000</v>
      </c>
      <c r="J634">
        <v>5</v>
      </c>
      <c r="K634">
        <v>1</v>
      </c>
      <c r="L634" s="4">
        <v>0.55528782494944706</v>
      </c>
      <c r="M634" s="4">
        <v>0.44471217505055288</v>
      </c>
      <c r="N634">
        <v>2</v>
      </c>
    </row>
    <row r="635" spans="1:14" x14ac:dyDescent="0.35">
      <c r="A635" s="1">
        <v>4350</v>
      </c>
      <c r="B635">
        <v>8</v>
      </c>
      <c r="C635">
        <v>31</v>
      </c>
      <c r="D635">
        <v>4</v>
      </c>
      <c r="E635">
        <v>0</v>
      </c>
      <c r="F635">
        <v>3</v>
      </c>
      <c r="G635">
        <v>3</v>
      </c>
      <c r="H635">
        <v>2</v>
      </c>
      <c r="I635">
        <v>1300</v>
      </c>
      <c r="J635">
        <v>1</v>
      </c>
      <c r="K635">
        <v>1</v>
      </c>
      <c r="L635" s="4">
        <v>0.55536454777450228</v>
      </c>
      <c r="M635" s="4">
        <v>0.44463545222549772</v>
      </c>
      <c r="N635">
        <v>2</v>
      </c>
    </row>
    <row r="636" spans="1:14" x14ac:dyDescent="0.35">
      <c r="A636" s="1">
        <v>4402</v>
      </c>
      <c r="B636">
        <v>9</v>
      </c>
      <c r="C636">
        <v>35</v>
      </c>
      <c r="D636">
        <v>3</v>
      </c>
      <c r="E636">
        <v>0</v>
      </c>
      <c r="F636">
        <v>1</v>
      </c>
      <c r="G636">
        <v>12</v>
      </c>
      <c r="H636">
        <v>3</v>
      </c>
      <c r="I636">
        <v>0.01</v>
      </c>
      <c r="J636">
        <v>8</v>
      </c>
      <c r="K636">
        <v>0</v>
      </c>
      <c r="L636" s="4">
        <v>0.55544899908985457</v>
      </c>
      <c r="M636" s="4">
        <v>0.44455100091014538</v>
      </c>
      <c r="N636">
        <v>2</v>
      </c>
    </row>
    <row r="637" spans="1:14" x14ac:dyDescent="0.35">
      <c r="A637" s="1">
        <v>3767</v>
      </c>
      <c r="B637">
        <v>9</v>
      </c>
      <c r="C637">
        <v>34</v>
      </c>
      <c r="D637">
        <v>0</v>
      </c>
      <c r="E637">
        <v>1</v>
      </c>
      <c r="F637">
        <v>3</v>
      </c>
      <c r="G637">
        <v>3</v>
      </c>
      <c r="H637">
        <v>0</v>
      </c>
      <c r="I637">
        <v>13058.45</v>
      </c>
      <c r="J637">
        <v>14</v>
      </c>
      <c r="K637">
        <v>1</v>
      </c>
      <c r="L637" s="4">
        <v>0.55620290920230731</v>
      </c>
      <c r="M637" s="4">
        <v>0.44379709079769258</v>
      </c>
      <c r="N637">
        <v>2</v>
      </c>
    </row>
    <row r="638" spans="1:14" x14ac:dyDescent="0.35">
      <c r="A638" s="1">
        <v>2165</v>
      </c>
      <c r="B638">
        <v>15</v>
      </c>
      <c r="C638">
        <v>62</v>
      </c>
      <c r="D638">
        <v>1</v>
      </c>
      <c r="E638">
        <v>0</v>
      </c>
      <c r="F638">
        <v>3</v>
      </c>
      <c r="G638">
        <v>8</v>
      </c>
      <c r="H638">
        <v>0</v>
      </c>
      <c r="I638">
        <v>6105.32</v>
      </c>
      <c r="J638">
        <v>7</v>
      </c>
      <c r="K638">
        <v>1</v>
      </c>
      <c r="L638" s="4">
        <v>0.55645890391093744</v>
      </c>
      <c r="M638" s="4">
        <v>0.44354109608906261</v>
      </c>
      <c r="N638">
        <v>2</v>
      </c>
    </row>
    <row r="639" spans="1:14" x14ac:dyDescent="0.35">
      <c r="A639" s="1">
        <v>1310</v>
      </c>
      <c r="B639">
        <v>13</v>
      </c>
      <c r="C639">
        <v>51</v>
      </c>
      <c r="D639">
        <v>5</v>
      </c>
      <c r="E639">
        <v>0</v>
      </c>
      <c r="F639">
        <v>2</v>
      </c>
      <c r="G639">
        <v>0</v>
      </c>
      <c r="H639">
        <v>3</v>
      </c>
      <c r="I639">
        <v>0.01</v>
      </c>
      <c r="J639">
        <v>5</v>
      </c>
      <c r="K639">
        <v>1</v>
      </c>
      <c r="L639" s="4">
        <v>0.55715815338933095</v>
      </c>
      <c r="M639" s="4">
        <v>0.44284184661066911</v>
      </c>
      <c r="N639">
        <v>2</v>
      </c>
    </row>
    <row r="640" spans="1:14" x14ac:dyDescent="0.35">
      <c r="A640" s="1">
        <v>3314</v>
      </c>
      <c r="B640">
        <v>12</v>
      </c>
      <c r="C640">
        <v>48</v>
      </c>
      <c r="D640">
        <v>1</v>
      </c>
      <c r="E640">
        <v>0</v>
      </c>
      <c r="F640">
        <v>3</v>
      </c>
      <c r="G640">
        <v>3</v>
      </c>
      <c r="H640">
        <v>3</v>
      </c>
      <c r="I640">
        <v>0.01</v>
      </c>
      <c r="J640">
        <v>7</v>
      </c>
      <c r="K640">
        <v>0</v>
      </c>
      <c r="L640" s="4">
        <v>0.55723424452591841</v>
      </c>
      <c r="M640" s="4">
        <v>0.44276575547408148</v>
      </c>
      <c r="N640">
        <v>2</v>
      </c>
    </row>
    <row r="641" spans="1:14" x14ac:dyDescent="0.35">
      <c r="A641" s="1">
        <v>2338</v>
      </c>
      <c r="B641">
        <v>8</v>
      </c>
      <c r="C641">
        <v>33</v>
      </c>
      <c r="D641">
        <v>5</v>
      </c>
      <c r="E641">
        <v>0</v>
      </c>
      <c r="F641">
        <v>0</v>
      </c>
      <c r="G641">
        <v>11</v>
      </c>
      <c r="H641">
        <v>0</v>
      </c>
      <c r="I641">
        <v>6000</v>
      </c>
      <c r="J641">
        <v>2</v>
      </c>
      <c r="K641">
        <v>0</v>
      </c>
      <c r="L641" s="4">
        <v>0.5574404276724787</v>
      </c>
      <c r="M641" s="4">
        <v>0.44255957232752119</v>
      </c>
      <c r="N641">
        <v>2</v>
      </c>
    </row>
    <row r="642" spans="1:14" x14ac:dyDescent="0.35">
      <c r="A642" s="1">
        <v>47</v>
      </c>
      <c r="B642">
        <v>12</v>
      </c>
      <c r="C642">
        <v>49</v>
      </c>
      <c r="D642">
        <v>1</v>
      </c>
      <c r="E642">
        <v>0</v>
      </c>
      <c r="F642">
        <v>2</v>
      </c>
      <c r="G642">
        <v>6</v>
      </c>
      <c r="H642">
        <v>2</v>
      </c>
      <c r="I642">
        <v>960</v>
      </c>
      <c r="J642">
        <v>7</v>
      </c>
      <c r="K642">
        <v>0</v>
      </c>
      <c r="L642" s="4">
        <v>0.55789021237440772</v>
      </c>
      <c r="M642" s="4">
        <v>0.44210978762559228</v>
      </c>
      <c r="N642">
        <v>2</v>
      </c>
    </row>
    <row r="643" spans="1:14" x14ac:dyDescent="0.35">
      <c r="A643" s="1">
        <v>802</v>
      </c>
      <c r="B643">
        <v>8</v>
      </c>
      <c r="C643">
        <v>34</v>
      </c>
      <c r="D643">
        <v>1</v>
      </c>
      <c r="E643">
        <v>0</v>
      </c>
      <c r="F643">
        <v>0</v>
      </c>
      <c r="G643">
        <v>2</v>
      </c>
      <c r="H643">
        <v>2</v>
      </c>
      <c r="I643">
        <v>50</v>
      </c>
      <c r="J643">
        <v>3</v>
      </c>
      <c r="K643">
        <v>1</v>
      </c>
      <c r="L643" s="4">
        <v>0.5579049625105279</v>
      </c>
      <c r="M643" s="4">
        <v>0.4420950374894721</v>
      </c>
      <c r="N643">
        <v>2</v>
      </c>
    </row>
    <row r="644" spans="1:14" x14ac:dyDescent="0.35">
      <c r="A644" s="1">
        <v>4166</v>
      </c>
      <c r="B644">
        <v>10</v>
      </c>
      <c r="C644">
        <v>39</v>
      </c>
      <c r="D644">
        <v>2</v>
      </c>
      <c r="E644">
        <v>0</v>
      </c>
      <c r="F644">
        <v>3</v>
      </c>
      <c r="G644">
        <v>8</v>
      </c>
      <c r="H644">
        <v>3</v>
      </c>
      <c r="I644">
        <v>0.01</v>
      </c>
      <c r="J644">
        <v>4</v>
      </c>
      <c r="K644">
        <v>0</v>
      </c>
      <c r="L644" s="4">
        <v>0.55809139007617214</v>
      </c>
      <c r="M644" s="4">
        <v>0.44190860992382791</v>
      </c>
      <c r="N644">
        <v>2</v>
      </c>
    </row>
    <row r="645" spans="1:14" x14ac:dyDescent="0.35">
      <c r="A645" s="1">
        <v>4120</v>
      </c>
      <c r="B645">
        <v>13</v>
      </c>
      <c r="C645">
        <v>55</v>
      </c>
      <c r="D645">
        <v>3</v>
      </c>
      <c r="E645">
        <v>0</v>
      </c>
      <c r="F645">
        <v>0</v>
      </c>
      <c r="G645">
        <v>4</v>
      </c>
      <c r="H645">
        <v>0</v>
      </c>
      <c r="I645">
        <v>10000</v>
      </c>
      <c r="J645">
        <v>5</v>
      </c>
      <c r="K645">
        <v>0</v>
      </c>
      <c r="L645" s="4">
        <v>0.55840412798540795</v>
      </c>
      <c r="M645" s="4">
        <v>0.44159587201459211</v>
      </c>
      <c r="N645">
        <v>2</v>
      </c>
    </row>
    <row r="646" spans="1:14" x14ac:dyDescent="0.35">
      <c r="A646" s="1">
        <v>1698</v>
      </c>
      <c r="B646">
        <v>9</v>
      </c>
      <c r="C646">
        <v>37</v>
      </c>
      <c r="D646">
        <v>3</v>
      </c>
      <c r="E646">
        <v>0</v>
      </c>
      <c r="F646">
        <v>0</v>
      </c>
      <c r="G646">
        <v>4</v>
      </c>
      <c r="H646">
        <v>2</v>
      </c>
      <c r="I646">
        <v>600</v>
      </c>
      <c r="J646">
        <v>1</v>
      </c>
      <c r="K646">
        <v>1</v>
      </c>
      <c r="L646" s="4">
        <v>0.55841606406769428</v>
      </c>
      <c r="M646" s="4">
        <v>0.44158393593230583</v>
      </c>
      <c r="N646">
        <v>2</v>
      </c>
    </row>
    <row r="647" spans="1:14" x14ac:dyDescent="0.35">
      <c r="A647" s="1">
        <v>2604</v>
      </c>
      <c r="B647">
        <v>10</v>
      </c>
      <c r="C647">
        <v>39</v>
      </c>
      <c r="D647">
        <v>5</v>
      </c>
      <c r="E647">
        <v>0</v>
      </c>
      <c r="F647">
        <v>3</v>
      </c>
      <c r="G647">
        <v>3</v>
      </c>
      <c r="H647">
        <v>2</v>
      </c>
      <c r="I647">
        <v>3750</v>
      </c>
      <c r="J647">
        <v>4</v>
      </c>
      <c r="K647">
        <v>0</v>
      </c>
      <c r="L647" s="4">
        <v>0.55843827403086743</v>
      </c>
      <c r="M647" s="4">
        <v>0.44156172596913262</v>
      </c>
      <c r="N647">
        <v>2</v>
      </c>
    </row>
    <row r="648" spans="1:14" x14ac:dyDescent="0.35">
      <c r="A648" s="1">
        <v>694</v>
      </c>
      <c r="B648">
        <v>14</v>
      </c>
      <c r="C648">
        <v>56</v>
      </c>
      <c r="D648">
        <v>5</v>
      </c>
      <c r="E648">
        <v>0</v>
      </c>
      <c r="F648">
        <v>0</v>
      </c>
      <c r="G648">
        <v>2</v>
      </c>
      <c r="H648">
        <v>3</v>
      </c>
      <c r="I648">
        <v>0.01</v>
      </c>
      <c r="J648">
        <v>9</v>
      </c>
      <c r="K648">
        <v>0</v>
      </c>
      <c r="L648" s="4">
        <v>0.5586728329375894</v>
      </c>
      <c r="M648" s="4">
        <v>0.4413271670624106</v>
      </c>
      <c r="N648">
        <v>2</v>
      </c>
    </row>
    <row r="649" spans="1:14" x14ac:dyDescent="0.35">
      <c r="A649" s="1">
        <v>2708</v>
      </c>
      <c r="B649">
        <v>10</v>
      </c>
      <c r="C649">
        <v>41</v>
      </c>
      <c r="D649">
        <v>5</v>
      </c>
      <c r="E649">
        <v>0</v>
      </c>
      <c r="F649">
        <v>3</v>
      </c>
      <c r="G649">
        <v>3</v>
      </c>
      <c r="H649">
        <v>1</v>
      </c>
      <c r="I649">
        <v>51000</v>
      </c>
      <c r="J649">
        <v>1</v>
      </c>
      <c r="K649">
        <v>1</v>
      </c>
      <c r="L649" s="4">
        <v>0.55943912329802115</v>
      </c>
      <c r="M649" s="4">
        <v>0.44056087670197891</v>
      </c>
      <c r="N649">
        <v>2</v>
      </c>
    </row>
    <row r="650" spans="1:14" x14ac:dyDescent="0.35">
      <c r="A650" s="1">
        <v>2826</v>
      </c>
      <c r="B650">
        <v>13</v>
      </c>
      <c r="C650">
        <v>51</v>
      </c>
      <c r="D650">
        <v>4</v>
      </c>
      <c r="E650">
        <v>0</v>
      </c>
      <c r="F650">
        <v>1</v>
      </c>
      <c r="G650">
        <v>12</v>
      </c>
      <c r="H650">
        <v>3</v>
      </c>
      <c r="I650">
        <v>0.01</v>
      </c>
      <c r="J650">
        <v>5</v>
      </c>
      <c r="K650">
        <v>0</v>
      </c>
      <c r="L650" s="4">
        <v>0.55990652552642772</v>
      </c>
      <c r="M650" s="4">
        <v>0.44009347447357228</v>
      </c>
      <c r="N650">
        <v>2</v>
      </c>
    </row>
    <row r="651" spans="1:14" x14ac:dyDescent="0.35">
      <c r="A651" s="1">
        <v>3336</v>
      </c>
      <c r="B651">
        <v>10</v>
      </c>
      <c r="C651">
        <v>38</v>
      </c>
      <c r="D651">
        <v>5</v>
      </c>
      <c r="E651">
        <v>0</v>
      </c>
      <c r="F651">
        <v>3</v>
      </c>
      <c r="G651">
        <v>8</v>
      </c>
      <c r="H651">
        <v>3</v>
      </c>
      <c r="I651">
        <v>0.01</v>
      </c>
      <c r="J651">
        <v>10</v>
      </c>
      <c r="K651">
        <v>0</v>
      </c>
      <c r="L651" s="4">
        <v>0.56080828569901664</v>
      </c>
      <c r="M651" s="4">
        <v>0.43919171430098342</v>
      </c>
      <c r="N651">
        <v>2</v>
      </c>
    </row>
    <row r="652" spans="1:14" x14ac:dyDescent="0.35">
      <c r="A652" s="1">
        <v>2699</v>
      </c>
      <c r="B652">
        <v>11</v>
      </c>
      <c r="C652">
        <v>40</v>
      </c>
      <c r="D652">
        <v>1</v>
      </c>
      <c r="E652">
        <v>1</v>
      </c>
      <c r="F652">
        <v>3</v>
      </c>
      <c r="G652">
        <v>3</v>
      </c>
      <c r="H652">
        <v>2</v>
      </c>
      <c r="I652">
        <v>1000</v>
      </c>
      <c r="J652">
        <v>5</v>
      </c>
      <c r="K652">
        <v>0</v>
      </c>
      <c r="L652" s="4">
        <v>0.56087029960934243</v>
      </c>
      <c r="M652" s="4">
        <v>0.43912970039065757</v>
      </c>
      <c r="N652">
        <v>2</v>
      </c>
    </row>
    <row r="653" spans="1:14" x14ac:dyDescent="0.35">
      <c r="A653" s="1">
        <v>2493</v>
      </c>
      <c r="B653">
        <v>9</v>
      </c>
      <c r="C653">
        <v>31</v>
      </c>
      <c r="D653">
        <v>5</v>
      </c>
      <c r="E653">
        <v>1</v>
      </c>
      <c r="F653">
        <v>2</v>
      </c>
      <c r="G653">
        <v>1</v>
      </c>
      <c r="H653">
        <v>2</v>
      </c>
      <c r="I653">
        <v>4884.25</v>
      </c>
      <c r="J653">
        <v>8</v>
      </c>
      <c r="K653">
        <v>0</v>
      </c>
      <c r="L653" s="4">
        <v>0.56125509852219091</v>
      </c>
      <c r="M653" s="4">
        <v>0.43874490147780898</v>
      </c>
      <c r="N653">
        <v>2</v>
      </c>
    </row>
    <row r="654" spans="1:14" x14ac:dyDescent="0.35">
      <c r="A654" s="1">
        <v>1478</v>
      </c>
      <c r="B654">
        <v>7</v>
      </c>
      <c r="C654">
        <v>30</v>
      </c>
      <c r="D654">
        <v>0</v>
      </c>
      <c r="E654">
        <v>0</v>
      </c>
      <c r="F654">
        <v>1</v>
      </c>
      <c r="G654">
        <v>5</v>
      </c>
      <c r="H654">
        <v>2</v>
      </c>
      <c r="I654">
        <v>3040</v>
      </c>
      <c r="J654">
        <v>5</v>
      </c>
      <c r="K654">
        <v>1</v>
      </c>
      <c r="L654" s="4">
        <v>0.56141047069901373</v>
      </c>
      <c r="M654" s="4">
        <v>0.43858952930098632</v>
      </c>
      <c r="N654">
        <v>2</v>
      </c>
    </row>
    <row r="655" spans="1:14" x14ac:dyDescent="0.35">
      <c r="A655" s="1">
        <v>1548</v>
      </c>
      <c r="B655">
        <v>17</v>
      </c>
      <c r="C655">
        <v>63</v>
      </c>
      <c r="D655">
        <v>0</v>
      </c>
      <c r="E655">
        <v>2</v>
      </c>
      <c r="F655">
        <v>0</v>
      </c>
      <c r="G655">
        <v>2</v>
      </c>
      <c r="H655">
        <v>0</v>
      </c>
      <c r="I655">
        <v>6000</v>
      </c>
      <c r="J655">
        <v>1</v>
      </c>
      <c r="K655">
        <v>1</v>
      </c>
      <c r="L655" s="4">
        <v>0.56312665944596629</v>
      </c>
      <c r="M655" s="4">
        <v>0.43687334055403371</v>
      </c>
      <c r="N655">
        <v>2</v>
      </c>
    </row>
    <row r="656" spans="1:14" x14ac:dyDescent="0.35">
      <c r="A656" s="1">
        <v>4430</v>
      </c>
      <c r="B656">
        <v>11</v>
      </c>
      <c r="C656">
        <v>44</v>
      </c>
      <c r="D656">
        <v>2</v>
      </c>
      <c r="E656">
        <v>0</v>
      </c>
      <c r="F656">
        <v>1</v>
      </c>
      <c r="G656">
        <v>12</v>
      </c>
      <c r="H656">
        <v>3</v>
      </c>
      <c r="I656">
        <v>0.01</v>
      </c>
      <c r="J656">
        <v>5</v>
      </c>
      <c r="K656">
        <v>1</v>
      </c>
      <c r="L656" s="4">
        <v>0.56325792363897431</v>
      </c>
      <c r="M656" s="4">
        <v>0.43674207636102569</v>
      </c>
      <c r="N656">
        <v>2</v>
      </c>
    </row>
    <row r="657" spans="1:14" x14ac:dyDescent="0.35">
      <c r="A657" s="1">
        <v>1322</v>
      </c>
      <c r="B657">
        <v>8</v>
      </c>
      <c r="C657">
        <v>31</v>
      </c>
      <c r="D657">
        <v>3</v>
      </c>
      <c r="E657">
        <v>0</v>
      </c>
      <c r="F657">
        <v>3</v>
      </c>
      <c r="G657">
        <v>8</v>
      </c>
      <c r="H657">
        <v>3</v>
      </c>
      <c r="I657">
        <v>0.01</v>
      </c>
      <c r="J657">
        <v>8</v>
      </c>
      <c r="K657">
        <v>0</v>
      </c>
      <c r="L657" s="4">
        <v>0.56479000850721095</v>
      </c>
      <c r="M657" s="4">
        <v>0.43520999149278911</v>
      </c>
      <c r="N657">
        <v>2</v>
      </c>
    </row>
    <row r="658" spans="1:14" x14ac:dyDescent="0.35">
      <c r="A658" s="1">
        <v>380</v>
      </c>
      <c r="B658">
        <v>14</v>
      </c>
      <c r="C658">
        <v>51</v>
      </c>
      <c r="D658">
        <v>4</v>
      </c>
      <c r="E658">
        <v>1</v>
      </c>
      <c r="F658">
        <v>1</v>
      </c>
      <c r="G658">
        <v>7</v>
      </c>
      <c r="H658">
        <v>3</v>
      </c>
      <c r="I658">
        <v>0.01</v>
      </c>
      <c r="J658">
        <v>8</v>
      </c>
      <c r="K658">
        <v>1</v>
      </c>
      <c r="L658" s="4">
        <v>0.56494091003583535</v>
      </c>
      <c r="M658" s="4">
        <v>0.4350590899641647</v>
      </c>
      <c r="N658">
        <v>2</v>
      </c>
    </row>
    <row r="659" spans="1:14" x14ac:dyDescent="0.35">
      <c r="A659" s="1">
        <v>3678</v>
      </c>
      <c r="B659">
        <v>8</v>
      </c>
      <c r="C659">
        <v>32</v>
      </c>
      <c r="D659">
        <v>3</v>
      </c>
      <c r="E659">
        <v>0</v>
      </c>
      <c r="F659">
        <v>1</v>
      </c>
      <c r="G659">
        <v>7</v>
      </c>
      <c r="H659">
        <v>3</v>
      </c>
      <c r="I659">
        <v>0.01</v>
      </c>
      <c r="J659">
        <v>5</v>
      </c>
      <c r="K659">
        <v>0</v>
      </c>
      <c r="L659" s="4">
        <v>0.56520534842105397</v>
      </c>
      <c r="M659" s="4">
        <v>0.43479465157894598</v>
      </c>
      <c r="N659">
        <v>2</v>
      </c>
    </row>
    <row r="660" spans="1:14" x14ac:dyDescent="0.35">
      <c r="A660" s="1">
        <v>1490</v>
      </c>
      <c r="B660">
        <v>9</v>
      </c>
      <c r="C660">
        <v>39</v>
      </c>
      <c r="D660">
        <v>0</v>
      </c>
      <c r="E660">
        <v>0</v>
      </c>
      <c r="F660">
        <v>3</v>
      </c>
      <c r="G660">
        <v>3</v>
      </c>
      <c r="H660">
        <v>1</v>
      </c>
      <c r="I660">
        <v>30649.41</v>
      </c>
      <c r="J660">
        <v>1</v>
      </c>
      <c r="K660">
        <v>1</v>
      </c>
      <c r="L660" s="4">
        <v>0.56550443482728541</v>
      </c>
      <c r="M660" s="4">
        <v>0.43449556517271459</v>
      </c>
      <c r="N660">
        <v>2</v>
      </c>
    </row>
    <row r="661" spans="1:14" x14ac:dyDescent="0.35">
      <c r="A661" s="1">
        <v>4344</v>
      </c>
      <c r="B661">
        <v>12</v>
      </c>
      <c r="C661">
        <v>45</v>
      </c>
      <c r="D661">
        <v>1</v>
      </c>
      <c r="E661">
        <v>1</v>
      </c>
      <c r="F661">
        <v>0</v>
      </c>
      <c r="G661">
        <v>4</v>
      </c>
      <c r="H661">
        <v>3</v>
      </c>
      <c r="I661">
        <v>0.01</v>
      </c>
      <c r="J661">
        <v>8</v>
      </c>
      <c r="K661">
        <v>0</v>
      </c>
      <c r="L661" s="4">
        <v>0.56557742855344872</v>
      </c>
      <c r="M661" s="4">
        <v>0.43442257144655122</v>
      </c>
      <c r="N661">
        <v>2</v>
      </c>
    </row>
    <row r="662" spans="1:14" x14ac:dyDescent="0.35">
      <c r="A662" s="1">
        <v>1024</v>
      </c>
      <c r="B662">
        <v>8</v>
      </c>
      <c r="C662">
        <v>31</v>
      </c>
      <c r="D662">
        <v>4</v>
      </c>
      <c r="E662">
        <v>0</v>
      </c>
      <c r="F662">
        <v>3</v>
      </c>
      <c r="G662">
        <v>3</v>
      </c>
      <c r="H662">
        <v>3</v>
      </c>
      <c r="I662">
        <v>0.01</v>
      </c>
      <c r="J662">
        <v>4</v>
      </c>
      <c r="K662">
        <v>0</v>
      </c>
      <c r="L662" s="4">
        <v>0.5657718421488982</v>
      </c>
      <c r="M662" s="4">
        <v>0.43422815785110191</v>
      </c>
      <c r="N662">
        <v>2</v>
      </c>
    </row>
    <row r="663" spans="1:14" x14ac:dyDescent="0.35">
      <c r="A663" s="1">
        <v>1784</v>
      </c>
      <c r="B663">
        <v>15</v>
      </c>
      <c r="C663">
        <v>55</v>
      </c>
      <c r="D663">
        <v>3</v>
      </c>
      <c r="E663">
        <v>1</v>
      </c>
      <c r="F663">
        <v>3</v>
      </c>
      <c r="G663">
        <v>3</v>
      </c>
      <c r="H663">
        <v>3</v>
      </c>
      <c r="I663">
        <v>0.01</v>
      </c>
      <c r="J663">
        <v>8</v>
      </c>
      <c r="K663">
        <v>1</v>
      </c>
      <c r="L663" s="4">
        <v>0.56630877885011199</v>
      </c>
      <c r="M663" s="4">
        <v>0.43369122114988801</v>
      </c>
      <c r="N663">
        <v>2</v>
      </c>
    </row>
    <row r="664" spans="1:14" x14ac:dyDescent="0.35">
      <c r="A664" s="1">
        <v>163</v>
      </c>
      <c r="B664">
        <v>13</v>
      </c>
      <c r="C664">
        <v>51</v>
      </c>
      <c r="D664">
        <v>2</v>
      </c>
      <c r="E664">
        <v>1</v>
      </c>
      <c r="F664">
        <v>0</v>
      </c>
      <c r="G664">
        <v>4</v>
      </c>
      <c r="H664">
        <v>0</v>
      </c>
      <c r="I664">
        <v>6053.35</v>
      </c>
      <c r="J664">
        <v>6</v>
      </c>
      <c r="K664">
        <v>0</v>
      </c>
      <c r="L664" s="4">
        <v>0.56666078637709028</v>
      </c>
      <c r="M664" s="4">
        <v>0.43333921362290972</v>
      </c>
      <c r="N664">
        <v>2</v>
      </c>
    </row>
    <row r="665" spans="1:14" x14ac:dyDescent="0.35">
      <c r="A665" s="1">
        <v>423</v>
      </c>
      <c r="B665">
        <v>15</v>
      </c>
      <c r="C665">
        <v>64</v>
      </c>
      <c r="D665">
        <v>0</v>
      </c>
      <c r="E665">
        <v>0</v>
      </c>
      <c r="F665">
        <v>3</v>
      </c>
      <c r="G665">
        <v>3</v>
      </c>
      <c r="H665">
        <v>1</v>
      </c>
      <c r="I665">
        <v>48069.4</v>
      </c>
      <c r="J665">
        <v>8</v>
      </c>
      <c r="K665">
        <v>1</v>
      </c>
      <c r="L665" s="4">
        <v>0.56672764466702286</v>
      </c>
      <c r="M665" s="4">
        <v>0.43327235533297709</v>
      </c>
      <c r="N665">
        <v>2</v>
      </c>
    </row>
    <row r="666" spans="1:14" x14ac:dyDescent="0.35">
      <c r="A666" s="1">
        <v>3469</v>
      </c>
      <c r="B666">
        <v>16</v>
      </c>
      <c r="C666">
        <v>66</v>
      </c>
      <c r="D666">
        <v>5</v>
      </c>
      <c r="E666">
        <v>0</v>
      </c>
      <c r="F666">
        <v>2</v>
      </c>
      <c r="G666">
        <v>1</v>
      </c>
      <c r="H666">
        <v>0</v>
      </c>
      <c r="I666">
        <v>6000</v>
      </c>
      <c r="J666">
        <v>2</v>
      </c>
      <c r="K666">
        <v>0</v>
      </c>
      <c r="L666" s="4">
        <v>0.5667823529911109</v>
      </c>
      <c r="M666" s="4">
        <v>0.43321764700888898</v>
      </c>
      <c r="N666">
        <v>2</v>
      </c>
    </row>
    <row r="667" spans="1:14" x14ac:dyDescent="0.35">
      <c r="A667" s="1">
        <v>3477</v>
      </c>
      <c r="B667">
        <v>7</v>
      </c>
      <c r="C667">
        <v>29</v>
      </c>
      <c r="D667">
        <v>4</v>
      </c>
      <c r="E667">
        <v>0</v>
      </c>
      <c r="F667">
        <v>3</v>
      </c>
      <c r="G667">
        <v>3</v>
      </c>
      <c r="H667">
        <v>1</v>
      </c>
      <c r="I667">
        <v>21000</v>
      </c>
      <c r="J667">
        <v>1</v>
      </c>
      <c r="K667">
        <v>1</v>
      </c>
      <c r="L667" s="4">
        <v>0.56708949269652953</v>
      </c>
      <c r="M667" s="4">
        <v>0.43291050730347042</v>
      </c>
      <c r="N667">
        <v>2</v>
      </c>
    </row>
    <row r="668" spans="1:14" x14ac:dyDescent="0.35">
      <c r="A668" s="1">
        <v>312</v>
      </c>
      <c r="B668">
        <v>12</v>
      </c>
      <c r="C668">
        <v>51</v>
      </c>
      <c r="D668">
        <v>3</v>
      </c>
      <c r="E668">
        <v>0</v>
      </c>
      <c r="F668">
        <v>0</v>
      </c>
      <c r="G668">
        <v>11</v>
      </c>
      <c r="H668">
        <v>0</v>
      </c>
      <c r="I668">
        <v>10599.54</v>
      </c>
      <c r="J668">
        <v>7</v>
      </c>
      <c r="K668">
        <v>0</v>
      </c>
      <c r="L668" s="4">
        <v>0.56773098800677291</v>
      </c>
      <c r="M668" s="4">
        <v>0.43226901199322709</v>
      </c>
      <c r="N668">
        <v>2</v>
      </c>
    </row>
    <row r="669" spans="1:14" x14ac:dyDescent="0.35">
      <c r="A669" s="1">
        <v>2376</v>
      </c>
      <c r="B669">
        <v>8</v>
      </c>
      <c r="C669">
        <v>29</v>
      </c>
      <c r="D669">
        <v>1</v>
      </c>
      <c r="E669">
        <v>1</v>
      </c>
      <c r="F669">
        <v>0</v>
      </c>
      <c r="G669">
        <v>11</v>
      </c>
      <c r="H669">
        <v>2</v>
      </c>
      <c r="I669">
        <v>1690.5</v>
      </c>
      <c r="J669">
        <v>4</v>
      </c>
      <c r="K669">
        <v>1</v>
      </c>
      <c r="L669" s="4">
        <v>0.56776733596610596</v>
      </c>
      <c r="M669" s="4">
        <v>0.43223266403389399</v>
      </c>
      <c r="N669">
        <v>2</v>
      </c>
    </row>
    <row r="670" spans="1:14" x14ac:dyDescent="0.35">
      <c r="A670" s="1">
        <v>1732</v>
      </c>
      <c r="B670">
        <v>10</v>
      </c>
      <c r="C670">
        <v>36</v>
      </c>
      <c r="D670">
        <v>2</v>
      </c>
      <c r="E670">
        <v>1</v>
      </c>
      <c r="F670">
        <v>0</v>
      </c>
      <c r="G670">
        <v>10</v>
      </c>
      <c r="H670">
        <v>3</v>
      </c>
      <c r="I670">
        <v>0.01</v>
      </c>
      <c r="J670">
        <v>5</v>
      </c>
      <c r="K670">
        <v>0</v>
      </c>
      <c r="L670" s="4">
        <v>0.5677786328703246</v>
      </c>
      <c r="M670" s="4">
        <v>0.4322213671296754</v>
      </c>
      <c r="N670">
        <v>2</v>
      </c>
    </row>
    <row r="671" spans="1:14" x14ac:dyDescent="0.35">
      <c r="A671" s="1">
        <v>110</v>
      </c>
      <c r="B671">
        <v>12</v>
      </c>
      <c r="C671">
        <v>51</v>
      </c>
      <c r="D671">
        <v>1</v>
      </c>
      <c r="E671">
        <v>0</v>
      </c>
      <c r="F671">
        <v>3</v>
      </c>
      <c r="G671">
        <v>8</v>
      </c>
      <c r="H671">
        <v>0</v>
      </c>
      <c r="I671">
        <v>19500</v>
      </c>
      <c r="J671">
        <v>5</v>
      </c>
      <c r="K671">
        <v>1</v>
      </c>
      <c r="L671" s="4">
        <v>0.56881787027190445</v>
      </c>
      <c r="M671" s="4">
        <v>0.43118212972809561</v>
      </c>
      <c r="N671">
        <v>2</v>
      </c>
    </row>
    <row r="672" spans="1:14" x14ac:dyDescent="0.35">
      <c r="A672" s="1">
        <v>3765</v>
      </c>
      <c r="B672">
        <v>8</v>
      </c>
      <c r="C672">
        <v>31</v>
      </c>
      <c r="D672">
        <v>5</v>
      </c>
      <c r="E672">
        <v>0</v>
      </c>
      <c r="F672">
        <v>1</v>
      </c>
      <c r="G672">
        <v>12</v>
      </c>
      <c r="H672">
        <v>3</v>
      </c>
      <c r="I672">
        <v>0.01</v>
      </c>
      <c r="J672">
        <v>8</v>
      </c>
      <c r="K672">
        <v>1</v>
      </c>
      <c r="L672" s="4">
        <v>0.56913888440629612</v>
      </c>
      <c r="M672" s="4">
        <v>0.43086111559370388</v>
      </c>
      <c r="N672">
        <v>2</v>
      </c>
    </row>
    <row r="673" spans="1:14" x14ac:dyDescent="0.35">
      <c r="A673" s="1">
        <v>4017</v>
      </c>
      <c r="B673">
        <v>10</v>
      </c>
      <c r="C673">
        <v>39</v>
      </c>
      <c r="D673">
        <v>5</v>
      </c>
      <c r="E673">
        <v>0</v>
      </c>
      <c r="F673">
        <v>3</v>
      </c>
      <c r="G673">
        <v>3</v>
      </c>
      <c r="H673">
        <v>3</v>
      </c>
      <c r="I673">
        <v>0.01</v>
      </c>
      <c r="J673">
        <v>9</v>
      </c>
      <c r="K673">
        <v>1</v>
      </c>
      <c r="L673" s="4">
        <v>0.56916727792004373</v>
      </c>
      <c r="M673" s="4">
        <v>0.43083272207995632</v>
      </c>
      <c r="N673">
        <v>2</v>
      </c>
    </row>
    <row r="674" spans="1:14" x14ac:dyDescent="0.35">
      <c r="A674" s="1">
        <v>2877</v>
      </c>
      <c r="B674">
        <v>9</v>
      </c>
      <c r="C674">
        <v>37</v>
      </c>
      <c r="D674">
        <v>2</v>
      </c>
      <c r="E674">
        <v>0</v>
      </c>
      <c r="F674">
        <v>3</v>
      </c>
      <c r="G674">
        <v>3</v>
      </c>
      <c r="H674">
        <v>2</v>
      </c>
      <c r="I674">
        <v>100</v>
      </c>
      <c r="J674">
        <v>9</v>
      </c>
      <c r="K674">
        <v>1</v>
      </c>
      <c r="L674" s="4">
        <v>0.56923815688371904</v>
      </c>
      <c r="M674" s="4">
        <v>0.43076184311628102</v>
      </c>
      <c r="N674">
        <v>2</v>
      </c>
    </row>
    <row r="675" spans="1:14" x14ac:dyDescent="0.35">
      <c r="A675" s="1">
        <v>2909</v>
      </c>
      <c r="B675">
        <v>8</v>
      </c>
      <c r="C675">
        <v>33</v>
      </c>
      <c r="D675">
        <v>5</v>
      </c>
      <c r="E675">
        <v>0</v>
      </c>
      <c r="F675">
        <v>0</v>
      </c>
      <c r="G675">
        <v>4</v>
      </c>
      <c r="H675">
        <v>2</v>
      </c>
      <c r="I675">
        <v>1200.01</v>
      </c>
      <c r="J675">
        <v>7</v>
      </c>
      <c r="K675">
        <v>1</v>
      </c>
      <c r="L675" s="4">
        <v>0.56995946170543377</v>
      </c>
      <c r="M675" s="4">
        <v>0.43004053829456618</v>
      </c>
      <c r="N675">
        <v>2</v>
      </c>
    </row>
    <row r="676" spans="1:14" x14ac:dyDescent="0.35">
      <c r="A676" s="1">
        <v>1617</v>
      </c>
      <c r="B676">
        <v>12</v>
      </c>
      <c r="C676">
        <v>48</v>
      </c>
      <c r="D676">
        <v>2</v>
      </c>
      <c r="E676">
        <v>0</v>
      </c>
      <c r="F676">
        <v>3</v>
      </c>
      <c r="G676">
        <v>8</v>
      </c>
      <c r="H676">
        <v>3</v>
      </c>
      <c r="I676">
        <v>0.01</v>
      </c>
      <c r="J676">
        <v>8</v>
      </c>
      <c r="K676">
        <v>1</v>
      </c>
      <c r="L676" s="4">
        <v>0.57013684960139766</v>
      </c>
      <c r="M676" s="4">
        <v>0.42986315039860229</v>
      </c>
      <c r="N676">
        <v>2</v>
      </c>
    </row>
    <row r="677" spans="1:14" x14ac:dyDescent="0.35">
      <c r="A677" s="1">
        <v>2005</v>
      </c>
      <c r="B677">
        <v>12</v>
      </c>
      <c r="C677">
        <v>43</v>
      </c>
      <c r="D677">
        <v>5</v>
      </c>
      <c r="E677">
        <v>1</v>
      </c>
      <c r="F677">
        <v>3</v>
      </c>
      <c r="G677">
        <v>3</v>
      </c>
      <c r="H677">
        <v>2</v>
      </c>
      <c r="I677">
        <v>3536.48</v>
      </c>
      <c r="J677">
        <v>5</v>
      </c>
      <c r="K677">
        <v>0</v>
      </c>
      <c r="L677" s="4">
        <v>0.57018905456257218</v>
      </c>
      <c r="M677" s="4">
        <v>0.42981094543742782</v>
      </c>
      <c r="N677">
        <v>2</v>
      </c>
    </row>
    <row r="678" spans="1:14" x14ac:dyDescent="0.35">
      <c r="A678" s="1">
        <v>3902</v>
      </c>
      <c r="B678">
        <v>11</v>
      </c>
      <c r="C678">
        <v>46</v>
      </c>
      <c r="D678">
        <v>0</v>
      </c>
      <c r="E678">
        <v>0</v>
      </c>
      <c r="F678">
        <v>3</v>
      </c>
      <c r="G678">
        <v>3</v>
      </c>
      <c r="H678">
        <v>2</v>
      </c>
      <c r="I678">
        <v>600</v>
      </c>
      <c r="J678">
        <v>5</v>
      </c>
      <c r="K678">
        <v>1</v>
      </c>
      <c r="L678" s="4">
        <v>0.57067442872500462</v>
      </c>
      <c r="M678" s="4">
        <v>0.42932557127499538</v>
      </c>
      <c r="N678">
        <v>2</v>
      </c>
    </row>
    <row r="679" spans="1:14" x14ac:dyDescent="0.35">
      <c r="A679" s="1">
        <v>4046</v>
      </c>
      <c r="B679">
        <v>10</v>
      </c>
      <c r="C679">
        <v>39</v>
      </c>
      <c r="D679">
        <v>5</v>
      </c>
      <c r="E679">
        <v>0</v>
      </c>
      <c r="F679">
        <v>3</v>
      </c>
      <c r="G679">
        <v>3</v>
      </c>
      <c r="H679">
        <v>3</v>
      </c>
      <c r="I679">
        <v>0.01</v>
      </c>
      <c r="J679">
        <v>4</v>
      </c>
      <c r="K679">
        <v>0</v>
      </c>
      <c r="L679" s="4">
        <v>0.57074215861838185</v>
      </c>
      <c r="M679" s="4">
        <v>0.4292578413816181</v>
      </c>
      <c r="N679">
        <v>2</v>
      </c>
    </row>
    <row r="680" spans="1:14" x14ac:dyDescent="0.35">
      <c r="A680" s="1">
        <v>344</v>
      </c>
      <c r="B680">
        <v>16</v>
      </c>
      <c r="C680">
        <v>61</v>
      </c>
      <c r="D680">
        <v>2</v>
      </c>
      <c r="E680">
        <v>1</v>
      </c>
      <c r="F680">
        <v>4</v>
      </c>
      <c r="G680">
        <v>9</v>
      </c>
      <c r="H680">
        <v>0</v>
      </c>
      <c r="I680">
        <v>6000</v>
      </c>
      <c r="J680">
        <v>2</v>
      </c>
      <c r="K680">
        <v>1</v>
      </c>
      <c r="L680" s="4">
        <v>0.57082058808572256</v>
      </c>
      <c r="M680" s="4">
        <v>0.42917941191427739</v>
      </c>
      <c r="N680">
        <v>2</v>
      </c>
    </row>
    <row r="681" spans="1:14" x14ac:dyDescent="0.35">
      <c r="A681" s="1">
        <v>674</v>
      </c>
      <c r="B681">
        <v>9</v>
      </c>
      <c r="C681">
        <v>31</v>
      </c>
      <c r="D681">
        <v>3</v>
      </c>
      <c r="E681">
        <v>1</v>
      </c>
      <c r="F681">
        <v>3</v>
      </c>
      <c r="G681">
        <v>3</v>
      </c>
      <c r="H681">
        <v>3</v>
      </c>
      <c r="I681">
        <v>0.01</v>
      </c>
      <c r="J681">
        <v>7</v>
      </c>
      <c r="K681">
        <v>0</v>
      </c>
      <c r="L681" s="4">
        <v>0.57107100446100345</v>
      </c>
      <c r="M681" s="4">
        <v>0.4289289955389966</v>
      </c>
      <c r="N681">
        <v>2</v>
      </c>
    </row>
    <row r="682" spans="1:14" x14ac:dyDescent="0.35">
      <c r="A682" s="1">
        <v>598</v>
      </c>
      <c r="B682">
        <v>9</v>
      </c>
      <c r="C682">
        <v>35</v>
      </c>
      <c r="D682">
        <v>5</v>
      </c>
      <c r="E682">
        <v>0</v>
      </c>
      <c r="F682">
        <v>3</v>
      </c>
      <c r="G682">
        <v>3</v>
      </c>
      <c r="H682">
        <v>3</v>
      </c>
      <c r="I682">
        <v>0.01</v>
      </c>
      <c r="J682">
        <v>5</v>
      </c>
      <c r="K682">
        <v>0</v>
      </c>
      <c r="L682" s="4">
        <v>0.57116758474027218</v>
      </c>
      <c r="M682" s="4">
        <v>0.42883241525972782</v>
      </c>
      <c r="N682">
        <v>2</v>
      </c>
    </row>
    <row r="683" spans="1:14" x14ac:dyDescent="0.35">
      <c r="A683" s="1">
        <v>4011</v>
      </c>
      <c r="B683">
        <v>8</v>
      </c>
      <c r="C683">
        <v>33</v>
      </c>
      <c r="D683">
        <v>4</v>
      </c>
      <c r="E683">
        <v>0</v>
      </c>
      <c r="F683">
        <v>0</v>
      </c>
      <c r="G683">
        <v>2</v>
      </c>
      <c r="H683">
        <v>3</v>
      </c>
      <c r="I683">
        <v>0.01</v>
      </c>
      <c r="J683">
        <v>5</v>
      </c>
      <c r="K683">
        <v>0</v>
      </c>
      <c r="L683" s="4">
        <v>0.57271068917547741</v>
      </c>
      <c r="M683" s="4">
        <v>0.42728931082452259</v>
      </c>
      <c r="N683">
        <v>2</v>
      </c>
    </row>
    <row r="684" spans="1:14" x14ac:dyDescent="0.35">
      <c r="A684" s="1">
        <v>516</v>
      </c>
      <c r="B684">
        <v>13</v>
      </c>
      <c r="C684">
        <v>50</v>
      </c>
      <c r="D684">
        <v>2</v>
      </c>
      <c r="E684">
        <v>1</v>
      </c>
      <c r="F684">
        <v>3</v>
      </c>
      <c r="G684">
        <v>3</v>
      </c>
      <c r="H684">
        <v>0</v>
      </c>
      <c r="I684">
        <v>6000</v>
      </c>
      <c r="J684">
        <v>2</v>
      </c>
      <c r="K684">
        <v>0</v>
      </c>
      <c r="L684" s="4">
        <v>0.57274933994995103</v>
      </c>
      <c r="M684" s="4">
        <v>0.42725066005004902</v>
      </c>
      <c r="N684">
        <v>2</v>
      </c>
    </row>
    <row r="685" spans="1:14" x14ac:dyDescent="0.35">
      <c r="A685" s="1">
        <v>619</v>
      </c>
      <c r="B685">
        <v>13</v>
      </c>
      <c r="C685">
        <v>53</v>
      </c>
      <c r="D685">
        <v>3</v>
      </c>
      <c r="E685">
        <v>0</v>
      </c>
      <c r="F685">
        <v>0</v>
      </c>
      <c r="G685">
        <v>11</v>
      </c>
      <c r="H685">
        <v>3</v>
      </c>
      <c r="I685">
        <v>0.01</v>
      </c>
      <c r="J685">
        <v>10</v>
      </c>
      <c r="K685">
        <v>1</v>
      </c>
      <c r="L685" s="4">
        <v>0.57309450643539928</v>
      </c>
      <c r="M685" s="4">
        <v>0.42690549356460072</v>
      </c>
      <c r="N685">
        <v>2</v>
      </c>
    </row>
    <row r="686" spans="1:14" x14ac:dyDescent="0.35">
      <c r="A686" s="1">
        <v>121</v>
      </c>
      <c r="B686">
        <v>13</v>
      </c>
      <c r="C686">
        <v>49</v>
      </c>
      <c r="D686">
        <v>1</v>
      </c>
      <c r="E686">
        <v>1</v>
      </c>
      <c r="F686">
        <v>3</v>
      </c>
      <c r="G686">
        <v>3</v>
      </c>
      <c r="H686">
        <v>2</v>
      </c>
      <c r="I686">
        <v>500</v>
      </c>
      <c r="J686">
        <v>9</v>
      </c>
      <c r="K686">
        <v>0</v>
      </c>
      <c r="L686" s="4">
        <v>0.57309509315337259</v>
      </c>
      <c r="M686" s="4">
        <v>0.42690490684662741</v>
      </c>
      <c r="N686">
        <v>2</v>
      </c>
    </row>
    <row r="687" spans="1:14" x14ac:dyDescent="0.35">
      <c r="A687" s="1">
        <v>3364</v>
      </c>
      <c r="B687">
        <v>14</v>
      </c>
      <c r="C687">
        <v>58</v>
      </c>
      <c r="D687">
        <v>4</v>
      </c>
      <c r="E687">
        <v>0</v>
      </c>
      <c r="F687">
        <v>0</v>
      </c>
      <c r="G687">
        <v>4</v>
      </c>
      <c r="H687">
        <v>2</v>
      </c>
      <c r="I687">
        <v>3000</v>
      </c>
      <c r="J687">
        <v>7</v>
      </c>
      <c r="K687">
        <v>0</v>
      </c>
      <c r="L687" s="4">
        <v>0.5731038673476363</v>
      </c>
      <c r="M687" s="4">
        <v>0.4268961326523637</v>
      </c>
      <c r="N687">
        <v>2</v>
      </c>
    </row>
    <row r="688" spans="1:14" x14ac:dyDescent="0.35">
      <c r="A688" s="1">
        <v>1134</v>
      </c>
      <c r="B688">
        <v>14</v>
      </c>
      <c r="C688">
        <v>58</v>
      </c>
      <c r="D688">
        <v>5</v>
      </c>
      <c r="E688">
        <v>0</v>
      </c>
      <c r="F688">
        <v>1</v>
      </c>
      <c r="G688">
        <v>12</v>
      </c>
      <c r="H688">
        <v>0</v>
      </c>
      <c r="I688">
        <v>7515</v>
      </c>
      <c r="J688">
        <v>9</v>
      </c>
      <c r="K688">
        <v>0</v>
      </c>
      <c r="L688" s="4">
        <v>0.57329351273719875</v>
      </c>
      <c r="M688" s="4">
        <v>0.4267064872628013</v>
      </c>
      <c r="N688">
        <v>2</v>
      </c>
    </row>
    <row r="689" spans="1:14" x14ac:dyDescent="0.35">
      <c r="A689" s="1">
        <v>933</v>
      </c>
      <c r="B689">
        <v>8</v>
      </c>
      <c r="C689">
        <v>33</v>
      </c>
      <c r="D689">
        <v>1</v>
      </c>
      <c r="E689">
        <v>0</v>
      </c>
      <c r="F689">
        <v>3</v>
      </c>
      <c r="G689">
        <v>3</v>
      </c>
      <c r="H689">
        <v>3</v>
      </c>
      <c r="I689">
        <v>0.01</v>
      </c>
      <c r="J689">
        <v>11</v>
      </c>
      <c r="K689">
        <v>1</v>
      </c>
      <c r="L689" s="4">
        <v>0.57372491225259847</v>
      </c>
      <c r="M689" s="4">
        <v>0.42627508774740153</v>
      </c>
      <c r="N689">
        <v>2</v>
      </c>
    </row>
    <row r="690" spans="1:14" x14ac:dyDescent="0.35">
      <c r="A690" s="1">
        <v>3143</v>
      </c>
      <c r="B690">
        <v>10</v>
      </c>
      <c r="C690">
        <v>44</v>
      </c>
      <c r="D690">
        <v>3</v>
      </c>
      <c r="E690">
        <v>0</v>
      </c>
      <c r="F690">
        <v>0</v>
      </c>
      <c r="G690">
        <v>2</v>
      </c>
      <c r="H690">
        <v>0</v>
      </c>
      <c r="I690">
        <v>10000</v>
      </c>
      <c r="J690">
        <v>1</v>
      </c>
      <c r="K690">
        <v>1</v>
      </c>
      <c r="L690" s="4">
        <v>0.57397503320550913</v>
      </c>
      <c r="M690" s="4">
        <v>0.42602496679449092</v>
      </c>
      <c r="N690">
        <v>2</v>
      </c>
    </row>
    <row r="691" spans="1:14" x14ac:dyDescent="0.35">
      <c r="A691" s="1">
        <v>1281</v>
      </c>
      <c r="B691">
        <v>12</v>
      </c>
      <c r="C691">
        <v>48</v>
      </c>
      <c r="D691">
        <v>4</v>
      </c>
      <c r="E691">
        <v>0</v>
      </c>
      <c r="F691">
        <v>1</v>
      </c>
      <c r="G691">
        <v>12</v>
      </c>
      <c r="H691">
        <v>3</v>
      </c>
      <c r="I691">
        <v>0.01</v>
      </c>
      <c r="J691">
        <v>9</v>
      </c>
      <c r="K691">
        <v>0</v>
      </c>
      <c r="L691" s="4">
        <v>0.57415838339443392</v>
      </c>
      <c r="M691" s="4">
        <v>0.42584161660556608</v>
      </c>
      <c r="N691">
        <v>2</v>
      </c>
    </row>
    <row r="692" spans="1:14" x14ac:dyDescent="0.35">
      <c r="A692" s="1">
        <v>1669</v>
      </c>
      <c r="B692">
        <v>8</v>
      </c>
      <c r="C692">
        <v>32</v>
      </c>
      <c r="D692">
        <v>5</v>
      </c>
      <c r="E692">
        <v>0</v>
      </c>
      <c r="F692">
        <v>1</v>
      </c>
      <c r="G692">
        <v>5</v>
      </c>
      <c r="H692">
        <v>3</v>
      </c>
      <c r="I692">
        <v>0.01</v>
      </c>
      <c r="J692">
        <v>8</v>
      </c>
      <c r="K692">
        <v>0</v>
      </c>
      <c r="L692" s="4">
        <v>0.57446356774545981</v>
      </c>
      <c r="M692" s="4">
        <v>0.42553643225454019</v>
      </c>
      <c r="N692">
        <v>2</v>
      </c>
    </row>
    <row r="693" spans="1:14" x14ac:dyDescent="0.35">
      <c r="A693" s="1">
        <v>420</v>
      </c>
      <c r="B693">
        <v>14</v>
      </c>
      <c r="C693">
        <v>59</v>
      </c>
      <c r="D693">
        <v>3</v>
      </c>
      <c r="E693">
        <v>0</v>
      </c>
      <c r="F693">
        <v>2</v>
      </c>
      <c r="G693">
        <v>1</v>
      </c>
      <c r="H693">
        <v>1</v>
      </c>
      <c r="I693">
        <v>20357.18</v>
      </c>
      <c r="J693">
        <v>3</v>
      </c>
      <c r="K693">
        <v>0</v>
      </c>
      <c r="L693" s="4">
        <v>0.57491685960351024</v>
      </c>
      <c r="M693" s="4">
        <v>0.42508314039648981</v>
      </c>
      <c r="N693">
        <v>2</v>
      </c>
    </row>
    <row r="694" spans="1:14" x14ac:dyDescent="0.35">
      <c r="A694" s="1">
        <v>2042</v>
      </c>
      <c r="B694">
        <v>11</v>
      </c>
      <c r="C694">
        <v>46</v>
      </c>
      <c r="D694">
        <v>2</v>
      </c>
      <c r="E694">
        <v>0</v>
      </c>
      <c r="F694">
        <v>0</v>
      </c>
      <c r="G694">
        <v>4</v>
      </c>
      <c r="H694">
        <v>3</v>
      </c>
      <c r="I694">
        <v>0.01</v>
      </c>
      <c r="J694">
        <v>4</v>
      </c>
      <c r="K694">
        <v>0</v>
      </c>
      <c r="L694" s="4">
        <v>0.57534352918001352</v>
      </c>
      <c r="M694" s="4">
        <v>0.42465647081998642</v>
      </c>
      <c r="N694">
        <v>2</v>
      </c>
    </row>
    <row r="695" spans="1:14" x14ac:dyDescent="0.35">
      <c r="A695" s="1">
        <v>2760</v>
      </c>
      <c r="B695">
        <v>13</v>
      </c>
      <c r="C695">
        <v>53</v>
      </c>
      <c r="D695">
        <v>5</v>
      </c>
      <c r="E695">
        <v>0</v>
      </c>
      <c r="F695">
        <v>0</v>
      </c>
      <c r="G695">
        <v>11</v>
      </c>
      <c r="H695">
        <v>2</v>
      </c>
      <c r="I695">
        <v>420</v>
      </c>
      <c r="J695">
        <v>9</v>
      </c>
      <c r="K695">
        <v>0</v>
      </c>
      <c r="L695" s="4">
        <v>0.57534429616693616</v>
      </c>
      <c r="M695" s="4">
        <v>0.42465570383306378</v>
      </c>
      <c r="N695">
        <v>2</v>
      </c>
    </row>
    <row r="696" spans="1:14" x14ac:dyDescent="0.35">
      <c r="A696" s="1">
        <v>269</v>
      </c>
      <c r="B696">
        <v>12</v>
      </c>
      <c r="C696">
        <v>46</v>
      </c>
      <c r="D696">
        <v>3</v>
      </c>
      <c r="E696">
        <v>1</v>
      </c>
      <c r="F696">
        <v>3</v>
      </c>
      <c r="G696">
        <v>3</v>
      </c>
      <c r="H696">
        <v>0</v>
      </c>
      <c r="I696">
        <v>12000</v>
      </c>
      <c r="J696">
        <v>8</v>
      </c>
      <c r="K696">
        <v>0</v>
      </c>
      <c r="L696" s="4">
        <v>0.57567013917646159</v>
      </c>
      <c r="M696" s="4">
        <v>0.42432986082353841</v>
      </c>
      <c r="N696">
        <v>2</v>
      </c>
    </row>
    <row r="697" spans="1:14" x14ac:dyDescent="0.35">
      <c r="A697" s="1">
        <v>846</v>
      </c>
      <c r="B697">
        <v>7</v>
      </c>
      <c r="C697">
        <v>28</v>
      </c>
      <c r="D697">
        <v>5</v>
      </c>
      <c r="E697">
        <v>0</v>
      </c>
      <c r="F697">
        <v>3</v>
      </c>
      <c r="G697">
        <v>3</v>
      </c>
      <c r="H697">
        <v>2</v>
      </c>
      <c r="I697">
        <v>2000</v>
      </c>
      <c r="J697">
        <v>5</v>
      </c>
      <c r="K697">
        <v>0</v>
      </c>
      <c r="L697" s="4">
        <v>0.57581083652784781</v>
      </c>
      <c r="M697" s="4">
        <v>0.42418916347215219</v>
      </c>
      <c r="N697">
        <v>2</v>
      </c>
    </row>
    <row r="698" spans="1:14" x14ac:dyDescent="0.35">
      <c r="A698" s="1">
        <v>2351</v>
      </c>
      <c r="B698">
        <v>10</v>
      </c>
      <c r="C698">
        <v>43</v>
      </c>
      <c r="D698">
        <v>5</v>
      </c>
      <c r="E698">
        <v>0</v>
      </c>
      <c r="F698">
        <v>0</v>
      </c>
      <c r="G698">
        <v>4</v>
      </c>
      <c r="H698">
        <v>0</v>
      </c>
      <c r="I698">
        <v>6000</v>
      </c>
      <c r="J698">
        <v>2</v>
      </c>
      <c r="K698">
        <v>1</v>
      </c>
      <c r="L698" s="4">
        <v>0.57606933384851677</v>
      </c>
      <c r="M698" s="4">
        <v>0.42393066615148323</v>
      </c>
      <c r="N698">
        <v>2</v>
      </c>
    </row>
    <row r="699" spans="1:14" x14ac:dyDescent="0.35">
      <c r="A699" s="1">
        <v>4360</v>
      </c>
      <c r="B699">
        <v>9</v>
      </c>
      <c r="C699">
        <v>40</v>
      </c>
      <c r="D699">
        <v>0</v>
      </c>
      <c r="E699">
        <v>0</v>
      </c>
      <c r="F699">
        <v>3</v>
      </c>
      <c r="G699">
        <v>3</v>
      </c>
      <c r="H699">
        <v>0</v>
      </c>
      <c r="I699">
        <v>13000</v>
      </c>
      <c r="J699">
        <v>2</v>
      </c>
      <c r="K699">
        <v>0</v>
      </c>
      <c r="L699" s="4">
        <v>0.57611547676844577</v>
      </c>
      <c r="M699" s="4">
        <v>0.42388452323155429</v>
      </c>
      <c r="N699">
        <v>2</v>
      </c>
    </row>
    <row r="700" spans="1:14" x14ac:dyDescent="0.35">
      <c r="A700" s="1">
        <v>4145</v>
      </c>
      <c r="B700">
        <v>12</v>
      </c>
      <c r="C700">
        <v>51</v>
      </c>
      <c r="D700">
        <v>0</v>
      </c>
      <c r="E700">
        <v>0</v>
      </c>
      <c r="F700">
        <v>0</v>
      </c>
      <c r="G700">
        <v>4</v>
      </c>
      <c r="H700">
        <v>3</v>
      </c>
      <c r="I700">
        <v>0.01</v>
      </c>
      <c r="J700">
        <v>5</v>
      </c>
      <c r="K700">
        <v>1</v>
      </c>
      <c r="L700" s="4">
        <v>0.5761402809641103</v>
      </c>
      <c r="M700" s="4">
        <v>0.42385971903588959</v>
      </c>
      <c r="N700">
        <v>2</v>
      </c>
    </row>
    <row r="701" spans="1:14" x14ac:dyDescent="0.35">
      <c r="A701" s="1">
        <v>3776</v>
      </c>
      <c r="B701">
        <v>9</v>
      </c>
      <c r="C701">
        <v>38</v>
      </c>
      <c r="D701">
        <v>2</v>
      </c>
      <c r="E701">
        <v>0</v>
      </c>
      <c r="F701">
        <v>0</v>
      </c>
      <c r="G701">
        <v>4</v>
      </c>
      <c r="H701">
        <v>3</v>
      </c>
      <c r="I701">
        <v>0.01</v>
      </c>
      <c r="J701">
        <v>5</v>
      </c>
      <c r="K701">
        <v>1</v>
      </c>
      <c r="L701" s="4">
        <v>0.57650570279239188</v>
      </c>
      <c r="M701" s="4">
        <v>0.42349429720760812</v>
      </c>
      <c r="N701">
        <v>2</v>
      </c>
    </row>
    <row r="702" spans="1:14" x14ac:dyDescent="0.35">
      <c r="A702" s="1">
        <v>2334</v>
      </c>
      <c r="B702">
        <v>11</v>
      </c>
      <c r="C702">
        <v>47</v>
      </c>
      <c r="D702">
        <v>2</v>
      </c>
      <c r="E702">
        <v>0</v>
      </c>
      <c r="F702">
        <v>0</v>
      </c>
      <c r="G702">
        <v>4</v>
      </c>
      <c r="H702">
        <v>2</v>
      </c>
      <c r="I702">
        <v>540</v>
      </c>
      <c r="J702">
        <v>11</v>
      </c>
      <c r="K702">
        <v>0</v>
      </c>
      <c r="L702" s="4">
        <v>0.57688123968781935</v>
      </c>
      <c r="M702" s="4">
        <v>0.42311876031218071</v>
      </c>
      <c r="N702">
        <v>2</v>
      </c>
    </row>
    <row r="703" spans="1:14" x14ac:dyDescent="0.35">
      <c r="A703" s="1">
        <v>2478</v>
      </c>
      <c r="B703">
        <v>8</v>
      </c>
      <c r="C703">
        <v>32</v>
      </c>
      <c r="D703">
        <v>5</v>
      </c>
      <c r="E703">
        <v>0</v>
      </c>
      <c r="F703">
        <v>3</v>
      </c>
      <c r="G703">
        <v>3</v>
      </c>
      <c r="H703">
        <v>2</v>
      </c>
      <c r="I703">
        <v>520</v>
      </c>
      <c r="J703">
        <v>1</v>
      </c>
      <c r="K703">
        <v>0</v>
      </c>
      <c r="L703" s="4">
        <v>0.57691036380379901</v>
      </c>
      <c r="M703" s="4">
        <v>0.42308963619620099</v>
      </c>
      <c r="N703">
        <v>2</v>
      </c>
    </row>
    <row r="704" spans="1:14" x14ac:dyDescent="0.35">
      <c r="A704" s="1">
        <v>3233</v>
      </c>
      <c r="B704">
        <v>16</v>
      </c>
      <c r="C704">
        <v>60</v>
      </c>
      <c r="D704">
        <v>3</v>
      </c>
      <c r="E704">
        <v>1</v>
      </c>
      <c r="F704">
        <v>3</v>
      </c>
      <c r="G704">
        <v>8</v>
      </c>
      <c r="H704">
        <v>2</v>
      </c>
      <c r="I704">
        <v>3000</v>
      </c>
      <c r="J704">
        <v>2</v>
      </c>
      <c r="K704">
        <v>0</v>
      </c>
      <c r="L704" s="4">
        <v>0.57695142774758068</v>
      </c>
      <c r="M704" s="4">
        <v>0.42304857225241932</v>
      </c>
      <c r="N704">
        <v>2</v>
      </c>
    </row>
    <row r="705" spans="1:14" x14ac:dyDescent="0.35">
      <c r="A705" s="1">
        <v>3541</v>
      </c>
      <c r="B705">
        <v>13</v>
      </c>
      <c r="C705">
        <v>48</v>
      </c>
      <c r="D705">
        <v>2</v>
      </c>
      <c r="E705">
        <v>1</v>
      </c>
      <c r="F705">
        <v>3</v>
      </c>
      <c r="G705">
        <v>3</v>
      </c>
      <c r="H705">
        <v>3</v>
      </c>
      <c r="I705">
        <v>0.01</v>
      </c>
      <c r="J705">
        <v>5</v>
      </c>
      <c r="K705">
        <v>0</v>
      </c>
      <c r="L705" s="4">
        <v>0.57702596072808376</v>
      </c>
      <c r="M705" s="4">
        <v>0.42297403927191618</v>
      </c>
      <c r="N705">
        <v>2</v>
      </c>
    </row>
    <row r="706" spans="1:14" x14ac:dyDescent="0.35">
      <c r="A706" s="1">
        <v>1874</v>
      </c>
      <c r="B706">
        <v>13</v>
      </c>
      <c r="C706">
        <v>54</v>
      </c>
      <c r="D706">
        <v>1</v>
      </c>
      <c r="E706">
        <v>0</v>
      </c>
      <c r="F706">
        <v>1</v>
      </c>
      <c r="G706">
        <v>7</v>
      </c>
      <c r="H706">
        <v>3</v>
      </c>
      <c r="I706">
        <v>0.01</v>
      </c>
      <c r="J706">
        <v>8</v>
      </c>
      <c r="K706">
        <v>1</v>
      </c>
      <c r="L706" s="4">
        <v>0.57715218439325255</v>
      </c>
      <c r="M706" s="4">
        <v>0.42284781560674739</v>
      </c>
      <c r="N706">
        <v>2</v>
      </c>
    </row>
    <row r="707" spans="1:14" x14ac:dyDescent="0.35">
      <c r="A707" s="1">
        <v>14</v>
      </c>
      <c r="B707">
        <v>14</v>
      </c>
      <c r="C707">
        <v>58</v>
      </c>
      <c r="D707">
        <v>1</v>
      </c>
      <c r="E707">
        <v>0</v>
      </c>
      <c r="F707">
        <v>1</v>
      </c>
      <c r="G707">
        <v>7</v>
      </c>
      <c r="H707">
        <v>3</v>
      </c>
      <c r="I707">
        <v>0.01</v>
      </c>
      <c r="J707">
        <v>5</v>
      </c>
      <c r="K707">
        <v>1</v>
      </c>
      <c r="L707" s="4">
        <v>0.57735557080789457</v>
      </c>
      <c r="M707" s="4">
        <v>0.42264442919210538</v>
      </c>
      <c r="N707">
        <v>2</v>
      </c>
    </row>
    <row r="708" spans="1:14" x14ac:dyDescent="0.35">
      <c r="A708" s="1">
        <v>2662</v>
      </c>
      <c r="B708">
        <v>10</v>
      </c>
      <c r="C708">
        <v>36</v>
      </c>
      <c r="D708">
        <v>5</v>
      </c>
      <c r="E708">
        <v>1</v>
      </c>
      <c r="F708">
        <v>1</v>
      </c>
      <c r="G708">
        <v>5</v>
      </c>
      <c r="H708">
        <v>2</v>
      </c>
      <c r="I708">
        <v>250</v>
      </c>
      <c r="J708">
        <v>1</v>
      </c>
      <c r="K708">
        <v>1</v>
      </c>
      <c r="L708" s="4">
        <v>0.57771608238983418</v>
      </c>
      <c r="M708" s="4">
        <v>0.42228391761016582</v>
      </c>
      <c r="N708">
        <v>2</v>
      </c>
    </row>
    <row r="709" spans="1:14" x14ac:dyDescent="0.35">
      <c r="A709" s="1">
        <v>232</v>
      </c>
      <c r="B709">
        <v>15</v>
      </c>
      <c r="C709">
        <v>65</v>
      </c>
      <c r="D709">
        <v>0</v>
      </c>
      <c r="E709">
        <v>0</v>
      </c>
      <c r="F709">
        <v>0</v>
      </c>
      <c r="G709">
        <v>11</v>
      </c>
      <c r="H709">
        <v>0</v>
      </c>
      <c r="I709">
        <v>6000</v>
      </c>
      <c r="J709">
        <v>6</v>
      </c>
      <c r="K709">
        <v>1</v>
      </c>
      <c r="L709" s="4">
        <v>0.57778085954383296</v>
      </c>
      <c r="M709" s="4">
        <v>0.42221914045616699</v>
      </c>
      <c r="N709">
        <v>2</v>
      </c>
    </row>
    <row r="710" spans="1:14" x14ac:dyDescent="0.35">
      <c r="A710" s="1">
        <v>13</v>
      </c>
      <c r="B710">
        <v>13</v>
      </c>
      <c r="C710">
        <v>51</v>
      </c>
      <c r="D710">
        <v>4</v>
      </c>
      <c r="E710">
        <v>1</v>
      </c>
      <c r="F710">
        <v>0</v>
      </c>
      <c r="G710">
        <v>4</v>
      </c>
      <c r="H710">
        <v>0</v>
      </c>
      <c r="I710">
        <v>12025</v>
      </c>
      <c r="J710">
        <v>3</v>
      </c>
      <c r="K710">
        <v>0</v>
      </c>
      <c r="L710" s="4">
        <v>0.57812435125007222</v>
      </c>
      <c r="M710" s="4">
        <v>0.42187564874992772</v>
      </c>
      <c r="N710">
        <v>2</v>
      </c>
    </row>
    <row r="711" spans="1:14" x14ac:dyDescent="0.35">
      <c r="A711" s="1">
        <v>3729</v>
      </c>
      <c r="B711">
        <v>18</v>
      </c>
      <c r="C711">
        <v>76</v>
      </c>
      <c r="D711">
        <v>3</v>
      </c>
      <c r="E711">
        <v>0</v>
      </c>
      <c r="F711">
        <v>2</v>
      </c>
      <c r="G711">
        <v>0</v>
      </c>
      <c r="H711">
        <v>1</v>
      </c>
      <c r="I711">
        <v>37000</v>
      </c>
      <c r="J711">
        <v>5</v>
      </c>
      <c r="K711">
        <v>1</v>
      </c>
      <c r="L711" s="4">
        <v>0.57814233355721245</v>
      </c>
      <c r="M711" s="4">
        <v>0.4218576664427876</v>
      </c>
      <c r="N711">
        <v>2</v>
      </c>
    </row>
    <row r="712" spans="1:14" x14ac:dyDescent="0.35">
      <c r="A712" s="1">
        <v>2166</v>
      </c>
      <c r="B712">
        <v>10</v>
      </c>
      <c r="C712">
        <v>37</v>
      </c>
      <c r="D712">
        <v>3</v>
      </c>
      <c r="E712">
        <v>1</v>
      </c>
      <c r="F712">
        <v>0</v>
      </c>
      <c r="G712">
        <v>2</v>
      </c>
      <c r="H712">
        <v>3</v>
      </c>
      <c r="I712">
        <v>0.01</v>
      </c>
      <c r="J712">
        <v>5</v>
      </c>
      <c r="K712">
        <v>1</v>
      </c>
      <c r="L712" s="4">
        <v>0.57819161304399402</v>
      </c>
      <c r="M712" s="4">
        <v>0.42180838695600598</v>
      </c>
      <c r="N712">
        <v>2</v>
      </c>
    </row>
    <row r="713" spans="1:14" x14ac:dyDescent="0.35">
      <c r="A713" s="1">
        <v>1977</v>
      </c>
      <c r="B713">
        <v>11</v>
      </c>
      <c r="C713">
        <v>46</v>
      </c>
      <c r="D713">
        <v>5</v>
      </c>
      <c r="E713">
        <v>0</v>
      </c>
      <c r="F713">
        <v>0</v>
      </c>
      <c r="G713">
        <v>2</v>
      </c>
      <c r="H713">
        <v>2</v>
      </c>
      <c r="I713">
        <v>240</v>
      </c>
      <c r="J713">
        <v>13</v>
      </c>
      <c r="K713">
        <v>0</v>
      </c>
      <c r="L713" s="4">
        <v>0.57826416986251616</v>
      </c>
      <c r="M713" s="4">
        <v>0.42173583013748378</v>
      </c>
      <c r="N713">
        <v>2</v>
      </c>
    </row>
    <row r="714" spans="1:14" x14ac:dyDescent="0.35">
      <c r="A714" s="1">
        <v>58</v>
      </c>
      <c r="B714">
        <v>15</v>
      </c>
      <c r="C714">
        <v>60</v>
      </c>
      <c r="D714">
        <v>0</v>
      </c>
      <c r="E714">
        <v>1</v>
      </c>
      <c r="F714">
        <v>1</v>
      </c>
      <c r="G714">
        <v>7</v>
      </c>
      <c r="H714">
        <v>0</v>
      </c>
      <c r="I714">
        <v>6000</v>
      </c>
      <c r="J714">
        <v>5</v>
      </c>
      <c r="K714">
        <v>1</v>
      </c>
      <c r="L714" s="4">
        <v>0.57835626005224494</v>
      </c>
      <c r="M714" s="4">
        <v>0.42164373994775511</v>
      </c>
      <c r="N714">
        <v>2</v>
      </c>
    </row>
    <row r="715" spans="1:14" x14ac:dyDescent="0.35">
      <c r="A715" s="1">
        <v>419</v>
      </c>
      <c r="B715">
        <v>11</v>
      </c>
      <c r="C715">
        <v>42</v>
      </c>
      <c r="D715">
        <v>2</v>
      </c>
      <c r="E715">
        <v>1</v>
      </c>
      <c r="F715">
        <v>3</v>
      </c>
      <c r="G715">
        <v>8</v>
      </c>
      <c r="H715">
        <v>0</v>
      </c>
      <c r="I715">
        <v>6000.01</v>
      </c>
      <c r="J715">
        <v>9</v>
      </c>
      <c r="K715">
        <v>0</v>
      </c>
      <c r="L715" s="4">
        <v>0.57873256490593683</v>
      </c>
      <c r="M715" s="4">
        <v>0.42126743509406323</v>
      </c>
      <c r="N715">
        <v>2</v>
      </c>
    </row>
    <row r="716" spans="1:14" x14ac:dyDescent="0.35">
      <c r="A716" s="1">
        <v>1475</v>
      </c>
      <c r="B716">
        <v>10</v>
      </c>
      <c r="C716">
        <v>36</v>
      </c>
      <c r="D716">
        <v>1</v>
      </c>
      <c r="E716">
        <v>1</v>
      </c>
      <c r="F716">
        <v>3</v>
      </c>
      <c r="G716">
        <v>8</v>
      </c>
      <c r="H716">
        <v>3</v>
      </c>
      <c r="I716">
        <v>0.01</v>
      </c>
      <c r="J716">
        <v>5</v>
      </c>
      <c r="K716">
        <v>0</v>
      </c>
      <c r="L716" s="4">
        <v>0.57951590835964084</v>
      </c>
      <c r="M716" s="4">
        <v>0.4204840916403591</v>
      </c>
      <c r="N716">
        <v>2</v>
      </c>
    </row>
    <row r="717" spans="1:14" x14ac:dyDescent="0.35">
      <c r="A717" s="1">
        <v>832</v>
      </c>
      <c r="B717">
        <v>13</v>
      </c>
      <c r="C717">
        <v>50</v>
      </c>
      <c r="D717">
        <v>0</v>
      </c>
      <c r="E717">
        <v>1</v>
      </c>
      <c r="F717">
        <v>3</v>
      </c>
      <c r="G717">
        <v>3</v>
      </c>
      <c r="H717">
        <v>2</v>
      </c>
      <c r="I717">
        <v>4550</v>
      </c>
      <c r="J717">
        <v>9</v>
      </c>
      <c r="K717">
        <v>0</v>
      </c>
      <c r="L717" s="4">
        <v>0.5797716265358035</v>
      </c>
      <c r="M717" s="4">
        <v>0.42022837346419639</v>
      </c>
      <c r="N717">
        <v>2</v>
      </c>
    </row>
    <row r="718" spans="1:14" x14ac:dyDescent="0.35">
      <c r="A718" s="1">
        <v>4005</v>
      </c>
      <c r="B718">
        <v>8</v>
      </c>
      <c r="C718">
        <v>28</v>
      </c>
      <c r="D718">
        <v>5</v>
      </c>
      <c r="E718">
        <v>1</v>
      </c>
      <c r="F718">
        <v>0</v>
      </c>
      <c r="G718">
        <v>4</v>
      </c>
      <c r="H718">
        <v>3</v>
      </c>
      <c r="I718">
        <v>0.01</v>
      </c>
      <c r="J718">
        <v>5</v>
      </c>
      <c r="K718">
        <v>0</v>
      </c>
      <c r="L718" s="4">
        <v>0.58049552515969594</v>
      </c>
      <c r="M718" s="4">
        <v>0.41950447484030412</v>
      </c>
      <c r="N718">
        <v>2</v>
      </c>
    </row>
    <row r="719" spans="1:14" x14ac:dyDescent="0.35">
      <c r="A719" s="1">
        <v>590</v>
      </c>
      <c r="B719">
        <v>12</v>
      </c>
      <c r="C719">
        <v>50</v>
      </c>
      <c r="D719">
        <v>2</v>
      </c>
      <c r="E719">
        <v>0</v>
      </c>
      <c r="F719">
        <v>3</v>
      </c>
      <c r="G719">
        <v>3</v>
      </c>
      <c r="H719">
        <v>2</v>
      </c>
      <c r="I719">
        <v>3200</v>
      </c>
      <c r="J719">
        <v>6</v>
      </c>
      <c r="K719">
        <v>0</v>
      </c>
      <c r="L719" s="4">
        <v>0.58144601295599596</v>
      </c>
      <c r="M719" s="4">
        <v>0.41855398704400398</v>
      </c>
      <c r="N719">
        <v>2</v>
      </c>
    </row>
    <row r="720" spans="1:14" x14ac:dyDescent="0.35">
      <c r="A720" s="1">
        <v>3737</v>
      </c>
      <c r="B720">
        <v>12</v>
      </c>
      <c r="C720">
        <v>52</v>
      </c>
      <c r="D720">
        <v>1</v>
      </c>
      <c r="E720">
        <v>0</v>
      </c>
      <c r="F720">
        <v>3</v>
      </c>
      <c r="G720">
        <v>3</v>
      </c>
      <c r="H720">
        <v>0</v>
      </c>
      <c r="I720">
        <v>9050</v>
      </c>
      <c r="J720">
        <v>3</v>
      </c>
      <c r="K720">
        <v>0</v>
      </c>
      <c r="L720" s="4">
        <v>0.58155586753747823</v>
      </c>
      <c r="M720" s="4">
        <v>0.41844413246252182</v>
      </c>
      <c r="N720">
        <v>2</v>
      </c>
    </row>
    <row r="721" spans="1:14" x14ac:dyDescent="0.35">
      <c r="A721" s="1">
        <v>1818</v>
      </c>
      <c r="B721">
        <v>10</v>
      </c>
      <c r="C721">
        <v>42</v>
      </c>
      <c r="D721">
        <v>0</v>
      </c>
      <c r="E721">
        <v>0</v>
      </c>
      <c r="F721">
        <v>3</v>
      </c>
      <c r="G721">
        <v>3</v>
      </c>
      <c r="H721">
        <v>3</v>
      </c>
      <c r="I721">
        <v>0.01</v>
      </c>
      <c r="J721">
        <v>7</v>
      </c>
      <c r="K721">
        <v>1</v>
      </c>
      <c r="L721" s="4">
        <v>0.58176741679875721</v>
      </c>
      <c r="M721" s="4">
        <v>0.41823258320124279</v>
      </c>
      <c r="N721">
        <v>2</v>
      </c>
    </row>
    <row r="722" spans="1:14" x14ac:dyDescent="0.35">
      <c r="A722" s="1">
        <v>447</v>
      </c>
      <c r="B722">
        <v>11</v>
      </c>
      <c r="C722">
        <v>46</v>
      </c>
      <c r="D722">
        <v>2</v>
      </c>
      <c r="E722">
        <v>0</v>
      </c>
      <c r="F722">
        <v>3</v>
      </c>
      <c r="G722">
        <v>3</v>
      </c>
      <c r="H722">
        <v>2</v>
      </c>
      <c r="I722">
        <v>50.01</v>
      </c>
      <c r="J722">
        <v>9</v>
      </c>
      <c r="K722">
        <v>0</v>
      </c>
      <c r="L722" s="4">
        <v>0.58247800493061219</v>
      </c>
      <c r="M722" s="4">
        <v>0.41752199506938781</v>
      </c>
      <c r="N722">
        <v>2</v>
      </c>
    </row>
    <row r="723" spans="1:14" x14ac:dyDescent="0.35">
      <c r="A723" s="1">
        <v>841</v>
      </c>
      <c r="B723">
        <v>12</v>
      </c>
      <c r="C723">
        <v>51</v>
      </c>
      <c r="D723">
        <v>1</v>
      </c>
      <c r="E723">
        <v>0</v>
      </c>
      <c r="F723">
        <v>0</v>
      </c>
      <c r="G723">
        <v>4</v>
      </c>
      <c r="H723">
        <v>3</v>
      </c>
      <c r="I723">
        <v>0.01</v>
      </c>
      <c r="J723">
        <v>5</v>
      </c>
      <c r="K723">
        <v>1</v>
      </c>
      <c r="L723" s="4">
        <v>0.58255020773868327</v>
      </c>
      <c r="M723" s="4">
        <v>0.41744979226131679</v>
      </c>
      <c r="N723">
        <v>2</v>
      </c>
    </row>
    <row r="724" spans="1:14" x14ac:dyDescent="0.35">
      <c r="A724" s="1">
        <v>1919</v>
      </c>
      <c r="B724">
        <v>14</v>
      </c>
      <c r="C724">
        <v>50</v>
      </c>
      <c r="D724">
        <v>1</v>
      </c>
      <c r="E724">
        <v>2</v>
      </c>
      <c r="F724">
        <v>0</v>
      </c>
      <c r="G724">
        <v>4</v>
      </c>
      <c r="H724">
        <v>2</v>
      </c>
      <c r="I724">
        <v>35</v>
      </c>
      <c r="J724">
        <v>3</v>
      </c>
      <c r="K724">
        <v>0</v>
      </c>
      <c r="L724" s="4">
        <v>0.58299926118141487</v>
      </c>
      <c r="M724" s="4">
        <v>0.41700073881858513</v>
      </c>
      <c r="N724">
        <v>2</v>
      </c>
    </row>
    <row r="725" spans="1:14" x14ac:dyDescent="0.35">
      <c r="A725" s="1">
        <v>2044</v>
      </c>
      <c r="B725">
        <v>8</v>
      </c>
      <c r="C725">
        <v>33</v>
      </c>
      <c r="D725">
        <v>4</v>
      </c>
      <c r="E725">
        <v>0</v>
      </c>
      <c r="F725">
        <v>3</v>
      </c>
      <c r="G725">
        <v>3</v>
      </c>
      <c r="H725">
        <v>2</v>
      </c>
      <c r="I725">
        <v>3000</v>
      </c>
      <c r="J725">
        <v>4</v>
      </c>
      <c r="K725">
        <v>1</v>
      </c>
      <c r="L725" s="4">
        <v>0.58324842509554931</v>
      </c>
      <c r="M725" s="4">
        <v>0.41675157490445069</v>
      </c>
      <c r="N725">
        <v>2</v>
      </c>
    </row>
    <row r="726" spans="1:14" x14ac:dyDescent="0.35">
      <c r="A726" s="1">
        <v>2509</v>
      </c>
      <c r="B726">
        <v>9</v>
      </c>
      <c r="C726">
        <v>39</v>
      </c>
      <c r="D726">
        <v>3</v>
      </c>
      <c r="E726">
        <v>0</v>
      </c>
      <c r="F726">
        <v>3</v>
      </c>
      <c r="G726">
        <v>3</v>
      </c>
      <c r="H726">
        <v>0</v>
      </c>
      <c r="I726">
        <v>6000</v>
      </c>
      <c r="J726">
        <v>2</v>
      </c>
      <c r="K726">
        <v>1</v>
      </c>
      <c r="L726" s="4">
        <v>0.58342747239620751</v>
      </c>
      <c r="M726" s="4">
        <v>0.41657252760379249</v>
      </c>
      <c r="N726">
        <v>2</v>
      </c>
    </row>
    <row r="727" spans="1:14" x14ac:dyDescent="0.35">
      <c r="A727" s="1">
        <v>2206</v>
      </c>
      <c r="B727">
        <v>17</v>
      </c>
      <c r="C727">
        <v>71</v>
      </c>
      <c r="D727">
        <v>2</v>
      </c>
      <c r="E727">
        <v>0</v>
      </c>
      <c r="F727">
        <v>0</v>
      </c>
      <c r="G727">
        <v>11</v>
      </c>
      <c r="H727">
        <v>2</v>
      </c>
      <c r="I727">
        <v>1200</v>
      </c>
      <c r="J727">
        <v>5</v>
      </c>
      <c r="K727">
        <v>1</v>
      </c>
      <c r="L727" s="4">
        <v>0.58344366979867646</v>
      </c>
      <c r="M727" s="4">
        <v>0.4165563302013236</v>
      </c>
      <c r="N727">
        <v>2</v>
      </c>
    </row>
    <row r="728" spans="1:14" x14ac:dyDescent="0.35">
      <c r="A728" s="1">
        <v>2521</v>
      </c>
      <c r="B728">
        <v>11</v>
      </c>
      <c r="C728">
        <v>49</v>
      </c>
      <c r="D728">
        <v>2</v>
      </c>
      <c r="E728">
        <v>0</v>
      </c>
      <c r="F728">
        <v>0</v>
      </c>
      <c r="G728">
        <v>4</v>
      </c>
      <c r="H728">
        <v>0</v>
      </c>
      <c r="I728">
        <v>6000</v>
      </c>
      <c r="J728">
        <v>8</v>
      </c>
      <c r="K728">
        <v>0</v>
      </c>
      <c r="L728" s="4">
        <v>0.58355050085723414</v>
      </c>
      <c r="M728" s="4">
        <v>0.41644949914276591</v>
      </c>
      <c r="N728">
        <v>2</v>
      </c>
    </row>
    <row r="729" spans="1:14" x14ac:dyDescent="0.35">
      <c r="A729" s="1">
        <v>1822</v>
      </c>
      <c r="B729">
        <v>10</v>
      </c>
      <c r="C729">
        <v>35</v>
      </c>
      <c r="D729">
        <v>5</v>
      </c>
      <c r="E729">
        <v>1</v>
      </c>
      <c r="F729">
        <v>3</v>
      </c>
      <c r="G729">
        <v>3</v>
      </c>
      <c r="H729">
        <v>3</v>
      </c>
      <c r="I729">
        <v>0.01</v>
      </c>
      <c r="J729">
        <v>4</v>
      </c>
      <c r="K729">
        <v>0</v>
      </c>
      <c r="L729" s="4">
        <v>0.58410806254911574</v>
      </c>
      <c r="M729" s="4">
        <v>0.41589193745088432</v>
      </c>
      <c r="N729">
        <v>2</v>
      </c>
    </row>
    <row r="730" spans="1:14" x14ac:dyDescent="0.35">
      <c r="A730" s="1">
        <v>1327</v>
      </c>
      <c r="B730">
        <v>12</v>
      </c>
      <c r="C730">
        <v>51</v>
      </c>
      <c r="D730">
        <v>0</v>
      </c>
      <c r="E730">
        <v>0</v>
      </c>
      <c r="F730">
        <v>3</v>
      </c>
      <c r="G730">
        <v>3</v>
      </c>
      <c r="H730">
        <v>2</v>
      </c>
      <c r="I730">
        <v>1500</v>
      </c>
      <c r="J730">
        <v>5</v>
      </c>
      <c r="K730">
        <v>1</v>
      </c>
      <c r="L730" s="4">
        <v>0.58426462721149131</v>
      </c>
      <c r="M730" s="4">
        <v>0.41573537278850869</v>
      </c>
      <c r="N730">
        <v>2</v>
      </c>
    </row>
    <row r="731" spans="1:14" x14ac:dyDescent="0.35">
      <c r="A731" s="1">
        <v>1953</v>
      </c>
      <c r="B731">
        <v>10</v>
      </c>
      <c r="C731">
        <v>40</v>
      </c>
      <c r="D731">
        <v>5</v>
      </c>
      <c r="E731">
        <v>0</v>
      </c>
      <c r="F731">
        <v>3</v>
      </c>
      <c r="G731">
        <v>3</v>
      </c>
      <c r="H731">
        <v>3</v>
      </c>
      <c r="I731">
        <v>0.01</v>
      </c>
      <c r="J731">
        <v>7</v>
      </c>
      <c r="K731">
        <v>0</v>
      </c>
      <c r="L731" s="4">
        <v>0.58448155027912418</v>
      </c>
      <c r="M731" s="4">
        <v>0.41551844972087582</v>
      </c>
      <c r="N731">
        <v>2</v>
      </c>
    </row>
    <row r="732" spans="1:14" x14ac:dyDescent="0.35">
      <c r="A732" s="1">
        <v>1235</v>
      </c>
      <c r="B732">
        <v>8</v>
      </c>
      <c r="C732">
        <v>28</v>
      </c>
      <c r="D732">
        <v>4</v>
      </c>
      <c r="E732">
        <v>1</v>
      </c>
      <c r="F732">
        <v>1</v>
      </c>
      <c r="G732">
        <v>7</v>
      </c>
      <c r="H732">
        <v>3</v>
      </c>
      <c r="I732">
        <v>0.01</v>
      </c>
      <c r="J732">
        <v>5</v>
      </c>
      <c r="K732">
        <v>1</v>
      </c>
      <c r="L732" s="4">
        <v>0.58501582097670002</v>
      </c>
      <c r="M732" s="4">
        <v>0.41498417902329993</v>
      </c>
      <c r="N732">
        <v>2</v>
      </c>
    </row>
    <row r="733" spans="1:14" x14ac:dyDescent="0.35">
      <c r="A733" s="1">
        <v>1671</v>
      </c>
      <c r="B733">
        <v>13</v>
      </c>
      <c r="C733">
        <v>56</v>
      </c>
      <c r="D733">
        <v>1</v>
      </c>
      <c r="E733">
        <v>0</v>
      </c>
      <c r="F733">
        <v>3</v>
      </c>
      <c r="G733">
        <v>8</v>
      </c>
      <c r="H733">
        <v>0</v>
      </c>
      <c r="I733">
        <v>12106.69</v>
      </c>
      <c r="J733">
        <v>7</v>
      </c>
      <c r="K733">
        <v>0</v>
      </c>
      <c r="L733" s="4">
        <v>0.58504625967711399</v>
      </c>
      <c r="M733" s="4">
        <v>0.41495374032288601</v>
      </c>
      <c r="N733">
        <v>2</v>
      </c>
    </row>
    <row r="734" spans="1:14" x14ac:dyDescent="0.35">
      <c r="A734" s="1">
        <v>2183</v>
      </c>
      <c r="B734">
        <v>10</v>
      </c>
      <c r="C734">
        <v>36</v>
      </c>
      <c r="D734">
        <v>2</v>
      </c>
      <c r="E734">
        <v>1</v>
      </c>
      <c r="F734">
        <v>3</v>
      </c>
      <c r="G734">
        <v>8</v>
      </c>
      <c r="H734">
        <v>3</v>
      </c>
      <c r="I734">
        <v>0.01</v>
      </c>
      <c r="J734">
        <v>6</v>
      </c>
      <c r="K734">
        <v>0</v>
      </c>
      <c r="L734" s="4">
        <v>0.58559966186259005</v>
      </c>
      <c r="M734" s="4">
        <v>0.4144003381374099</v>
      </c>
      <c r="N734">
        <v>2</v>
      </c>
    </row>
    <row r="735" spans="1:14" x14ac:dyDescent="0.35">
      <c r="A735" s="1">
        <v>925</v>
      </c>
      <c r="B735">
        <v>8</v>
      </c>
      <c r="C735">
        <v>34</v>
      </c>
      <c r="D735">
        <v>4</v>
      </c>
      <c r="E735">
        <v>0</v>
      </c>
      <c r="F735">
        <v>0</v>
      </c>
      <c r="G735">
        <v>2</v>
      </c>
      <c r="H735">
        <v>3</v>
      </c>
      <c r="I735">
        <v>0.01</v>
      </c>
      <c r="J735">
        <v>5</v>
      </c>
      <c r="K735">
        <v>1</v>
      </c>
      <c r="L735" s="4">
        <v>0.58736741148024918</v>
      </c>
      <c r="M735" s="4">
        <v>0.41263258851975082</v>
      </c>
      <c r="N735">
        <v>2</v>
      </c>
    </row>
    <row r="736" spans="1:14" x14ac:dyDescent="0.35">
      <c r="A736" s="1">
        <v>1306</v>
      </c>
      <c r="B736">
        <v>9</v>
      </c>
      <c r="C736">
        <v>40</v>
      </c>
      <c r="D736">
        <v>1</v>
      </c>
      <c r="E736">
        <v>0</v>
      </c>
      <c r="F736">
        <v>0</v>
      </c>
      <c r="G736">
        <v>4</v>
      </c>
      <c r="H736">
        <v>2</v>
      </c>
      <c r="I736">
        <v>3000</v>
      </c>
      <c r="J736">
        <v>5</v>
      </c>
      <c r="K736">
        <v>1</v>
      </c>
      <c r="L736" s="4">
        <v>0.58750116239572558</v>
      </c>
      <c r="M736" s="4">
        <v>0.41249883760427442</v>
      </c>
      <c r="N736">
        <v>2</v>
      </c>
    </row>
    <row r="737" spans="1:14" x14ac:dyDescent="0.35">
      <c r="A737" s="1">
        <v>2581</v>
      </c>
      <c r="B737">
        <v>8</v>
      </c>
      <c r="C737">
        <v>37</v>
      </c>
      <c r="D737">
        <v>2</v>
      </c>
      <c r="E737">
        <v>0</v>
      </c>
      <c r="F737">
        <v>0</v>
      </c>
      <c r="G737">
        <v>4</v>
      </c>
      <c r="H737">
        <v>0</v>
      </c>
      <c r="I737">
        <v>6000</v>
      </c>
      <c r="J737">
        <v>2</v>
      </c>
      <c r="K737">
        <v>0</v>
      </c>
      <c r="L737" s="4">
        <v>0.58762148897501154</v>
      </c>
      <c r="M737" s="4">
        <v>0.41237851102498851</v>
      </c>
      <c r="N737">
        <v>2</v>
      </c>
    </row>
    <row r="738" spans="1:14" x14ac:dyDescent="0.35">
      <c r="A738" s="1">
        <v>350</v>
      </c>
      <c r="B738">
        <v>12</v>
      </c>
      <c r="C738">
        <v>51</v>
      </c>
      <c r="D738">
        <v>2</v>
      </c>
      <c r="E738">
        <v>0</v>
      </c>
      <c r="F738">
        <v>0</v>
      </c>
      <c r="G738">
        <v>11</v>
      </c>
      <c r="H738">
        <v>2</v>
      </c>
      <c r="I738">
        <v>600</v>
      </c>
      <c r="J738">
        <v>4</v>
      </c>
      <c r="K738">
        <v>1</v>
      </c>
      <c r="L738" s="4">
        <v>0.58765670733616016</v>
      </c>
      <c r="M738" s="4">
        <v>0.41234329266383979</v>
      </c>
      <c r="N738">
        <v>2</v>
      </c>
    </row>
    <row r="739" spans="1:14" x14ac:dyDescent="0.35">
      <c r="A739" s="1">
        <v>828</v>
      </c>
      <c r="B739">
        <v>8</v>
      </c>
      <c r="C739">
        <v>30</v>
      </c>
      <c r="D739">
        <v>2</v>
      </c>
      <c r="E739">
        <v>1</v>
      </c>
      <c r="F739">
        <v>1</v>
      </c>
      <c r="G739">
        <v>7</v>
      </c>
      <c r="H739">
        <v>2</v>
      </c>
      <c r="I739">
        <v>4000</v>
      </c>
      <c r="J739">
        <v>8</v>
      </c>
      <c r="K739">
        <v>1</v>
      </c>
      <c r="L739" s="4">
        <v>0.58827266957045921</v>
      </c>
      <c r="M739" s="4">
        <v>0.41172733042954079</v>
      </c>
      <c r="N739">
        <v>2</v>
      </c>
    </row>
    <row r="740" spans="1:14" x14ac:dyDescent="0.35">
      <c r="A740" s="1">
        <v>3820</v>
      </c>
      <c r="B740">
        <v>18</v>
      </c>
      <c r="C740">
        <v>74</v>
      </c>
      <c r="D740">
        <v>2</v>
      </c>
      <c r="E740">
        <v>0</v>
      </c>
      <c r="F740">
        <v>3</v>
      </c>
      <c r="G740">
        <v>3</v>
      </c>
      <c r="H740">
        <v>3</v>
      </c>
      <c r="I740">
        <v>0.01</v>
      </c>
      <c r="J740">
        <v>8</v>
      </c>
      <c r="K740">
        <v>1</v>
      </c>
      <c r="L740" s="4">
        <v>0.58835738198250365</v>
      </c>
      <c r="M740" s="4">
        <v>0.41164261801749641</v>
      </c>
      <c r="N740">
        <v>2</v>
      </c>
    </row>
    <row r="741" spans="1:14" x14ac:dyDescent="0.35">
      <c r="A741" s="1">
        <v>918</v>
      </c>
      <c r="B741">
        <v>13</v>
      </c>
      <c r="C741">
        <v>54</v>
      </c>
      <c r="D741">
        <v>3</v>
      </c>
      <c r="E741">
        <v>0</v>
      </c>
      <c r="F741">
        <v>3</v>
      </c>
      <c r="G741">
        <v>3</v>
      </c>
      <c r="H741">
        <v>2</v>
      </c>
      <c r="I741">
        <v>2000</v>
      </c>
      <c r="J741">
        <v>2</v>
      </c>
      <c r="K741">
        <v>1</v>
      </c>
      <c r="L741" s="4">
        <v>0.58881449166858491</v>
      </c>
      <c r="M741" s="4">
        <v>0.41118550833141509</v>
      </c>
      <c r="N741">
        <v>2</v>
      </c>
    </row>
    <row r="742" spans="1:14" x14ac:dyDescent="0.35">
      <c r="A742" s="1">
        <v>758</v>
      </c>
      <c r="B742">
        <v>10</v>
      </c>
      <c r="C742">
        <v>43</v>
      </c>
      <c r="D742">
        <v>2</v>
      </c>
      <c r="E742">
        <v>0</v>
      </c>
      <c r="F742">
        <v>0</v>
      </c>
      <c r="G742">
        <v>4</v>
      </c>
      <c r="H742">
        <v>3</v>
      </c>
      <c r="I742">
        <v>0.01</v>
      </c>
      <c r="J742">
        <v>8</v>
      </c>
      <c r="K742">
        <v>0</v>
      </c>
      <c r="L742" s="4">
        <v>0.58946202471108733</v>
      </c>
      <c r="M742" s="4">
        <v>0.41053797528891273</v>
      </c>
      <c r="N742">
        <v>2</v>
      </c>
    </row>
    <row r="743" spans="1:14" x14ac:dyDescent="0.35">
      <c r="A743" s="1">
        <v>3487</v>
      </c>
      <c r="B743">
        <v>12</v>
      </c>
      <c r="C743">
        <v>51</v>
      </c>
      <c r="D743">
        <v>1</v>
      </c>
      <c r="E743">
        <v>0</v>
      </c>
      <c r="F743">
        <v>3</v>
      </c>
      <c r="G743">
        <v>3</v>
      </c>
      <c r="H743">
        <v>2</v>
      </c>
      <c r="I743">
        <v>2000.01</v>
      </c>
      <c r="J743">
        <v>8</v>
      </c>
      <c r="K743">
        <v>1</v>
      </c>
      <c r="L743" s="4">
        <v>0.58951159994932345</v>
      </c>
      <c r="M743" s="4">
        <v>0.41048840005067661</v>
      </c>
      <c r="N743">
        <v>2</v>
      </c>
    </row>
    <row r="744" spans="1:14" x14ac:dyDescent="0.35">
      <c r="A744" s="1">
        <v>227</v>
      </c>
      <c r="B744">
        <v>8</v>
      </c>
      <c r="C744">
        <v>34</v>
      </c>
      <c r="D744">
        <v>1</v>
      </c>
      <c r="E744">
        <v>0</v>
      </c>
      <c r="F744">
        <v>3</v>
      </c>
      <c r="G744">
        <v>3</v>
      </c>
      <c r="H744">
        <v>3</v>
      </c>
      <c r="I744">
        <v>0.01</v>
      </c>
      <c r="J744">
        <v>7</v>
      </c>
      <c r="K744">
        <v>0</v>
      </c>
      <c r="L744" s="4">
        <v>0.58961619872122695</v>
      </c>
      <c r="M744" s="4">
        <v>0.41038380127877311</v>
      </c>
      <c r="N744">
        <v>2</v>
      </c>
    </row>
    <row r="745" spans="1:14" x14ac:dyDescent="0.35">
      <c r="A745" s="1">
        <v>2145</v>
      </c>
      <c r="B745">
        <v>4</v>
      </c>
      <c r="C745">
        <v>19</v>
      </c>
      <c r="D745">
        <v>0</v>
      </c>
      <c r="E745">
        <v>0</v>
      </c>
      <c r="F745">
        <v>3</v>
      </c>
      <c r="G745">
        <v>3</v>
      </c>
      <c r="H745">
        <v>2</v>
      </c>
      <c r="I745">
        <v>5000</v>
      </c>
      <c r="J745">
        <v>2</v>
      </c>
      <c r="K745">
        <v>0</v>
      </c>
      <c r="L745" s="4">
        <v>0.5896926163593561</v>
      </c>
      <c r="M745" s="4">
        <v>0.4103073836406439</v>
      </c>
      <c r="N745">
        <v>2</v>
      </c>
    </row>
    <row r="746" spans="1:14" x14ac:dyDescent="0.35">
      <c r="A746" s="1">
        <v>2718</v>
      </c>
      <c r="B746">
        <v>5</v>
      </c>
      <c r="C746">
        <v>22</v>
      </c>
      <c r="D746">
        <v>4</v>
      </c>
      <c r="E746">
        <v>0</v>
      </c>
      <c r="F746">
        <v>0</v>
      </c>
      <c r="G746">
        <v>11</v>
      </c>
      <c r="H746">
        <v>2</v>
      </c>
      <c r="I746">
        <v>2564.61</v>
      </c>
      <c r="J746">
        <v>5</v>
      </c>
      <c r="K746">
        <v>0</v>
      </c>
      <c r="L746" s="4">
        <v>0.58986799408931645</v>
      </c>
      <c r="M746" s="4">
        <v>0.41013200591068361</v>
      </c>
      <c r="N746">
        <v>2</v>
      </c>
    </row>
    <row r="747" spans="1:14" x14ac:dyDescent="0.35">
      <c r="A747" s="1">
        <v>3069</v>
      </c>
      <c r="B747">
        <v>9</v>
      </c>
      <c r="C747">
        <v>38</v>
      </c>
      <c r="D747">
        <v>3</v>
      </c>
      <c r="E747">
        <v>0</v>
      </c>
      <c r="F747">
        <v>3</v>
      </c>
      <c r="G747">
        <v>3</v>
      </c>
      <c r="H747">
        <v>2</v>
      </c>
      <c r="I747">
        <v>3000</v>
      </c>
      <c r="J747">
        <v>5</v>
      </c>
      <c r="K747">
        <v>0</v>
      </c>
      <c r="L747" s="4">
        <v>0.59041645396356834</v>
      </c>
      <c r="M747" s="4">
        <v>0.4095835460364316</v>
      </c>
      <c r="N747">
        <v>2</v>
      </c>
    </row>
    <row r="748" spans="1:14" x14ac:dyDescent="0.35">
      <c r="A748" s="1">
        <v>2158</v>
      </c>
      <c r="B748">
        <v>9</v>
      </c>
      <c r="C748">
        <v>32</v>
      </c>
      <c r="D748">
        <v>5</v>
      </c>
      <c r="E748">
        <v>1</v>
      </c>
      <c r="F748">
        <v>1</v>
      </c>
      <c r="G748">
        <v>7</v>
      </c>
      <c r="H748">
        <v>3</v>
      </c>
      <c r="I748">
        <v>0.01</v>
      </c>
      <c r="J748">
        <v>5</v>
      </c>
      <c r="K748">
        <v>1</v>
      </c>
      <c r="L748" s="4">
        <v>0.59065631952227671</v>
      </c>
      <c r="M748" s="4">
        <v>0.40934368047772329</v>
      </c>
      <c r="N748">
        <v>2</v>
      </c>
    </row>
    <row r="749" spans="1:14" x14ac:dyDescent="0.35">
      <c r="A749" s="1">
        <v>3286</v>
      </c>
      <c r="B749">
        <v>9</v>
      </c>
      <c r="C749">
        <v>38</v>
      </c>
      <c r="D749">
        <v>2</v>
      </c>
      <c r="E749">
        <v>0</v>
      </c>
      <c r="F749">
        <v>3</v>
      </c>
      <c r="G749">
        <v>8</v>
      </c>
      <c r="H749">
        <v>2</v>
      </c>
      <c r="I749">
        <v>3300</v>
      </c>
      <c r="J749">
        <v>4</v>
      </c>
      <c r="K749">
        <v>1</v>
      </c>
      <c r="L749" s="4">
        <v>0.59088707945018282</v>
      </c>
      <c r="M749" s="4">
        <v>0.40911292054981718</v>
      </c>
      <c r="N749">
        <v>2</v>
      </c>
    </row>
    <row r="750" spans="1:14" x14ac:dyDescent="0.35">
      <c r="A750" s="1">
        <v>4341</v>
      </c>
      <c r="B750">
        <v>11</v>
      </c>
      <c r="C750">
        <v>46</v>
      </c>
      <c r="D750">
        <v>3</v>
      </c>
      <c r="E750">
        <v>0</v>
      </c>
      <c r="F750">
        <v>1</v>
      </c>
      <c r="G750">
        <v>7</v>
      </c>
      <c r="H750">
        <v>3</v>
      </c>
      <c r="I750">
        <v>0.01</v>
      </c>
      <c r="J750">
        <v>9</v>
      </c>
      <c r="K750">
        <v>0</v>
      </c>
      <c r="L750" s="4">
        <v>0.59108608313703037</v>
      </c>
      <c r="M750" s="4">
        <v>0.40891391686296957</v>
      </c>
      <c r="N750">
        <v>2</v>
      </c>
    </row>
    <row r="751" spans="1:14" x14ac:dyDescent="0.35">
      <c r="A751" s="1">
        <v>2237</v>
      </c>
      <c r="B751">
        <v>11</v>
      </c>
      <c r="C751">
        <v>46</v>
      </c>
      <c r="D751">
        <v>5</v>
      </c>
      <c r="E751">
        <v>0</v>
      </c>
      <c r="F751">
        <v>0</v>
      </c>
      <c r="G751">
        <v>2</v>
      </c>
      <c r="H751">
        <v>3</v>
      </c>
      <c r="I751">
        <v>0.01</v>
      </c>
      <c r="J751">
        <v>5</v>
      </c>
      <c r="K751">
        <v>0</v>
      </c>
      <c r="L751" s="4">
        <v>0.59153876682744999</v>
      </c>
      <c r="M751" s="4">
        <v>0.40846123317255001</v>
      </c>
      <c r="N751">
        <v>2</v>
      </c>
    </row>
    <row r="752" spans="1:14" x14ac:dyDescent="0.35">
      <c r="A752" s="1">
        <v>3546</v>
      </c>
      <c r="B752">
        <v>13</v>
      </c>
      <c r="C752">
        <v>50</v>
      </c>
      <c r="D752">
        <v>1</v>
      </c>
      <c r="E752">
        <v>1</v>
      </c>
      <c r="F752">
        <v>3</v>
      </c>
      <c r="G752">
        <v>8</v>
      </c>
      <c r="H752">
        <v>2</v>
      </c>
      <c r="I752">
        <v>3000</v>
      </c>
      <c r="J752">
        <v>14</v>
      </c>
      <c r="K752">
        <v>0</v>
      </c>
      <c r="L752" s="4">
        <v>0.59185950839806001</v>
      </c>
      <c r="M752" s="4">
        <v>0.40814049160193988</v>
      </c>
      <c r="N752">
        <v>2</v>
      </c>
    </row>
    <row r="753" spans="1:14" x14ac:dyDescent="0.35">
      <c r="A753" s="1">
        <v>1709</v>
      </c>
      <c r="B753">
        <v>12</v>
      </c>
      <c r="C753">
        <v>51</v>
      </c>
      <c r="D753">
        <v>1</v>
      </c>
      <c r="E753">
        <v>0</v>
      </c>
      <c r="F753">
        <v>0</v>
      </c>
      <c r="G753">
        <v>11</v>
      </c>
      <c r="H753">
        <v>3</v>
      </c>
      <c r="I753">
        <v>0.01</v>
      </c>
      <c r="J753">
        <v>5</v>
      </c>
      <c r="K753">
        <v>0</v>
      </c>
      <c r="L753" s="4">
        <v>0.5918642042387845</v>
      </c>
      <c r="M753" s="4">
        <v>0.4081357957612155</v>
      </c>
      <c r="N753">
        <v>2</v>
      </c>
    </row>
    <row r="754" spans="1:14" x14ac:dyDescent="0.35">
      <c r="A754" s="1">
        <v>3315</v>
      </c>
      <c r="B754">
        <v>10</v>
      </c>
      <c r="C754">
        <v>36</v>
      </c>
      <c r="D754">
        <v>4</v>
      </c>
      <c r="E754">
        <v>1</v>
      </c>
      <c r="F754">
        <v>3</v>
      </c>
      <c r="G754">
        <v>3</v>
      </c>
      <c r="H754">
        <v>3</v>
      </c>
      <c r="I754">
        <v>0.01</v>
      </c>
      <c r="J754">
        <v>5</v>
      </c>
      <c r="K754">
        <v>1</v>
      </c>
      <c r="L754" s="4">
        <v>0.59200172741520474</v>
      </c>
      <c r="M754" s="4">
        <v>0.40799827258479532</v>
      </c>
      <c r="N754">
        <v>2</v>
      </c>
    </row>
    <row r="755" spans="1:14" x14ac:dyDescent="0.35">
      <c r="A755" s="1">
        <v>2916</v>
      </c>
      <c r="B755">
        <v>10</v>
      </c>
      <c r="C755">
        <v>42</v>
      </c>
      <c r="D755">
        <v>3</v>
      </c>
      <c r="E755">
        <v>0</v>
      </c>
      <c r="F755">
        <v>1</v>
      </c>
      <c r="G755">
        <v>7</v>
      </c>
      <c r="H755">
        <v>3</v>
      </c>
      <c r="I755">
        <v>0.01</v>
      </c>
      <c r="J755">
        <v>8</v>
      </c>
      <c r="K755">
        <v>0</v>
      </c>
      <c r="L755" s="4">
        <v>0.59212664099539025</v>
      </c>
      <c r="M755" s="4">
        <v>0.40787335900460969</v>
      </c>
      <c r="N755">
        <v>2</v>
      </c>
    </row>
    <row r="756" spans="1:14" x14ac:dyDescent="0.35">
      <c r="A756" s="1">
        <v>988</v>
      </c>
      <c r="B756">
        <v>11</v>
      </c>
      <c r="C756">
        <v>41</v>
      </c>
      <c r="D756">
        <v>2</v>
      </c>
      <c r="E756">
        <v>1</v>
      </c>
      <c r="F756">
        <v>3</v>
      </c>
      <c r="G756">
        <v>3</v>
      </c>
      <c r="H756">
        <v>3</v>
      </c>
      <c r="I756">
        <v>0.01</v>
      </c>
      <c r="J756">
        <v>5</v>
      </c>
      <c r="K756">
        <v>0</v>
      </c>
      <c r="L756" s="4">
        <v>0.59309950952649559</v>
      </c>
      <c r="M756" s="4">
        <v>0.40690049047350441</v>
      </c>
      <c r="N756">
        <v>2</v>
      </c>
    </row>
    <row r="757" spans="1:14" x14ac:dyDescent="0.35">
      <c r="A757" s="1">
        <v>3381</v>
      </c>
      <c r="B757">
        <v>9</v>
      </c>
      <c r="C757">
        <v>33</v>
      </c>
      <c r="D757">
        <v>5</v>
      </c>
      <c r="E757">
        <v>1</v>
      </c>
      <c r="F757">
        <v>1</v>
      </c>
      <c r="G757">
        <v>7</v>
      </c>
      <c r="H757">
        <v>2</v>
      </c>
      <c r="I757">
        <v>500</v>
      </c>
      <c r="J757">
        <v>9</v>
      </c>
      <c r="K757">
        <v>1</v>
      </c>
      <c r="L757" s="4">
        <v>0.59312414556036508</v>
      </c>
      <c r="M757" s="4">
        <v>0.40687585443963492</v>
      </c>
      <c r="N757">
        <v>2</v>
      </c>
    </row>
    <row r="758" spans="1:14" x14ac:dyDescent="0.35">
      <c r="A758" s="1">
        <v>421</v>
      </c>
      <c r="B758">
        <v>10</v>
      </c>
      <c r="C758">
        <v>41</v>
      </c>
      <c r="D758">
        <v>3</v>
      </c>
      <c r="E758">
        <v>0</v>
      </c>
      <c r="F758">
        <v>3</v>
      </c>
      <c r="G758">
        <v>8</v>
      </c>
      <c r="H758">
        <v>3</v>
      </c>
      <c r="I758">
        <v>0.01</v>
      </c>
      <c r="J758">
        <v>6</v>
      </c>
      <c r="K758">
        <v>1</v>
      </c>
      <c r="L758" s="4">
        <v>0.59326979550044601</v>
      </c>
      <c r="M758" s="4">
        <v>0.40673020449955399</v>
      </c>
      <c r="N758">
        <v>2</v>
      </c>
    </row>
    <row r="759" spans="1:14" x14ac:dyDescent="0.35">
      <c r="A759" s="1">
        <v>1612</v>
      </c>
      <c r="B759">
        <v>8</v>
      </c>
      <c r="C759">
        <v>29</v>
      </c>
      <c r="D759">
        <v>3</v>
      </c>
      <c r="E759">
        <v>1</v>
      </c>
      <c r="F759">
        <v>1</v>
      </c>
      <c r="G759">
        <v>7</v>
      </c>
      <c r="H759">
        <v>3</v>
      </c>
      <c r="I759">
        <v>0.01</v>
      </c>
      <c r="J759">
        <v>4</v>
      </c>
      <c r="K759">
        <v>0</v>
      </c>
      <c r="L759" s="4">
        <v>0.59352446303670525</v>
      </c>
      <c r="M759" s="4">
        <v>0.40647553696329469</v>
      </c>
      <c r="N759">
        <v>2</v>
      </c>
    </row>
    <row r="760" spans="1:14" x14ac:dyDescent="0.35">
      <c r="A760" s="1">
        <v>4183</v>
      </c>
      <c r="B760">
        <v>12</v>
      </c>
      <c r="C760">
        <v>51</v>
      </c>
      <c r="D760">
        <v>5</v>
      </c>
      <c r="E760">
        <v>0</v>
      </c>
      <c r="F760">
        <v>0</v>
      </c>
      <c r="G760">
        <v>2</v>
      </c>
      <c r="H760">
        <v>2</v>
      </c>
      <c r="I760">
        <v>50.01</v>
      </c>
      <c r="J760">
        <v>8</v>
      </c>
      <c r="K760">
        <v>0</v>
      </c>
      <c r="L760" s="4">
        <v>0.59376093731526614</v>
      </c>
      <c r="M760" s="4">
        <v>0.40623906268473392</v>
      </c>
      <c r="N760">
        <v>2</v>
      </c>
    </row>
    <row r="761" spans="1:14" x14ac:dyDescent="0.35">
      <c r="A761" s="1">
        <v>3581</v>
      </c>
      <c r="B761">
        <v>12</v>
      </c>
      <c r="C761">
        <v>51</v>
      </c>
      <c r="D761">
        <v>5</v>
      </c>
      <c r="E761">
        <v>0</v>
      </c>
      <c r="F761">
        <v>3</v>
      </c>
      <c r="G761">
        <v>3</v>
      </c>
      <c r="H761">
        <v>0</v>
      </c>
      <c r="I761">
        <v>6000</v>
      </c>
      <c r="J761">
        <v>2</v>
      </c>
      <c r="K761">
        <v>1</v>
      </c>
      <c r="L761" s="4">
        <v>0.59396940317239433</v>
      </c>
      <c r="M761" s="4">
        <v>0.40603059682760562</v>
      </c>
      <c r="N761">
        <v>2</v>
      </c>
    </row>
    <row r="762" spans="1:14" x14ac:dyDescent="0.35">
      <c r="A762" s="1">
        <v>3804</v>
      </c>
      <c r="B762">
        <v>10</v>
      </c>
      <c r="C762">
        <v>31</v>
      </c>
      <c r="D762">
        <v>5</v>
      </c>
      <c r="E762">
        <v>2</v>
      </c>
      <c r="F762">
        <v>3</v>
      </c>
      <c r="G762">
        <v>8</v>
      </c>
      <c r="H762">
        <v>2</v>
      </c>
      <c r="I762">
        <v>600</v>
      </c>
      <c r="J762">
        <v>1</v>
      </c>
      <c r="K762">
        <v>0</v>
      </c>
      <c r="L762" s="4">
        <v>0.59405775826498353</v>
      </c>
      <c r="M762" s="4">
        <v>0.40594224173501647</v>
      </c>
      <c r="N762">
        <v>2</v>
      </c>
    </row>
    <row r="763" spans="1:14" x14ac:dyDescent="0.35">
      <c r="A763" s="1">
        <v>1280</v>
      </c>
      <c r="B763">
        <v>9</v>
      </c>
      <c r="C763">
        <v>38</v>
      </c>
      <c r="D763">
        <v>3</v>
      </c>
      <c r="E763">
        <v>0</v>
      </c>
      <c r="F763">
        <v>1</v>
      </c>
      <c r="G763">
        <v>7</v>
      </c>
      <c r="H763">
        <v>3</v>
      </c>
      <c r="I763">
        <v>0.01</v>
      </c>
      <c r="J763">
        <v>4</v>
      </c>
      <c r="K763">
        <v>1</v>
      </c>
      <c r="L763" s="4">
        <v>0.59409637064162713</v>
      </c>
      <c r="M763" s="4">
        <v>0.40590362935837282</v>
      </c>
      <c r="N763">
        <v>2</v>
      </c>
    </row>
    <row r="764" spans="1:14" x14ac:dyDescent="0.35">
      <c r="A764" s="1">
        <v>2024</v>
      </c>
      <c r="B764">
        <v>8</v>
      </c>
      <c r="C764">
        <v>37</v>
      </c>
      <c r="D764">
        <v>0</v>
      </c>
      <c r="E764">
        <v>0</v>
      </c>
      <c r="F764">
        <v>3</v>
      </c>
      <c r="G764">
        <v>3</v>
      </c>
      <c r="H764">
        <v>0</v>
      </c>
      <c r="I764">
        <v>6000</v>
      </c>
      <c r="J764">
        <v>2</v>
      </c>
      <c r="K764">
        <v>0</v>
      </c>
      <c r="L764" s="4">
        <v>0.5941916942137766</v>
      </c>
      <c r="M764" s="4">
        <v>0.40580830578622329</v>
      </c>
      <c r="N764">
        <v>2</v>
      </c>
    </row>
    <row r="765" spans="1:14" x14ac:dyDescent="0.35">
      <c r="A765" s="1">
        <v>3099</v>
      </c>
      <c r="B765">
        <v>9</v>
      </c>
      <c r="C765">
        <v>38</v>
      </c>
      <c r="D765">
        <v>5</v>
      </c>
      <c r="E765">
        <v>0</v>
      </c>
      <c r="F765">
        <v>2</v>
      </c>
      <c r="G765">
        <v>1</v>
      </c>
      <c r="H765">
        <v>2</v>
      </c>
      <c r="I765">
        <v>2500</v>
      </c>
      <c r="J765">
        <v>1</v>
      </c>
      <c r="K765">
        <v>0</v>
      </c>
      <c r="L765" s="4">
        <v>0.59503857799605164</v>
      </c>
      <c r="M765" s="4">
        <v>0.40496142200394841</v>
      </c>
      <c r="N765">
        <v>2</v>
      </c>
    </row>
    <row r="766" spans="1:14" x14ac:dyDescent="0.35">
      <c r="A766" s="1">
        <v>3791</v>
      </c>
      <c r="B766">
        <v>8</v>
      </c>
      <c r="C766">
        <v>34</v>
      </c>
      <c r="D766">
        <v>5</v>
      </c>
      <c r="E766">
        <v>0</v>
      </c>
      <c r="F766">
        <v>0</v>
      </c>
      <c r="G766">
        <v>4</v>
      </c>
      <c r="H766">
        <v>3</v>
      </c>
      <c r="I766">
        <v>0.01</v>
      </c>
      <c r="J766">
        <v>7</v>
      </c>
      <c r="K766">
        <v>0</v>
      </c>
      <c r="L766" s="4">
        <v>0.59575399717341249</v>
      </c>
      <c r="M766" s="4">
        <v>0.40424600282658762</v>
      </c>
      <c r="N766">
        <v>2</v>
      </c>
    </row>
    <row r="767" spans="1:14" x14ac:dyDescent="0.35">
      <c r="A767" s="1">
        <v>1101</v>
      </c>
      <c r="B767">
        <v>9</v>
      </c>
      <c r="C767">
        <v>34</v>
      </c>
      <c r="D767">
        <v>3</v>
      </c>
      <c r="E767">
        <v>1</v>
      </c>
      <c r="F767">
        <v>0</v>
      </c>
      <c r="G767">
        <v>4</v>
      </c>
      <c r="H767">
        <v>3</v>
      </c>
      <c r="I767">
        <v>0.01</v>
      </c>
      <c r="J767">
        <v>4</v>
      </c>
      <c r="K767">
        <v>0</v>
      </c>
      <c r="L767" s="4">
        <v>0.59647851249987838</v>
      </c>
      <c r="M767" s="4">
        <v>0.40352148750012162</v>
      </c>
      <c r="N767">
        <v>2</v>
      </c>
    </row>
    <row r="768" spans="1:14" x14ac:dyDescent="0.35">
      <c r="A768" s="1">
        <v>1109</v>
      </c>
      <c r="B768">
        <v>11</v>
      </c>
      <c r="C768">
        <v>47</v>
      </c>
      <c r="D768">
        <v>2</v>
      </c>
      <c r="E768">
        <v>0</v>
      </c>
      <c r="F768">
        <v>1</v>
      </c>
      <c r="G768">
        <v>5</v>
      </c>
      <c r="H768">
        <v>3</v>
      </c>
      <c r="I768">
        <v>0.01</v>
      </c>
      <c r="J768">
        <v>9</v>
      </c>
      <c r="K768">
        <v>0</v>
      </c>
      <c r="L768" s="4">
        <v>0.59660745515939606</v>
      </c>
      <c r="M768" s="4">
        <v>0.40339254484060399</v>
      </c>
      <c r="N768">
        <v>2</v>
      </c>
    </row>
    <row r="769" spans="1:14" x14ac:dyDescent="0.35">
      <c r="A769" s="1">
        <v>2563</v>
      </c>
      <c r="B769">
        <v>12</v>
      </c>
      <c r="C769">
        <v>45</v>
      </c>
      <c r="D769">
        <v>5</v>
      </c>
      <c r="E769">
        <v>1</v>
      </c>
      <c r="F769">
        <v>3</v>
      </c>
      <c r="G769">
        <v>3</v>
      </c>
      <c r="H769">
        <v>2</v>
      </c>
      <c r="I769">
        <v>4250</v>
      </c>
      <c r="J769">
        <v>11</v>
      </c>
      <c r="K769">
        <v>0</v>
      </c>
      <c r="L769" s="4">
        <v>0.59727163676768624</v>
      </c>
      <c r="M769" s="4">
        <v>0.4027283632323137</v>
      </c>
      <c r="N769">
        <v>2</v>
      </c>
    </row>
    <row r="770" spans="1:14" x14ac:dyDescent="0.35">
      <c r="A770" s="1">
        <v>3899</v>
      </c>
      <c r="B770">
        <v>9</v>
      </c>
      <c r="C770">
        <v>39</v>
      </c>
      <c r="D770">
        <v>1</v>
      </c>
      <c r="E770">
        <v>0</v>
      </c>
      <c r="F770">
        <v>3</v>
      </c>
      <c r="G770">
        <v>8</v>
      </c>
      <c r="H770">
        <v>2</v>
      </c>
      <c r="I770">
        <v>2240</v>
      </c>
      <c r="J770">
        <v>11</v>
      </c>
      <c r="K770">
        <v>1</v>
      </c>
      <c r="L770" s="4">
        <v>0.59729752657921131</v>
      </c>
      <c r="M770" s="4">
        <v>0.40270247342078869</v>
      </c>
      <c r="N770">
        <v>2</v>
      </c>
    </row>
    <row r="771" spans="1:14" x14ac:dyDescent="0.35">
      <c r="A771" s="1">
        <v>1458</v>
      </c>
      <c r="B771">
        <v>5</v>
      </c>
      <c r="C771">
        <v>22</v>
      </c>
      <c r="D771">
        <v>5</v>
      </c>
      <c r="E771">
        <v>0</v>
      </c>
      <c r="F771">
        <v>0</v>
      </c>
      <c r="G771">
        <v>11</v>
      </c>
      <c r="H771">
        <v>2</v>
      </c>
      <c r="I771">
        <v>131.69999999999999</v>
      </c>
      <c r="J771">
        <v>4</v>
      </c>
      <c r="K771">
        <v>1</v>
      </c>
      <c r="L771" s="4">
        <v>0.5974682668818061</v>
      </c>
      <c r="M771" s="4">
        <v>0.4025317331181939</v>
      </c>
      <c r="N771">
        <v>2</v>
      </c>
    </row>
    <row r="772" spans="1:14" x14ac:dyDescent="0.35">
      <c r="A772" s="1">
        <v>498</v>
      </c>
      <c r="B772">
        <v>12</v>
      </c>
      <c r="C772">
        <v>47</v>
      </c>
      <c r="D772">
        <v>0</v>
      </c>
      <c r="E772">
        <v>1</v>
      </c>
      <c r="F772">
        <v>3</v>
      </c>
      <c r="G772">
        <v>3</v>
      </c>
      <c r="H772">
        <v>2</v>
      </c>
      <c r="I772">
        <v>1500</v>
      </c>
      <c r="J772">
        <v>5</v>
      </c>
      <c r="K772">
        <v>0</v>
      </c>
      <c r="L772" s="4">
        <v>0.59750640950292255</v>
      </c>
      <c r="M772" s="4">
        <v>0.40249359049707739</v>
      </c>
      <c r="N772">
        <v>2</v>
      </c>
    </row>
    <row r="773" spans="1:14" x14ac:dyDescent="0.35">
      <c r="A773" s="1">
        <v>565</v>
      </c>
      <c r="B773">
        <v>9</v>
      </c>
      <c r="C773">
        <v>39</v>
      </c>
      <c r="D773">
        <v>2</v>
      </c>
      <c r="E773">
        <v>0</v>
      </c>
      <c r="F773">
        <v>1</v>
      </c>
      <c r="G773">
        <v>5</v>
      </c>
      <c r="H773">
        <v>3</v>
      </c>
      <c r="I773">
        <v>0.01</v>
      </c>
      <c r="J773">
        <v>8</v>
      </c>
      <c r="K773">
        <v>1</v>
      </c>
      <c r="L773" s="4">
        <v>0.59836993667854288</v>
      </c>
      <c r="M773" s="4">
        <v>0.40163006332145718</v>
      </c>
      <c r="N773">
        <v>2</v>
      </c>
    </row>
    <row r="774" spans="1:14" x14ac:dyDescent="0.35">
      <c r="A774" s="1">
        <v>2403</v>
      </c>
      <c r="B774">
        <v>9</v>
      </c>
      <c r="C774">
        <v>38</v>
      </c>
      <c r="D774">
        <v>3</v>
      </c>
      <c r="E774">
        <v>0</v>
      </c>
      <c r="F774">
        <v>2</v>
      </c>
      <c r="G774">
        <v>6</v>
      </c>
      <c r="H774">
        <v>3</v>
      </c>
      <c r="I774">
        <v>0.01</v>
      </c>
      <c r="J774">
        <v>7</v>
      </c>
      <c r="K774">
        <v>0</v>
      </c>
      <c r="L774" s="4">
        <v>0.59868906597549665</v>
      </c>
      <c r="M774" s="4">
        <v>0.40131093402450341</v>
      </c>
      <c r="N774">
        <v>2</v>
      </c>
    </row>
    <row r="775" spans="1:14" x14ac:dyDescent="0.35">
      <c r="A775" s="1">
        <v>3908</v>
      </c>
      <c r="B775">
        <v>9</v>
      </c>
      <c r="C775">
        <v>39</v>
      </c>
      <c r="D775">
        <v>5</v>
      </c>
      <c r="E775">
        <v>0</v>
      </c>
      <c r="F775">
        <v>0</v>
      </c>
      <c r="G775">
        <v>4</v>
      </c>
      <c r="H775">
        <v>2</v>
      </c>
      <c r="I775">
        <v>2700</v>
      </c>
      <c r="J775">
        <v>4</v>
      </c>
      <c r="K775">
        <v>1</v>
      </c>
      <c r="L775" s="4">
        <v>0.59879566546226382</v>
      </c>
      <c r="M775" s="4">
        <v>0.40120433453773618</v>
      </c>
      <c r="N775">
        <v>2</v>
      </c>
    </row>
    <row r="776" spans="1:14" x14ac:dyDescent="0.35">
      <c r="A776" s="1">
        <v>2446</v>
      </c>
      <c r="B776">
        <v>14</v>
      </c>
      <c r="C776">
        <v>60</v>
      </c>
      <c r="D776">
        <v>2</v>
      </c>
      <c r="E776">
        <v>0</v>
      </c>
      <c r="F776">
        <v>0</v>
      </c>
      <c r="G776">
        <v>4</v>
      </c>
      <c r="H776">
        <v>3</v>
      </c>
      <c r="I776">
        <v>0.01</v>
      </c>
      <c r="J776">
        <v>15</v>
      </c>
      <c r="K776">
        <v>0</v>
      </c>
      <c r="L776" s="4">
        <v>0.59888780167025835</v>
      </c>
      <c r="M776" s="4">
        <v>0.40111219832974171</v>
      </c>
      <c r="N776">
        <v>2</v>
      </c>
    </row>
    <row r="777" spans="1:14" x14ac:dyDescent="0.35">
      <c r="A777" s="1">
        <v>1076</v>
      </c>
      <c r="B777">
        <v>10</v>
      </c>
      <c r="C777">
        <v>38</v>
      </c>
      <c r="D777">
        <v>2</v>
      </c>
      <c r="E777">
        <v>1</v>
      </c>
      <c r="F777">
        <v>1</v>
      </c>
      <c r="G777">
        <v>7</v>
      </c>
      <c r="H777">
        <v>3</v>
      </c>
      <c r="I777">
        <v>0.01</v>
      </c>
      <c r="J777">
        <v>8</v>
      </c>
      <c r="K777">
        <v>0</v>
      </c>
      <c r="L777" s="4">
        <v>0.59898604996493754</v>
      </c>
      <c r="M777" s="4">
        <v>0.40101395003506252</v>
      </c>
      <c r="N777">
        <v>2</v>
      </c>
    </row>
    <row r="778" spans="1:14" x14ac:dyDescent="0.35">
      <c r="A778" s="1">
        <v>4241</v>
      </c>
      <c r="B778">
        <v>15</v>
      </c>
      <c r="C778">
        <v>59</v>
      </c>
      <c r="D778">
        <v>2</v>
      </c>
      <c r="E778">
        <v>1</v>
      </c>
      <c r="F778">
        <v>0</v>
      </c>
      <c r="G778">
        <v>4</v>
      </c>
      <c r="H778">
        <v>3</v>
      </c>
      <c r="I778">
        <v>0.01</v>
      </c>
      <c r="J778">
        <v>8</v>
      </c>
      <c r="K778">
        <v>1</v>
      </c>
      <c r="L778" s="4">
        <v>0.59902732554236016</v>
      </c>
      <c r="M778" s="4">
        <v>0.40097267445763979</v>
      </c>
      <c r="N778">
        <v>2</v>
      </c>
    </row>
    <row r="779" spans="1:14" x14ac:dyDescent="0.35">
      <c r="A779" s="1">
        <v>3850</v>
      </c>
      <c r="B779">
        <v>11</v>
      </c>
      <c r="C779">
        <v>42</v>
      </c>
      <c r="D779">
        <v>2</v>
      </c>
      <c r="E779">
        <v>1</v>
      </c>
      <c r="F779">
        <v>1</v>
      </c>
      <c r="G779">
        <v>7</v>
      </c>
      <c r="H779">
        <v>3</v>
      </c>
      <c r="I779">
        <v>0.01</v>
      </c>
      <c r="J779">
        <v>5</v>
      </c>
      <c r="K779">
        <v>0</v>
      </c>
      <c r="L779" s="4">
        <v>0.59918622770950991</v>
      </c>
      <c r="M779" s="4">
        <v>0.40081377229049009</v>
      </c>
      <c r="N779">
        <v>2</v>
      </c>
    </row>
    <row r="780" spans="1:14" x14ac:dyDescent="0.35">
      <c r="A780" s="1">
        <v>463</v>
      </c>
      <c r="B780">
        <v>11</v>
      </c>
      <c r="C780">
        <v>44</v>
      </c>
      <c r="D780">
        <v>1</v>
      </c>
      <c r="E780">
        <v>1</v>
      </c>
      <c r="F780">
        <v>0</v>
      </c>
      <c r="G780">
        <v>4</v>
      </c>
      <c r="H780">
        <v>2</v>
      </c>
      <c r="I780">
        <v>3000</v>
      </c>
      <c r="J780">
        <v>4</v>
      </c>
      <c r="K780">
        <v>0</v>
      </c>
      <c r="L780" s="4">
        <v>0.59956842065168159</v>
      </c>
      <c r="M780" s="4">
        <v>0.40043157934831841</v>
      </c>
      <c r="N780">
        <v>2</v>
      </c>
    </row>
    <row r="781" spans="1:14" x14ac:dyDescent="0.35">
      <c r="A781" s="1">
        <v>4401</v>
      </c>
      <c r="B781">
        <v>12</v>
      </c>
      <c r="C781">
        <v>51</v>
      </c>
      <c r="D781">
        <v>3</v>
      </c>
      <c r="E781">
        <v>0</v>
      </c>
      <c r="F781">
        <v>3</v>
      </c>
      <c r="G781">
        <v>3</v>
      </c>
      <c r="H781">
        <v>2</v>
      </c>
      <c r="I781">
        <v>3000</v>
      </c>
      <c r="J781">
        <v>15</v>
      </c>
      <c r="K781">
        <v>0</v>
      </c>
      <c r="L781" s="4">
        <v>0.59963512358834081</v>
      </c>
      <c r="M781" s="4">
        <v>0.40036487641165908</v>
      </c>
      <c r="N781">
        <v>2</v>
      </c>
    </row>
    <row r="782" spans="1:14" x14ac:dyDescent="0.35">
      <c r="A782" s="1">
        <v>1188</v>
      </c>
      <c r="B782">
        <v>13</v>
      </c>
      <c r="C782">
        <v>50</v>
      </c>
      <c r="D782">
        <v>3</v>
      </c>
      <c r="E782">
        <v>1</v>
      </c>
      <c r="F782">
        <v>1</v>
      </c>
      <c r="G782">
        <v>12</v>
      </c>
      <c r="H782">
        <v>2</v>
      </c>
      <c r="I782">
        <v>500</v>
      </c>
      <c r="J782">
        <v>5</v>
      </c>
      <c r="K782">
        <v>0</v>
      </c>
      <c r="L782" s="4">
        <v>0.59987992684552882</v>
      </c>
      <c r="M782" s="4">
        <v>0.40012007315447118</v>
      </c>
      <c r="N782">
        <v>2</v>
      </c>
    </row>
    <row r="783" spans="1:14" x14ac:dyDescent="0.35">
      <c r="A783" s="1">
        <v>1530</v>
      </c>
      <c r="B783">
        <v>8</v>
      </c>
      <c r="C783">
        <v>36</v>
      </c>
      <c r="D783">
        <v>3</v>
      </c>
      <c r="E783">
        <v>0</v>
      </c>
      <c r="F783">
        <v>0</v>
      </c>
      <c r="G783">
        <v>4</v>
      </c>
      <c r="H783">
        <v>2</v>
      </c>
      <c r="I783">
        <v>3000</v>
      </c>
      <c r="J783">
        <v>8</v>
      </c>
      <c r="K783">
        <v>0</v>
      </c>
      <c r="L783" s="4">
        <v>0.5999882947949482</v>
      </c>
      <c r="M783" s="4">
        <v>0.40001170520505192</v>
      </c>
      <c r="N783">
        <v>2</v>
      </c>
    </row>
    <row r="784" spans="1:14" x14ac:dyDescent="0.35">
      <c r="A784" s="1">
        <v>3260</v>
      </c>
      <c r="B784">
        <v>12</v>
      </c>
      <c r="C784">
        <v>51</v>
      </c>
      <c r="D784">
        <v>2</v>
      </c>
      <c r="E784">
        <v>0</v>
      </c>
      <c r="F784">
        <v>1</v>
      </c>
      <c r="G784">
        <v>7</v>
      </c>
      <c r="H784">
        <v>3</v>
      </c>
      <c r="I784">
        <v>0.01</v>
      </c>
      <c r="J784">
        <v>4</v>
      </c>
      <c r="K784">
        <v>0</v>
      </c>
      <c r="L784" s="4">
        <v>0.60006397883077534</v>
      </c>
      <c r="M784" s="4">
        <v>0.39993602116922461</v>
      </c>
      <c r="N784">
        <v>2</v>
      </c>
    </row>
    <row r="785" spans="1:14" x14ac:dyDescent="0.35">
      <c r="A785" s="1">
        <v>1467</v>
      </c>
      <c r="B785">
        <v>9</v>
      </c>
      <c r="C785">
        <v>39</v>
      </c>
      <c r="D785">
        <v>2</v>
      </c>
      <c r="E785">
        <v>0</v>
      </c>
      <c r="F785">
        <v>3</v>
      </c>
      <c r="G785">
        <v>3</v>
      </c>
      <c r="H785">
        <v>2</v>
      </c>
      <c r="I785">
        <v>300</v>
      </c>
      <c r="J785">
        <v>2</v>
      </c>
      <c r="K785">
        <v>0</v>
      </c>
      <c r="L785" s="4">
        <v>0.60055158411746301</v>
      </c>
      <c r="M785" s="4">
        <v>0.39944841588253699</v>
      </c>
      <c r="N785">
        <v>2</v>
      </c>
    </row>
    <row r="786" spans="1:14" x14ac:dyDescent="0.35">
      <c r="A786" s="1">
        <v>3981</v>
      </c>
      <c r="B786">
        <v>12</v>
      </c>
      <c r="C786">
        <v>51</v>
      </c>
      <c r="D786">
        <v>3</v>
      </c>
      <c r="E786">
        <v>0</v>
      </c>
      <c r="F786">
        <v>3</v>
      </c>
      <c r="G786">
        <v>3</v>
      </c>
      <c r="H786">
        <v>2</v>
      </c>
      <c r="I786">
        <v>3000</v>
      </c>
      <c r="J786">
        <v>12</v>
      </c>
      <c r="K786">
        <v>1</v>
      </c>
      <c r="L786" s="4">
        <v>0.60056029131953292</v>
      </c>
      <c r="M786" s="4">
        <v>0.39943970868046708</v>
      </c>
      <c r="N786">
        <v>2</v>
      </c>
    </row>
    <row r="787" spans="1:14" x14ac:dyDescent="0.35">
      <c r="A787" s="1">
        <v>2799</v>
      </c>
      <c r="B787">
        <v>9</v>
      </c>
      <c r="C787">
        <v>36</v>
      </c>
      <c r="D787">
        <v>5</v>
      </c>
      <c r="E787">
        <v>0</v>
      </c>
      <c r="F787">
        <v>4</v>
      </c>
      <c r="G787">
        <v>9</v>
      </c>
      <c r="H787">
        <v>3</v>
      </c>
      <c r="I787">
        <v>0.01</v>
      </c>
      <c r="J787">
        <v>5</v>
      </c>
      <c r="K787">
        <v>0</v>
      </c>
      <c r="L787" s="4">
        <v>0.60064455691868424</v>
      </c>
      <c r="M787" s="4">
        <v>0.39935544308131582</v>
      </c>
      <c r="N787">
        <v>2</v>
      </c>
    </row>
    <row r="788" spans="1:14" x14ac:dyDescent="0.35">
      <c r="A788" s="1">
        <v>2497</v>
      </c>
      <c r="B788">
        <v>9</v>
      </c>
      <c r="C788">
        <v>39</v>
      </c>
      <c r="D788">
        <v>2</v>
      </c>
      <c r="E788">
        <v>0</v>
      </c>
      <c r="F788">
        <v>0</v>
      </c>
      <c r="G788">
        <v>11</v>
      </c>
      <c r="H788">
        <v>3</v>
      </c>
      <c r="I788">
        <v>0.01</v>
      </c>
      <c r="J788">
        <v>4</v>
      </c>
      <c r="K788">
        <v>1</v>
      </c>
      <c r="L788" s="4">
        <v>0.60068738140821809</v>
      </c>
      <c r="M788" s="4">
        <v>0.39931261859178191</v>
      </c>
      <c r="N788">
        <v>2</v>
      </c>
    </row>
    <row r="789" spans="1:14" x14ac:dyDescent="0.35">
      <c r="A789" s="1">
        <v>3160</v>
      </c>
      <c r="B789">
        <v>8</v>
      </c>
      <c r="C789">
        <v>37</v>
      </c>
      <c r="D789">
        <v>1</v>
      </c>
      <c r="E789">
        <v>0</v>
      </c>
      <c r="F789">
        <v>3</v>
      </c>
      <c r="G789">
        <v>3</v>
      </c>
      <c r="H789">
        <v>0</v>
      </c>
      <c r="I789">
        <v>6000</v>
      </c>
      <c r="J789">
        <v>1</v>
      </c>
      <c r="K789">
        <v>0</v>
      </c>
      <c r="L789" s="4">
        <v>0.60082615786528426</v>
      </c>
      <c r="M789" s="4">
        <v>0.39917384213471568</v>
      </c>
      <c r="N789">
        <v>2</v>
      </c>
    </row>
    <row r="790" spans="1:14" x14ac:dyDescent="0.35">
      <c r="A790" s="1">
        <v>4336</v>
      </c>
      <c r="B790">
        <v>11</v>
      </c>
      <c r="C790">
        <v>48</v>
      </c>
      <c r="D790">
        <v>0</v>
      </c>
      <c r="E790">
        <v>0</v>
      </c>
      <c r="F790">
        <v>2</v>
      </c>
      <c r="G790">
        <v>1</v>
      </c>
      <c r="H790">
        <v>3</v>
      </c>
      <c r="I790">
        <v>0.01</v>
      </c>
      <c r="J790">
        <v>5</v>
      </c>
      <c r="K790">
        <v>0</v>
      </c>
      <c r="L790" s="4">
        <v>0.60121376044613695</v>
      </c>
      <c r="M790" s="4">
        <v>0.39878623955386311</v>
      </c>
      <c r="N790">
        <v>2</v>
      </c>
    </row>
    <row r="791" spans="1:14" x14ac:dyDescent="0.35">
      <c r="A791" s="1">
        <v>3812</v>
      </c>
      <c r="B791">
        <v>8</v>
      </c>
      <c r="C791">
        <v>35</v>
      </c>
      <c r="D791">
        <v>2</v>
      </c>
      <c r="E791">
        <v>0</v>
      </c>
      <c r="F791">
        <v>3</v>
      </c>
      <c r="G791">
        <v>3</v>
      </c>
      <c r="H791">
        <v>2</v>
      </c>
      <c r="I791">
        <v>1200</v>
      </c>
      <c r="J791">
        <v>1</v>
      </c>
      <c r="K791">
        <v>1</v>
      </c>
      <c r="L791" s="4">
        <v>0.60123667426818617</v>
      </c>
      <c r="M791" s="4">
        <v>0.39876332573181378</v>
      </c>
      <c r="N791">
        <v>2</v>
      </c>
    </row>
    <row r="792" spans="1:14" x14ac:dyDescent="0.35">
      <c r="A792" s="1">
        <v>3210</v>
      </c>
      <c r="B792">
        <v>9</v>
      </c>
      <c r="C792">
        <v>39</v>
      </c>
      <c r="D792">
        <v>2</v>
      </c>
      <c r="E792">
        <v>0</v>
      </c>
      <c r="F792">
        <v>1</v>
      </c>
      <c r="G792">
        <v>7</v>
      </c>
      <c r="H792">
        <v>3</v>
      </c>
      <c r="I792">
        <v>0.01</v>
      </c>
      <c r="J792">
        <v>5</v>
      </c>
      <c r="K792">
        <v>1</v>
      </c>
      <c r="L792" s="4">
        <v>0.60192965483962513</v>
      </c>
      <c r="M792" s="4">
        <v>0.39807034516037493</v>
      </c>
      <c r="N792">
        <v>2</v>
      </c>
    </row>
    <row r="793" spans="1:14" x14ac:dyDescent="0.35">
      <c r="A793" s="1">
        <v>2606</v>
      </c>
      <c r="B793">
        <v>13</v>
      </c>
      <c r="C793">
        <v>53</v>
      </c>
      <c r="D793">
        <v>0</v>
      </c>
      <c r="E793">
        <v>1</v>
      </c>
      <c r="F793">
        <v>1</v>
      </c>
      <c r="G793">
        <v>12</v>
      </c>
      <c r="H793">
        <v>0</v>
      </c>
      <c r="I793">
        <v>6000</v>
      </c>
      <c r="J793">
        <v>2</v>
      </c>
      <c r="K793">
        <v>0</v>
      </c>
      <c r="L793" s="4">
        <v>0.60193851645946728</v>
      </c>
      <c r="M793" s="4">
        <v>0.39806148354053278</v>
      </c>
      <c r="N793">
        <v>2</v>
      </c>
    </row>
    <row r="794" spans="1:14" x14ac:dyDescent="0.35">
      <c r="A794" s="1">
        <v>1502</v>
      </c>
      <c r="B794">
        <v>12</v>
      </c>
      <c r="C794">
        <v>46</v>
      </c>
      <c r="D794">
        <v>3</v>
      </c>
      <c r="E794">
        <v>1</v>
      </c>
      <c r="F794">
        <v>1</v>
      </c>
      <c r="G794">
        <v>5</v>
      </c>
      <c r="H794">
        <v>3</v>
      </c>
      <c r="I794">
        <v>0.01</v>
      </c>
      <c r="J794">
        <v>5</v>
      </c>
      <c r="K794">
        <v>0</v>
      </c>
      <c r="L794" s="4">
        <v>0.60213702202054598</v>
      </c>
      <c r="M794" s="4">
        <v>0.39786297797945402</v>
      </c>
      <c r="N794">
        <v>2</v>
      </c>
    </row>
    <row r="795" spans="1:14" x14ac:dyDescent="0.35">
      <c r="A795" s="1">
        <v>4329</v>
      </c>
      <c r="B795">
        <v>11</v>
      </c>
      <c r="C795">
        <v>42</v>
      </c>
      <c r="D795">
        <v>3</v>
      </c>
      <c r="E795">
        <v>1</v>
      </c>
      <c r="F795">
        <v>3</v>
      </c>
      <c r="G795">
        <v>3</v>
      </c>
      <c r="H795">
        <v>2</v>
      </c>
      <c r="I795">
        <v>3000</v>
      </c>
      <c r="J795">
        <v>5</v>
      </c>
      <c r="K795">
        <v>0</v>
      </c>
      <c r="L795" s="4">
        <v>0.60214832129305296</v>
      </c>
      <c r="M795" s="4">
        <v>0.3978516787069471</v>
      </c>
      <c r="N795">
        <v>2</v>
      </c>
    </row>
    <row r="796" spans="1:14" x14ac:dyDescent="0.35">
      <c r="A796" s="1">
        <v>3774</v>
      </c>
      <c r="B796">
        <v>9</v>
      </c>
      <c r="C796">
        <v>35</v>
      </c>
      <c r="D796">
        <v>2</v>
      </c>
      <c r="E796">
        <v>1</v>
      </c>
      <c r="F796">
        <v>0</v>
      </c>
      <c r="G796">
        <v>10</v>
      </c>
      <c r="H796">
        <v>2</v>
      </c>
      <c r="I796">
        <v>1200</v>
      </c>
      <c r="J796">
        <v>1</v>
      </c>
      <c r="K796">
        <v>0</v>
      </c>
      <c r="L796" s="4">
        <v>0.60241352528779024</v>
      </c>
      <c r="M796" s="4">
        <v>0.39758647471220981</v>
      </c>
      <c r="N796">
        <v>2</v>
      </c>
    </row>
    <row r="797" spans="1:14" x14ac:dyDescent="0.35">
      <c r="A797" s="1">
        <v>2560</v>
      </c>
      <c r="B797">
        <v>12</v>
      </c>
      <c r="C797">
        <v>50</v>
      </c>
      <c r="D797">
        <v>5</v>
      </c>
      <c r="E797">
        <v>0</v>
      </c>
      <c r="F797">
        <v>0</v>
      </c>
      <c r="G797">
        <v>11</v>
      </c>
      <c r="H797">
        <v>3</v>
      </c>
      <c r="I797">
        <v>0.01</v>
      </c>
      <c r="J797">
        <v>5</v>
      </c>
      <c r="K797">
        <v>0</v>
      </c>
      <c r="L797" s="4">
        <v>0.60269656587750453</v>
      </c>
      <c r="M797" s="4">
        <v>0.39730343412249552</v>
      </c>
      <c r="N797">
        <v>2</v>
      </c>
    </row>
    <row r="798" spans="1:14" x14ac:dyDescent="0.35">
      <c r="A798" s="1">
        <v>61</v>
      </c>
      <c r="B798">
        <v>10</v>
      </c>
      <c r="C798">
        <v>42</v>
      </c>
      <c r="D798">
        <v>5</v>
      </c>
      <c r="E798">
        <v>0</v>
      </c>
      <c r="F798">
        <v>3</v>
      </c>
      <c r="G798">
        <v>3</v>
      </c>
      <c r="H798">
        <v>2</v>
      </c>
      <c r="I798">
        <v>40.01</v>
      </c>
      <c r="J798">
        <v>7</v>
      </c>
      <c r="K798">
        <v>1</v>
      </c>
      <c r="L798" s="4">
        <v>0.60287758531740776</v>
      </c>
      <c r="M798" s="4">
        <v>0.39712241468259218</v>
      </c>
      <c r="N798">
        <v>2</v>
      </c>
    </row>
    <row r="799" spans="1:14" x14ac:dyDescent="0.35">
      <c r="A799" s="1">
        <v>3823</v>
      </c>
      <c r="B799">
        <v>8</v>
      </c>
      <c r="C799">
        <v>34</v>
      </c>
      <c r="D799">
        <v>2</v>
      </c>
      <c r="E799">
        <v>0</v>
      </c>
      <c r="F799">
        <v>3</v>
      </c>
      <c r="G799">
        <v>8</v>
      </c>
      <c r="H799">
        <v>3</v>
      </c>
      <c r="I799">
        <v>0.01</v>
      </c>
      <c r="J799">
        <v>5</v>
      </c>
      <c r="K799">
        <v>0</v>
      </c>
      <c r="L799" s="4">
        <v>0.6031718547315108</v>
      </c>
      <c r="M799" s="4">
        <v>0.3968281452684892</v>
      </c>
      <c r="N799">
        <v>2</v>
      </c>
    </row>
    <row r="800" spans="1:14" x14ac:dyDescent="0.35">
      <c r="A800" s="1">
        <v>431</v>
      </c>
      <c r="B800">
        <v>8</v>
      </c>
      <c r="C800">
        <v>36</v>
      </c>
      <c r="D800">
        <v>3</v>
      </c>
      <c r="E800">
        <v>0</v>
      </c>
      <c r="F800">
        <v>0</v>
      </c>
      <c r="G800">
        <v>4</v>
      </c>
      <c r="H800">
        <v>2</v>
      </c>
      <c r="I800">
        <v>100</v>
      </c>
      <c r="J800">
        <v>1</v>
      </c>
      <c r="K800">
        <v>1</v>
      </c>
      <c r="L800" s="4">
        <v>0.60326412498437487</v>
      </c>
      <c r="M800" s="4">
        <v>0.39673587501562507</v>
      </c>
      <c r="N800">
        <v>2</v>
      </c>
    </row>
    <row r="801" spans="1:14" x14ac:dyDescent="0.35">
      <c r="A801" s="1">
        <v>4375</v>
      </c>
      <c r="B801">
        <v>11</v>
      </c>
      <c r="C801">
        <v>48</v>
      </c>
      <c r="D801">
        <v>4</v>
      </c>
      <c r="E801">
        <v>0</v>
      </c>
      <c r="F801">
        <v>0</v>
      </c>
      <c r="G801">
        <v>2</v>
      </c>
      <c r="H801">
        <v>2</v>
      </c>
      <c r="I801">
        <v>2665.73</v>
      </c>
      <c r="J801">
        <v>2</v>
      </c>
      <c r="K801">
        <v>0</v>
      </c>
      <c r="L801" s="4">
        <v>0.60346497644529784</v>
      </c>
      <c r="M801" s="4">
        <v>0.39653502355470222</v>
      </c>
      <c r="N801">
        <v>2</v>
      </c>
    </row>
    <row r="802" spans="1:14" x14ac:dyDescent="0.35">
      <c r="A802" s="1">
        <v>3831</v>
      </c>
      <c r="B802">
        <v>8</v>
      </c>
      <c r="C802">
        <v>36</v>
      </c>
      <c r="D802">
        <v>2</v>
      </c>
      <c r="E802">
        <v>0</v>
      </c>
      <c r="F802">
        <v>0</v>
      </c>
      <c r="G802">
        <v>2</v>
      </c>
      <c r="H802">
        <v>3</v>
      </c>
      <c r="I802">
        <v>0.01</v>
      </c>
      <c r="J802">
        <v>4</v>
      </c>
      <c r="K802">
        <v>0</v>
      </c>
      <c r="L802" s="4">
        <v>0.60399050168433743</v>
      </c>
      <c r="M802" s="4">
        <v>0.39600949831566251</v>
      </c>
      <c r="N802">
        <v>2</v>
      </c>
    </row>
    <row r="803" spans="1:14" x14ac:dyDescent="0.35">
      <c r="A803" s="1">
        <v>1081</v>
      </c>
      <c r="B803">
        <v>13</v>
      </c>
      <c r="C803">
        <v>51</v>
      </c>
      <c r="D803">
        <v>1</v>
      </c>
      <c r="E803">
        <v>1</v>
      </c>
      <c r="F803">
        <v>3</v>
      </c>
      <c r="G803">
        <v>3</v>
      </c>
      <c r="H803">
        <v>2</v>
      </c>
      <c r="I803">
        <v>2000</v>
      </c>
      <c r="J803">
        <v>1</v>
      </c>
      <c r="K803">
        <v>0</v>
      </c>
      <c r="L803" s="4">
        <v>0.60412944005553726</v>
      </c>
      <c r="M803" s="4">
        <v>0.3958705599444628</v>
      </c>
      <c r="N803">
        <v>2</v>
      </c>
    </row>
    <row r="804" spans="1:14" x14ac:dyDescent="0.35">
      <c r="A804" s="1">
        <v>3772</v>
      </c>
      <c r="B804">
        <v>8</v>
      </c>
      <c r="C804">
        <v>31</v>
      </c>
      <c r="D804">
        <v>2</v>
      </c>
      <c r="E804">
        <v>1</v>
      </c>
      <c r="F804">
        <v>0</v>
      </c>
      <c r="G804">
        <v>4</v>
      </c>
      <c r="H804">
        <v>3</v>
      </c>
      <c r="I804">
        <v>0.01</v>
      </c>
      <c r="J804">
        <v>4</v>
      </c>
      <c r="K804">
        <v>0</v>
      </c>
      <c r="L804" s="4">
        <v>0.60532583248225968</v>
      </c>
      <c r="M804" s="4">
        <v>0.39467416751774043</v>
      </c>
      <c r="N804">
        <v>2</v>
      </c>
    </row>
    <row r="805" spans="1:14" x14ac:dyDescent="0.35">
      <c r="A805" s="1">
        <v>2632</v>
      </c>
      <c r="B805">
        <v>12</v>
      </c>
      <c r="C805">
        <v>51</v>
      </c>
      <c r="D805">
        <v>5</v>
      </c>
      <c r="E805">
        <v>0</v>
      </c>
      <c r="F805">
        <v>1</v>
      </c>
      <c r="G805">
        <v>5</v>
      </c>
      <c r="H805">
        <v>2</v>
      </c>
      <c r="I805">
        <v>1000</v>
      </c>
      <c r="J805">
        <v>4</v>
      </c>
      <c r="K805">
        <v>1</v>
      </c>
      <c r="L805" s="4">
        <v>0.60540497019493555</v>
      </c>
      <c r="M805" s="4">
        <v>0.39459502980506439</v>
      </c>
      <c r="N805">
        <v>2</v>
      </c>
    </row>
    <row r="806" spans="1:14" x14ac:dyDescent="0.35">
      <c r="A806" s="1">
        <v>1987</v>
      </c>
      <c r="B806">
        <v>11</v>
      </c>
      <c r="C806">
        <v>46</v>
      </c>
      <c r="D806">
        <v>4</v>
      </c>
      <c r="E806">
        <v>0</v>
      </c>
      <c r="F806">
        <v>3</v>
      </c>
      <c r="G806">
        <v>3</v>
      </c>
      <c r="H806">
        <v>3</v>
      </c>
      <c r="I806">
        <v>0.01</v>
      </c>
      <c r="J806">
        <v>9</v>
      </c>
      <c r="K806">
        <v>0</v>
      </c>
      <c r="L806" s="4">
        <v>0.60579034365737727</v>
      </c>
      <c r="M806" s="4">
        <v>0.39420965634262278</v>
      </c>
      <c r="N806">
        <v>2</v>
      </c>
    </row>
    <row r="807" spans="1:14" x14ac:dyDescent="0.35">
      <c r="A807" s="1">
        <v>2979</v>
      </c>
      <c r="B807">
        <v>8</v>
      </c>
      <c r="C807">
        <v>30</v>
      </c>
      <c r="D807">
        <v>2</v>
      </c>
      <c r="E807">
        <v>1</v>
      </c>
      <c r="F807">
        <v>3</v>
      </c>
      <c r="G807">
        <v>8</v>
      </c>
      <c r="H807">
        <v>2</v>
      </c>
      <c r="I807">
        <v>2000</v>
      </c>
      <c r="J807">
        <v>1</v>
      </c>
      <c r="K807">
        <v>0</v>
      </c>
      <c r="L807" s="4">
        <v>0.60620458956987988</v>
      </c>
      <c r="M807" s="4">
        <v>0.39379541043012012</v>
      </c>
      <c r="N807">
        <v>2</v>
      </c>
    </row>
    <row r="808" spans="1:14" x14ac:dyDescent="0.35">
      <c r="A808" s="1">
        <v>973</v>
      </c>
      <c r="B808">
        <v>11</v>
      </c>
      <c r="C808">
        <v>47</v>
      </c>
      <c r="D808">
        <v>4</v>
      </c>
      <c r="E808">
        <v>0</v>
      </c>
      <c r="F808">
        <v>1</v>
      </c>
      <c r="G808">
        <v>12</v>
      </c>
      <c r="H808">
        <v>2</v>
      </c>
      <c r="I808">
        <v>3000</v>
      </c>
      <c r="J808">
        <v>10</v>
      </c>
      <c r="K808">
        <v>1</v>
      </c>
      <c r="L808" s="4">
        <v>0.60641086842246417</v>
      </c>
      <c r="M808" s="4">
        <v>0.39358913157753578</v>
      </c>
      <c r="N808">
        <v>2</v>
      </c>
    </row>
    <row r="809" spans="1:14" x14ac:dyDescent="0.35">
      <c r="A809" s="1">
        <v>2137</v>
      </c>
      <c r="B809">
        <v>8</v>
      </c>
      <c r="C809">
        <v>32</v>
      </c>
      <c r="D809">
        <v>2</v>
      </c>
      <c r="E809">
        <v>1</v>
      </c>
      <c r="F809">
        <v>0</v>
      </c>
      <c r="G809">
        <v>2</v>
      </c>
      <c r="H809">
        <v>2</v>
      </c>
      <c r="I809">
        <v>1200</v>
      </c>
      <c r="J809">
        <v>1</v>
      </c>
      <c r="K809">
        <v>1</v>
      </c>
      <c r="L809" s="4">
        <v>0.60702199463645046</v>
      </c>
      <c r="M809" s="4">
        <v>0.39297800536354949</v>
      </c>
      <c r="N809">
        <v>2</v>
      </c>
    </row>
    <row r="810" spans="1:14" x14ac:dyDescent="0.35">
      <c r="A810" s="1">
        <v>1279</v>
      </c>
      <c r="B810">
        <v>10</v>
      </c>
      <c r="C810">
        <v>44</v>
      </c>
      <c r="D810">
        <v>1</v>
      </c>
      <c r="E810">
        <v>0</v>
      </c>
      <c r="F810">
        <v>3</v>
      </c>
      <c r="G810">
        <v>3</v>
      </c>
      <c r="H810">
        <v>2</v>
      </c>
      <c r="I810">
        <v>0.02</v>
      </c>
      <c r="J810">
        <v>5</v>
      </c>
      <c r="K810">
        <v>1</v>
      </c>
      <c r="L810" s="4">
        <v>0.60712458231398214</v>
      </c>
      <c r="M810" s="4">
        <v>0.3928754176860178</v>
      </c>
      <c r="N810">
        <v>2</v>
      </c>
    </row>
    <row r="811" spans="1:14" x14ac:dyDescent="0.35">
      <c r="A811" s="1">
        <v>4333</v>
      </c>
      <c r="B811">
        <v>8</v>
      </c>
      <c r="C811">
        <v>35</v>
      </c>
      <c r="D811">
        <v>5</v>
      </c>
      <c r="E811">
        <v>0</v>
      </c>
      <c r="F811">
        <v>1</v>
      </c>
      <c r="G811">
        <v>5</v>
      </c>
      <c r="H811">
        <v>2</v>
      </c>
      <c r="I811">
        <v>500</v>
      </c>
      <c r="J811">
        <v>8</v>
      </c>
      <c r="K811">
        <v>0</v>
      </c>
      <c r="L811" s="4">
        <v>0.60725540261300337</v>
      </c>
      <c r="M811" s="4">
        <v>0.39274459738699657</v>
      </c>
      <c r="N811">
        <v>2</v>
      </c>
    </row>
    <row r="812" spans="1:14" x14ac:dyDescent="0.35">
      <c r="A812" s="1">
        <v>4422</v>
      </c>
      <c r="B812">
        <v>8</v>
      </c>
      <c r="C812">
        <v>35</v>
      </c>
      <c r="D812">
        <v>2</v>
      </c>
      <c r="E812">
        <v>0</v>
      </c>
      <c r="F812">
        <v>3</v>
      </c>
      <c r="G812">
        <v>8</v>
      </c>
      <c r="H812">
        <v>2</v>
      </c>
      <c r="I812">
        <v>2000</v>
      </c>
      <c r="J812">
        <v>1</v>
      </c>
      <c r="K812">
        <v>0</v>
      </c>
      <c r="L812" s="4">
        <v>0.60749123047015929</v>
      </c>
      <c r="M812" s="4">
        <v>0.39250876952984071</v>
      </c>
      <c r="N812">
        <v>2</v>
      </c>
    </row>
    <row r="813" spans="1:14" x14ac:dyDescent="0.35">
      <c r="A813" s="1">
        <v>2783</v>
      </c>
      <c r="B813">
        <v>8</v>
      </c>
      <c r="C813">
        <v>37</v>
      </c>
      <c r="D813">
        <v>0</v>
      </c>
      <c r="E813">
        <v>0</v>
      </c>
      <c r="F813">
        <v>0</v>
      </c>
      <c r="G813">
        <v>4</v>
      </c>
      <c r="H813">
        <v>3</v>
      </c>
      <c r="I813">
        <v>0.01</v>
      </c>
      <c r="J813">
        <v>7</v>
      </c>
      <c r="K813">
        <v>1</v>
      </c>
      <c r="L813" s="4">
        <v>0.60749928990302227</v>
      </c>
      <c r="M813" s="4">
        <v>0.39250071009697768</v>
      </c>
      <c r="N813">
        <v>2</v>
      </c>
    </row>
    <row r="814" spans="1:14" x14ac:dyDescent="0.35">
      <c r="A814" s="1">
        <v>2534</v>
      </c>
      <c r="B814">
        <v>11</v>
      </c>
      <c r="C814">
        <v>47</v>
      </c>
      <c r="D814">
        <v>5</v>
      </c>
      <c r="E814">
        <v>0</v>
      </c>
      <c r="F814">
        <v>0</v>
      </c>
      <c r="G814">
        <v>4</v>
      </c>
      <c r="H814">
        <v>3</v>
      </c>
      <c r="I814">
        <v>0.01</v>
      </c>
      <c r="J814">
        <v>8</v>
      </c>
      <c r="K814">
        <v>1</v>
      </c>
      <c r="L814" s="4">
        <v>0.60769357564390569</v>
      </c>
      <c r="M814" s="4">
        <v>0.39230642435609431</v>
      </c>
      <c r="N814">
        <v>2</v>
      </c>
    </row>
    <row r="815" spans="1:14" x14ac:dyDescent="0.35">
      <c r="A815" s="1">
        <v>914</v>
      </c>
      <c r="B815">
        <v>6</v>
      </c>
      <c r="C815">
        <v>27</v>
      </c>
      <c r="D815">
        <v>3</v>
      </c>
      <c r="E815">
        <v>0</v>
      </c>
      <c r="F815">
        <v>1</v>
      </c>
      <c r="G815">
        <v>5</v>
      </c>
      <c r="H815">
        <v>3</v>
      </c>
      <c r="I815">
        <v>0.01</v>
      </c>
      <c r="J815">
        <v>4</v>
      </c>
      <c r="K815">
        <v>0</v>
      </c>
      <c r="L815" s="4">
        <v>0.60806497990761721</v>
      </c>
      <c r="M815" s="4">
        <v>0.39193502009238268</v>
      </c>
      <c r="N815">
        <v>2</v>
      </c>
    </row>
    <row r="816" spans="1:14" x14ac:dyDescent="0.35">
      <c r="A816" s="1">
        <v>684</v>
      </c>
      <c r="B816">
        <v>11</v>
      </c>
      <c r="C816">
        <v>43</v>
      </c>
      <c r="D816">
        <v>3</v>
      </c>
      <c r="E816">
        <v>1</v>
      </c>
      <c r="F816">
        <v>0</v>
      </c>
      <c r="G816">
        <v>4</v>
      </c>
      <c r="H816">
        <v>3</v>
      </c>
      <c r="I816">
        <v>0.01</v>
      </c>
      <c r="J816">
        <v>8</v>
      </c>
      <c r="K816">
        <v>0</v>
      </c>
      <c r="L816" s="4">
        <v>0.60821217447199882</v>
      </c>
      <c r="M816" s="4">
        <v>0.39178782552800118</v>
      </c>
      <c r="N816">
        <v>2</v>
      </c>
    </row>
    <row r="817" spans="1:14" x14ac:dyDescent="0.35">
      <c r="A817" s="1">
        <v>1960</v>
      </c>
      <c r="B817">
        <v>6</v>
      </c>
      <c r="C817">
        <v>27</v>
      </c>
      <c r="D817">
        <v>5</v>
      </c>
      <c r="E817">
        <v>0</v>
      </c>
      <c r="F817">
        <v>1</v>
      </c>
      <c r="G817">
        <v>5</v>
      </c>
      <c r="H817">
        <v>2</v>
      </c>
      <c r="I817">
        <v>920</v>
      </c>
      <c r="J817">
        <v>9</v>
      </c>
      <c r="K817">
        <v>1</v>
      </c>
      <c r="L817" s="4">
        <v>0.60822844445406798</v>
      </c>
      <c r="M817" s="4">
        <v>0.39177155554593202</v>
      </c>
      <c r="N817">
        <v>2</v>
      </c>
    </row>
    <row r="818" spans="1:14" x14ac:dyDescent="0.35">
      <c r="A818" s="1">
        <v>1311</v>
      </c>
      <c r="B818">
        <v>15</v>
      </c>
      <c r="C818">
        <v>66</v>
      </c>
      <c r="D818">
        <v>1</v>
      </c>
      <c r="E818">
        <v>0</v>
      </c>
      <c r="F818">
        <v>0</v>
      </c>
      <c r="G818">
        <v>2</v>
      </c>
      <c r="H818">
        <v>2</v>
      </c>
      <c r="I818">
        <v>500</v>
      </c>
      <c r="J818">
        <v>12</v>
      </c>
      <c r="K818">
        <v>0</v>
      </c>
      <c r="L818" s="4">
        <v>0.60823886747803457</v>
      </c>
      <c r="M818" s="4">
        <v>0.39176113252196543</v>
      </c>
      <c r="N818">
        <v>2</v>
      </c>
    </row>
    <row r="819" spans="1:14" x14ac:dyDescent="0.35">
      <c r="A819" s="1">
        <v>3757</v>
      </c>
      <c r="B819">
        <v>9</v>
      </c>
      <c r="C819">
        <v>38</v>
      </c>
      <c r="D819">
        <v>4</v>
      </c>
      <c r="E819">
        <v>0</v>
      </c>
      <c r="F819">
        <v>3</v>
      </c>
      <c r="G819">
        <v>3</v>
      </c>
      <c r="H819">
        <v>3</v>
      </c>
      <c r="I819">
        <v>0.01</v>
      </c>
      <c r="J819">
        <v>4</v>
      </c>
      <c r="K819">
        <v>1</v>
      </c>
      <c r="L819" s="4">
        <v>0.60876403184830341</v>
      </c>
      <c r="M819" s="4">
        <v>0.39123596815169659</v>
      </c>
      <c r="N819">
        <v>2</v>
      </c>
    </row>
    <row r="820" spans="1:14" x14ac:dyDescent="0.35">
      <c r="A820" s="1">
        <v>1675</v>
      </c>
      <c r="B820">
        <v>11</v>
      </c>
      <c r="C820">
        <v>51</v>
      </c>
      <c r="D820">
        <v>0</v>
      </c>
      <c r="E820">
        <v>0</v>
      </c>
      <c r="F820">
        <v>1</v>
      </c>
      <c r="G820">
        <v>7</v>
      </c>
      <c r="H820">
        <v>0</v>
      </c>
      <c r="I820">
        <v>8400</v>
      </c>
      <c r="J820">
        <v>11</v>
      </c>
      <c r="K820">
        <v>0</v>
      </c>
      <c r="L820" s="4">
        <v>0.60880192562688684</v>
      </c>
      <c r="M820" s="4">
        <v>0.39119807437311321</v>
      </c>
      <c r="N820">
        <v>2</v>
      </c>
    </row>
    <row r="821" spans="1:14" x14ac:dyDescent="0.35">
      <c r="A821" s="1">
        <v>231</v>
      </c>
      <c r="B821">
        <v>17</v>
      </c>
      <c r="C821">
        <v>74</v>
      </c>
      <c r="D821">
        <v>1</v>
      </c>
      <c r="E821">
        <v>0</v>
      </c>
      <c r="F821">
        <v>3</v>
      </c>
      <c r="G821">
        <v>8</v>
      </c>
      <c r="H821">
        <v>0</v>
      </c>
      <c r="I821">
        <v>5329.4</v>
      </c>
      <c r="J821">
        <v>21</v>
      </c>
      <c r="K821">
        <v>0</v>
      </c>
      <c r="L821" s="4">
        <v>0.60938150133242996</v>
      </c>
      <c r="M821" s="4">
        <v>0.39061849866756998</v>
      </c>
      <c r="N821">
        <v>2</v>
      </c>
    </row>
    <row r="822" spans="1:14" x14ac:dyDescent="0.35">
      <c r="A822" s="1">
        <v>700</v>
      </c>
      <c r="B822">
        <v>11</v>
      </c>
      <c r="C822">
        <v>48</v>
      </c>
      <c r="D822">
        <v>3</v>
      </c>
      <c r="E822">
        <v>0</v>
      </c>
      <c r="F822">
        <v>0</v>
      </c>
      <c r="G822">
        <v>4</v>
      </c>
      <c r="H822">
        <v>3</v>
      </c>
      <c r="I822">
        <v>0.01</v>
      </c>
      <c r="J822">
        <v>7</v>
      </c>
      <c r="K822">
        <v>0</v>
      </c>
      <c r="L822" s="4">
        <v>0.6098022962114189</v>
      </c>
      <c r="M822" s="4">
        <v>0.39019770378858121</v>
      </c>
      <c r="N822">
        <v>2</v>
      </c>
    </row>
    <row r="823" spans="1:14" x14ac:dyDescent="0.35">
      <c r="A823" s="1">
        <v>1865</v>
      </c>
      <c r="B823">
        <v>6</v>
      </c>
      <c r="C823">
        <v>28</v>
      </c>
      <c r="D823">
        <v>1</v>
      </c>
      <c r="E823">
        <v>0</v>
      </c>
      <c r="F823">
        <v>3</v>
      </c>
      <c r="G823">
        <v>3</v>
      </c>
      <c r="H823">
        <v>2</v>
      </c>
      <c r="I823">
        <v>3000</v>
      </c>
      <c r="J823">
        <v>1</v>
      </c>
      <c r="K823">
        <v>0</v>
      </c>
      <c r="L823" s="4">
        <v>0.61007677655887838</v>
      </c>
      <c r="M823" s="4">
        <v>0.38992322344112168</v>
      </c>
      <c r="N823">
        <v>2</v>
      </c>
    </row>
    <row r="824" spans="1:14" x14ac:dyDescent="0.35">
      <c r="A824" s="1">
        <v>334</v>
      </c>
      <c r="B824">
        <v>11</v>
      </c>
      <c r="C824">
        <v>48</v>
      </c>
      <c r="D824">
        <v>3</v>
      </c>
      <c r="E824">
        <v>0</v>
      </c>
      <c r="F824">
        <v>0</v>
      </c>
      <c r="G824">
        <v>4</v>
      </c>
      <c r="H824">
        <v>3</v>
      </c>
      <c r="I824">
        <v>0.01</v>
      </c>
      <c r="J824">
        <v>5</v>
      </c>
      <c r="K824">
        <v>0</v>
      </c>
      <c r="L824" s="4">
        <v>0.61041366672610087</v>
      </c>
      <c r="M824" s="4">
        <v>0.38958633327389908</v>
      </c>
      <c r="N824">
        <v>2</v>
      </c>
    </row>
    <row r="825" spans="1:14" x14ac:dyDescent="0.35">
      <c r="A825" s="1">
        <v>3416</v>
      </c>
      <c r="B825">
        <v>11</v>
      </c>
      <c r="C825">
        <v>51</v>
      </c>
      <c r="D825">
        <v>2</v>
      </c>
      <c r="E825">
        <v>0</v>
      </c>
      <c r="F825">
        <v>0</v>
      </c>
      <c r="G825">
        <v>4</v>
      </c>
      <c r="H825">
        <v>0</v>
      </c>
      <c r="I825">
        <v>7470</v>
      </c>
      <c r="J825">
        <v>12</v>
      </c>
      <c r="K825">
        <v>0</v>
      </c>
      <c r="L825" s="4">
        <v>0.61068778916095134</v>
      </c>
      <c r="M825" s="4">
        <v>0.38931221083904871</v>
      </c>
      <c r="N825">
        <v>2</v>
      </c>
    </row>
    <row r="826" spans="1:14" x14ac:dyDescent="0.35">
      <c r="A826" s="1">
        <v>265</v>
      </c>
      <c r="B826">
        <v>8</v>
      </c>
      <c r="C826">
        <v>36</v>
      </c>
      <c r="D826">
        <v>5</v>
      </c>
      <c r="E826">
        <v>0</v>
      </c>
      <c r="F826">
        <v>3</v>
      </c>
      <c r="G826">
        <v>3</v>
      </c>
      <c r="H826">
        <v>0</v>
      </c>
      <c r="I826">
        <v>6000</v>
      </c>
      <c r="J826">
        <v>3</v>
      </c>
      <c r="K826">
        <v>1</v>
      </c>
      <c r="L826" s="4">
        <v>0.61096605158426143</v>
      </c>
      <c r="M826" s="4">
        <v>0.38903394841573857</v>
      </c>
      <c r="N826">
        <v>2</v>
      </c>
    </row>
    <row r="827" spans="1:14" x14ac:dyDescent="0.35">
      <c r="A827" s="1">
        <v>667</v>
      </c>
      <c r="B827">
        <v>13</v>
      </c>
      <c r="C827">
        <v>58</v>
      </c>
      <c r="D827">
        <v>3</v>
      </c>
      <c r="E827">
        <v>0</v>
      </c>
      <c r="F827">
        <v>2</v>
      </c>
      <c r="G827">
        <v>1</v>
      </c>
      <c r="H827">
        <v>0</v>
      </c>
      <c r="I827">
        <v>8000</v>
      </c>
      <c r="J827">
        <v>8</v>
      </c>
      <c r="K827">
        <v>1</v>
      </c>
      <c r="L827" s="4">
        <v>0.6118171448086267</v>
      </c>
      <c r="M827" s="4">
        <v>0.38818285519137319</v>
      </c>
      <c r="N827">
        <v>2</v>
      </c>
    </row>
    <row r="828" spans="1:14" x14ac:dyDescent="0.35">
      <c r="A828" s="1">
        <v>3081</v>
      </c>
      <c r="B828">
        <v>11</v>
      </c>
      <c r="C828">
        <v>48</v>
      </c>
      <c r="D828">
        <v>2</v>
      </c>
      <c r="E828">
        <v>0</v>
      </c>
      <c r="F828">
        <v>3</v>
      </c>
      <c r="G828">
        <v>3</v>
      </c>
      <c r="H828">
        <v>2</v>
      </c>
      <c r="I828">
        <v>900</v>
      </c>
      <c r="J828">
        <v>5</v>
      </c>
      <c r="K828">
        <v>1</v>
      </c>
      <c r="L828" s="4">
        <v>0.61231936762305939</v>
      </c>
      <c r="M828" s="4">
        <v>0.38768063237694061</v>
      </c>
      <c r="N828">
        <v>2</v>
      </c>
    </row>
    <row r="829" spans="1:14" x14ac:dyDescent="0.35">
      <c r="A829" s="1">
        <v>3631</v>
      </c>
      <c r="B829">
        <v>10</v>
      </c>
      <c r="C829">
        <v>44</v>
      </c>
      <c r="D829">
        <v>2</v>
      </c>
      <c r="E829">
        <v>0</v>
      </c>
      <c r="F829">
        <v>3</v>
      </c>
      <c r="G829">
        <v>3</v>
      </c>
      <c r="H829">
        <v>2</v>
      </c>
      <c r="I829">
        <v>3000</v>
      </c>
      <c r="J829">
        <v>4</v>
      </c>
      <c r="K829">
        <v>0</v>
      </c>
      <c r="L829" s="4">
        <v>0.61253849573645103</v>
      </c>
      <c r="M829" s="4">
        <v>0.38746150426354897</v>
      </c>
      <c r="N829">
        <v>2</v>
      </c>
    </row>
    <row r="830" spans="1:14" x14ac:dyDescent="0.35">
      <c r="A830" s="1">
        <v>3638</v>
      </c>
      <c r="B830">
        <v>12</v>
      </c>
      <c r="C830">
        <v>48</v>
      </c>
      <c r="D830">
        <v>4</v>
      </c>
      <c r="E830">
        <v>1</v>
      </c>
      <c r="F830">
        <v>1</v>
      </c>
      <c r="G830">
        <v>12</v>
      </c>
      <c r="H830">
        <v>0</v>
      </c>
      <c r="I830">
        <v>6000</v>
      </c>
      <c r="J830">
        <v>2</v>
      </c>
      <c r="K830">
        <v>0</v>
      </c>
      <c r="L830" s="4">
        <v>0.61339529780825996</v>
      </c>
      <c r="M830" s="4">
        <v>0.38660470219174009</v>
      </c>
      <c r="N830">
        <v>2</v>
      </c>
    </row>
    <row r="831" spans="1:14" x14ac:dyDescent="0.35">
      <c r="A831" s="1">
        <v>492</v>
      </c>
      <c r="B831">
        <v>12</v>
      </c>
      <c r="C831">
        <v>51</v>
      </c>
      <c r="D831">
        <v>5</v>
      </c>
      <c r="E831">
        <v>0</v>
      </c>
      <c r="F831">
        <v>2</v>
      </c>
      <c r="G831">
        <v>6</v>
      </c>
      <c r="H831">
        <v>2</v>
      </c>
      <c r="I831">
        <v>2700</v>
      </c>
      <c r="J831">
        <v>2</v>
      </c>
      <c r="K831">
        <v>1</v>
      </c>
      <c r="L831" s="4">
        <v>0.61343701472876688</v>
      </c>
      <c r="M831" s="4">
        <v>0.38656298527123317</v>
      </c>
      <c r="N831">
        <v>2</v>
      </c>
    </row>
    <row r="832" spans="1:14" x14ac:dyDescent="0.35">
      <c r="A832" s="1">
        <v>3127</v>
      </c>
      <c r="B832">
        <v>12</v>
      </c>
      <c r="C832">
        <v>50</v>
      </c>
      <c r="D832">
        <v>1</v>
      </c>
      <c r="E832">
        <v>1</v>
      </c>
      <c r="F832">
        <v>2</v>
      </c>
      <c r="G832">
        <v>1</v>
      </c>
      <c r="H832">
        <v>0</v>
      </c>
      <c r="I832">
        <v>10000</v>
      </c>
      <c r="J832">
        <v>4</v>
      </c>
      <c r="K832">
        <v>0</v>
      </c>
      <c r="L832" s="4">
        <v>0.61350566025209963</v>
      </c>
      <c r="M832" s="4">
        <v>0.38649433974790032</v>
      </c>
      <c r="N832">
        <v>2</v>
      </c>
    </row>
    <row r="833" spans="1:14" x14ac:dyDescent="0.35">
      <c r="A833" s="1">
        <v>1722</v>
      </c>
      <c r="B833">
        <v>11</v>
      </c>
      <c r="C833">
        <v>51</v>
      </c>
      <c r="D833">
        <v>1</v>
      </c>
      <c r="E833">
        <v>0</v>
      </c>
      <c r="F833">
        <v>2</v>
      </c>
      <c r="G833">
        <v>1</v>
      </c>
      <c r="H833">
        <v>0</v>
      </c>
      <c r="I833">
        <v>15000</v>
      </c>
      <c r="J833">
        <v>4</v>
      </c>
      <c r="K833">
        <v>0</v>
      </c>
      <c r="L833" s="4">
        <v>0.61359063040610262</v>
      </c>
      <c r="M833" s="4">
        <v>0.38640936959389738</v>
      </c>
      <c r="N833">
        <v>2</v>
      </c>
    </row>
    <row r="834" spans="1:14" x14ac:dyDescent="0.35">
      <c r="A834" s="1">
        <v>1047</v>
      </c>
      <c r="B834">
        <v>14</v>
      </c>
      <c r="C834">
        <v>60</v>
      </c>
      <c r="D834">
        <v>4</v>
      </c>
      <c r="E834">
        <v>0</v>
      </c>
      <c r="F834">
        <v>1</v>
      </c>
      <c r="G834">
        <v>7</v>
      </c>
      <c r="H834">
        <v>2</v>
      </c>
      <c r="I834">
        <v>5000</v>
      </c>
      <c r="J834">
        <v>1</v>
      </c>
      <c r="K834">
        <v>0</v>
      </c>
      <c r="L834" s="4">
        <v>0.61402294636834309</v>
      </c>
      <c r="M834" s="4">
        <v>0.38597705363165702</v>
      </c>
      <c r="N834">
        <v>2</v>
      </c>
    </row>
    <row r="835" spans="1:14" x14ac:dyDescent="0.35">
      <c r="A835" s="1">
        <v>2193</v>
      </c>
      <c r="B835">
        <v>9</v>
      </c>
      <c r="C835">
        <v>40</v>
      </c>
      <c r="D835">
        <v>4</v>
      </c>
      <c r="E835">
        <v>0</v>
      </c>
      <c r="F835">
        <v>1</v>
      </c>
      <c r="G835">
        <v>5</v>
      </c>
      <c r="H835">
        <v>2</v>
      </c>
      <c r="I835">
        <v>265</v>
      </c>
      <c r="J835">
        <v>10</v>
      </c>
      <c r="K835">
        <v>0</v>
      </c>
      <c r="L835" s="4">
        <v>0.61406879913689294</v>
      </c>
      <c r="M835" s="4">
        <v>0.38593120086310712</v>
      </c>
      <c r="N835">
        <v>2</v>
      </c>
    </row>
    <row r="836" spans="1:14" x14ac:dyDescent="0.35">
      <c r="A836" s="1">
        <v>519</v>
      </c>
      <c r="B836">
        <v>6</v>
      </c>
      <c r="C836">
        <v>27</v>
      </c>
      <c r="D836">
        <v>3</v>
      </c>
      <c r="E836">
        <v>0</v>
      </c>
      <c r="F836">
        <v>3</v>
      </c>
      <c r="G836">
        <v>8</v>
      </c>
      <c r="H836">
        <v>2</v>
      </c>
      <c r="I836">
        <v>5</v>
      </c>
      <c r="J836">
        <v>7</v>
      </c>
      <c r="K836">
        <v>0</v>
      </c>
      <c r="L836" s="4">
        <v>0.61411169794900056</v>
      </c>
      <c r="M836" s="4">
        <v>0.38588830205099939</v>
      </c>
      <c r="N836">
        <v>2</v>
      </c>
    </row>
    <row r="837" spans="1:14" x14ac:dyDescent="0.35">
      <c r="A837" s="1">
        <v>2756</v>
      </c>
      <c r="B837">
        <v>7</v>
      </c>
      <c r="C837">
        <v>31</v>
      </c>
      <c r="D837">
        <v>4</v>
      </c>
      <c r="E837">
        <v>0</v>
      </c>
      <c r="F837">
        <v>0</v>
      </c>
      <c r="G837">
        <v>11</v>
      </c>
      <c r="H837">
        <v>3</v>
      </c>
      <c r="I837">
        <v>0.01</v>
      </c>
      <c r="J837">
        <v>5</v>
      </c>
      <c r="K837">
        <v>1</v>
      </c>
      <c r="L837" s="4">
        <v>0.6143639318072166</v>
      </c>
      <c r="M837" s="4">
        <v>0.3856360681927834</v>
      </c>
      <c r="N837">
        <v>2</v>
      </c>
    </row>
    <row r="838" spans="1:14" x14ac:dyDescent="0.35">
      <c r="A838" s="1">
        <v>3249</v>
      </c>
      <c r="B838">
        <v>10</v>
      </c>
      <c r="C838">
        <v>34</v>
      </c>
      <c r="D838">
        <v>4</v>
      </c>
      <c r="E838">
        <v>2</v>
      </c>
      <c r="F838">
        <v>2</v>
      </c>
      <c r="G838">
        <v>1</v>
      </c>
      <c r="H838">
        <v>2</v>
      </c>
      <c r="I838">
        <v>600</v>
      </c>
      <c r="J838">
        <v>1</v>
      </c>
      <c r="K838">
        <v>0</v>
      </c>
      <c r="L838" s="4">
        <v>0.61494179382789382</v>
      </c>
      <c r="M838" s="4">
        <v>0.38505820617210618</v>
      </c>
      <c r="N838">
        <v>2</v>
      </c>
    </row>
    <row r="839" spans="1:14" x14ac:dyDescent="0.35">
      <c r="A839" s="1">
        <v>793</v>
      </c>
      <c r="B839">
        <v>8</v>
      </c>
      <c r="C839">
        <v>34</v>
      </c>
      <c r="D839">
        <v>4</v>
      </c>
      <c r="E839">
        <v>0</v>
      </c>
      <c r="F839">
        <v>3</v>
      </c>
      <c r="G839">
        <v>8</v>
      </c>
      <c r="H839">
        <v>3</v>
      </c>
      <c r="I839">
        <v>0.01</v>
      </c>
      <c r="J839">
        <v>5</v>
      </c>
      <c r="K839">
        <v>0</v>
      </c>
      <c r="L839" s="4">
        <v>0.61569230054325774</v>
      </c>
      <c r="M839" s="4">
        <v>0.3843076994567422</v>
      </c>
      <c r="N839">
        <v>2</v>
      </c>
    </row>
    <row r="840" spans="1:14" x14ac:dyDescent="0.35">
      <c r="A840" s="1">
        <v>2476</v>
      </c>
      <c r="B840">
        <v>10</v>
      </c>
      <c r="C840">
        <v>39</v>
      </c>
      <c r="D840">
        <v>4</v>
      </c>
      <c r="E840">
        <v>1</v>
      </c>
      <c r="F840">
        <v>1</v>
      </c>
      <c r="G840">
        <v>7</v>
      </c>
      <c r="H840">
        <v>2</v>
      </c>
      <c r="I840">
        <v>0.02</v>
      </c>
      <c r="J840">
        <v>5</v>
      </c>
      <c r="K840">
        <v>0</v>
      </c>
      <c r="L840" s="4">
        <v>0.61629800786492184</v>
      </c>
      <c r="M840" s="4">
        <v>0.38370199213507822</v>
      </c>
      <c r="N840">
        <v>2</v>
      </c>
    </row>
    <row r="841" spans="1:14" x14ac:dyDescent="0.35">
      <c r="A841" s="1">
        <v>4068</v>
      </c>
      <c r="B841">
        <v>11</v>
      </c>
      <c r="C841">
        <v>51</v>
      </c>
      <c r="D841">
        <v>1</v>
      </c>
      <c r="E841">
        <v>0</v>
      </c>
      <c r="F841">
        <v>1</v>
      </c>
      <c r="G841">
        <v>5</v>
      </c>
      <c r="H841">
        <v>0</v>
      </c>
      <c r="I841">
        <v>6000</v>
      </c>
      <c r="J841">
        <v>1</v>
      </c>
      <c r="K841">
        <v>0</v>
      </c>
      <c r="L841" s="4">
        <v>0.61640575567776956</v>
      </c>
      <c r="M841" s="4">
        <v>0.38359424432223038</v>
      </c>
      <c r="N841">
        <v>2</v>
      </c>
    </row>
    <row r="842" spans="1:14" x14ac:dyDescent="0.35">
      <c r="A842" s="1">
        <v>147</v>
      </c>
      <c r="B842">
        <v>12</v>
      </c>
      <c r="C842">
        <v>48</v>
      </c>
      <c r="D842">
        <v>2</v>
      </c>
      <c r="E842">
        <v>1</v>
      </c>
      <c r="F842">
        <v>0</v>
      </c>
      <c r="G842">
        <v>4</v>
      </c>
      <c r="H842">
        <v>3</v>
      </c>
      <c r="I842">
        <v>0.01</v>
      </c>
      <c r="J842">
        <v>5</v>
      </c>
      <c r="K842">
        <v>0</v>
      </c>
      <c r="L842" s="4">
        <v>0.61645016685166321</v>
      </c>
      <c r="M842" s="4">
        <v>0.38354983314833679</v>
      </c>
      <c r="N842">
        <v>2</v>
      </c>
    </row>
    <row r="843" spans="1:14" x14ac:dyDescent="0.35">
      <c r="A843" s="1">
        <v>2428</v>
      </c>
      <c r="B843">
        <v>9</v>
      </c>
      <c r="C843">
        <v>41</v>
      </c>
      <c r="D843">
        <v>0</v>
      </c>
      <c r="E843">
        <v>0</v>
      </c>
      <c r="F843">
        <v>0</v>
      </c>
      <c r="G843">
        <v>11</v>
      </c>
      <c r="H843">
        <v>3</v>
      </c>
      <c r="I843">
        <v>0.01</v>
      </c>
      <c r="J843">
        <v>5</v>
      </c>
      <c r="K843">
        <v>1</v>
      </c>
      <c r="L843" s="4">
        <v>0.61651619890109832</v>
      </c>
      <c r="M843" s="4">
        <v>0.38348380109890168</v>
      </c>
      <c r="N843">
        <v>2</v>
      </c>
    </row>
    <row r="844" spans="1:14" x14ac:dyDescent="0.35">
      <c r="A844" s="1">
        <v>3459</v>
      </c>
      <c r="B844">
        <v>11</v>
      </c>
      <c r="C844">
        <v>47</v>
      </c>
      <c r="D844">
        <v>2</v>
      </c>
      <c r="E844">
        <v>0</v>
      </c>
      <c r="F844">
        <v>3</v>
      </c>
      <c r="G844">
        <v>8</v>
      </c>
      <c r="H844">
        <v>3</v>
      </c>
      <c r="I844">
        <v>0.01</v>
      </c>
      <c r="J844">
        <v>1</v>
      </c>
      <c r="K844">
        <v>0</v>
      </c>
      <c r="L844" s="4">
        <v>0.61655408738960138</v>
      </c>
      <c r="M844" s="4">
        <v>0.38344591261039862</v>
      </c>
      <c r="N844">
        <v>2</v>
      </c>
    </row>
    <row r="845" spans="1:14" x14ac:dyDescent="0.35">
      <c r="A845" s="1">
        <v>4101</v>
      </c>
      <c r="B845">
        <v>12</v>
      </c>
      <c r="C845">
        <v>46</v>
      </c>
      <c r="D845">
        <v>1</v>
      </c>
      <c r="E845">
        <v>2</v>
      </c>
      <c r="F845">
        <v>0</v>
      </c>
      <c r="G845">
        <v>4</v>
      </c>
      <c r="H845">
        <v>0</v>
      </c>
      <c r="I845">
        <v>12000</v>
      </c>
      <c r="J845">
        <v>2</v>
      </c>
      <c r="K845">
        <v>0</v>
      </c>
      <c r="L845" s="4">
        <v>0.61676025378263122</v>
      </c>
      <c r="M845" s="4">
        <v>0.38323974621736878</v>
      </c>
      <c r="N845">
        <v>2</v>
      </c>
    </row>
    <row r="846" spans="1:14" x14ac:dyDescent="0.35">
      <c r="A846" s="1">
        <v>3768</v>
      </c>
      <c r="B846">
        <v>13</v>
      </c>
      <c r="C846">
        <v>55</v>
      </c>
      <c r="D846">
        <v>4</v>
      </c>
      <c r="E846">
        <v>0</v>
      </c>
      <c r="F846">
        <v>1</v>
      </c>
      <c r="G846">
        <v>12</v>
      </c>
      <c r="H846">
        <v>3</v>
      </c>
      <c r="I846">
        <v>0.01</v>
      </c>
      <c r="J846">
        <v>8</v>
      </c>
      <c r="K846">
        <v>0</v>
      </c>
      <c r="L846" s="4">
        <v>0.61718616976381069</v>
      </c>
      <c r="M846" s="4">
        <v>0.38281383023618931</v>
      </c>
      <c r="N846">
        <v>2</v>
      </c>
    </row>
    <row r="847" spans="1:14" x14ac:dyDescent="0.35">
      <c r="A847" s="1">
        <v>2631</v>
      </c>
      <c r="B847">
        <v>8</v>
      </c>
      <c r="C847">
        <v>35</v>
      </c>
      <c r="D847">
        <v>3</v>
      </c>
      <c r="E847">
        <v>0</v>
      </c>
      <c r="F847">
        <v>3</v>
      </c>
      <c r="G847">
        <v>3</v>
      </c>
      <c r="H847">
        <v>3</v>
      </c>
      <c r="I847">
        <v>0.01</v>
      </c>
      <c r="J847">
        <v>5</v>
      </c>
      <c r="K847">
        <v>0</v>
      </c>
      <c r="L847" s="4">
        <v>0.61721115017648909</v>
      </c>
      <c r="M847" s="4">
        <v>0.38278884982351091</v>
      </c>
      <c r="N847">
        <v>2</v>
      </c>
    </row>
    <row r="848" spans="1:14" x14ac:dyDescent="0.35">
      <c r="A848" s="1">
        <v>2817</v>
      </c>
      <c r="B848">
        <v>8</v>
      </c>
      <c r="C848">
        <v>37</v>
      </c>
      <c r="D848">
        <v>3</v>
      </c>
      <c r="E848">
        <v>0</v>
      </c>
      <c r="F848">
        <v>0</v>
      </c>
      <c r="G848">
        <v>4</v>
      </c>
      <c r="H848">
        <v>2</v>
      </c>
      <c r="I848">
        <v>600</v>
      </c>
      <c r="J848">
        <v>1</v>
      </c>
      <c r="K848">
        <v>1</v>
      </c>
      <c r="L848" s="4">
        <v>0.61738235105793615</v>
      </c>
      <c r="M848" s="4">
        <v>0.38261764894206379</v>
      </c>
      <c r="N848">
        <v>2</v>
      </c>
    </row>
    <row r="849" spans="1:14" x14ac:dyDescent="0.35">
      <c r="A849" s="1">
        <v>1212</v>
      </c>
      <c r="B849">
        <v>10</v>
      </c>
      <c r="C849">
        <v>46</v>
      </c>
      <c r="D849">
        <v>2</v>
      </c>
      <c r="E849">
        <v>0</v>
      </c>
      <c r="F849">
        <v>0</v>
      </c>
      <c r="G849">
        <v>2</v>
      </c>
      <c r="H849">
        <v>2</v>
      </c>
      <c r="I849">
        <v>4884.26</v>
      </c>
      <c r="J849">
        <v>8</v>
      </c>
      <c r="K849">
        <v>0</v>
      </c>
      <c r="L849" s="4">
        <v>0.61760681668909012</v>
      </c>
      <c r="M849" s="4">
        <v>0.38239318331090988</v>
      </c>
      <c r="N849">
        <v>2</v>
      </c>
    </row>
    <row r="850" spans="1:14" x14ac:dyDescent="0.35">
      <c r="A850" s="1">
        <v>923</v>
      </c>
      <c r="B850">
        <v>9</v>
      </c>
      <c r="C850">
        <v>36</v>
      </c>
      <c r="D850">
        <v>2</v>
      </c>
      <c r="E850">
        <v>1</v>
      </c>
      <c r="F850">
        <v>1</v>
      </c>
      <c r="G850">
        <v>7</v>
      </c>
      <c r="H850">
        <v>2</v>
      </c>
      <c r="I850">
        <v>2600</v>
      </c>
      <c r="J850">
        <v>5</v>
      </c>
      <c r="K850">
        <v>1</v>
      </c>
      <c r="L850" s="4">
        <v>0.61781059864800825</v>
      </c>
      <c r="M850" s="4">
        <v>0.38218940135199181</v>
      </c>
      <c r="N850">
        <v>2</v>
      </c>
    </row>
    <row r="851" spans="1:14" x14ac:dyDescent="0.35">
      <c r="A851" s="1">
        <v>3847</v>
      </c>
      <c r="B851">
        <v>15</v>
      </c>
      <c r="C851">
        <v>65</v>
      </c>
      <c r="D851">
        <v>1</v>
      </c>
      <c r="E851">
        <v>0</v>
      </c>
      <c r="F851">
        <v>0</v>
      </c>
      <c r="G851">
        <v>11</v>
      </c>
      <c r="H851">
        <v>3</v>
      </c>
      <c r="I851">
        <v>0.01</v>
      </c>
      <c r="J851">
        <v>7</v>
      </c>
      <c r="K851">
        <v>1</v>
      </c>
      <c r="L851" s="4">
        <v>0.6178397591708169</v>
      </c>
      <c r="M851" s="4">
        <v>0.38216024082918321</v>
      </c>
      <c r="N851">
        <v>2</v>
      </c>
    </row>
    <row r="852" spans="1:14" x14ac:dyDescent="0.35">
      <c r="A852" s="1">
        <v>3888</v>
      </c>
      <c r="B852">
        <v>13</v>
      </c>
      <c r="C852">
        <v>50</v>
      </c>
      <c r="D852">
        <v>4</v>
      </c>
      <c r="E852">
        <v>1</v>
      </c>
      <c r="F852">
        <v>3</v>
      </c>
      <c r="G852">
        <v>3</v>
      </c>
      <c r="H852">
        <v>3</v>
      </c>
      <c r="I852">
        <v>0.01</v>
      </c>
      <c r="J852">
        <v>7</v>
      </c>
      <c r="K852">
        <v>0</v>
      </c>
      <c r="L852" s="4">
        <v>0.61797417922488274</v>
      </c>
      <c r="M852" s="4">
        <v>0.38202582077511732</v>
      </c>
      <c r="N852">
        <v>2</v>
      </c>
    </row>
    <row r="853" spans="1:14" x14ac:dyDescent="0.35">
      <c r="A853" s="1">
        <v>544</v>
      </c>
      <c r="B853">
        <v>14</v>
      </c>
      <c r="C853">
        <v>61</v>
      </c>
      <c r="D853">
        <v>4</v>
      </c>
      <c r="E853">
        <v>0</v>
      </c>
      <c r="F853">
        <v>0</v>
      </c>
      <c r="G853">
        <v>4</v>
      </c>
      <c r="H853">
        <v>2</v>
      </c>
      <c r="I853">
        <v>4000</v>
      </c>
      <c r="J853">
        <v>1</v>
      </c>
      <c r="K853">
        <v>1</v>
      </c>
      <c r="L853" s="4">
        <v>0.61801848596548692</v>
      </c>
      <c r="M853" s="4">
        <v>0.38198151403451308</v>
      </c>
      <c r="N853">
        <v>2</v>
      </c>
    </row>
    <row r="854" spans="1:14" x14ac:dyDescent="0.35">
      <c r="A854" s="1">
        <v>1932</v>
      </c>
      <c r="B854">
        <v>8</v>
      </c>
      <c r="C854">
        <v>36</v>
      </c>
      <c r="D854">
        <v>1</v>
      </c>
      <c r="E854">
        <v>0</v>
      </c>
      <c r="F854">
        <v>3</v>
      </c>
      <c r="G854">
        <v>3</v>
      </c>
      <c r="H854">
        <v>3</v>
      </c>
      <c r="I854">
        <v>0.01</v>
      </c>
      <c r="J854">
        <v>8</v>
      </c>
      <c r="K854">
        <v>1</v>
      </c>
      <c r="L854" s="4">
        <v>0.61808811929141827</v>
      </c>
      <c r="M854" s="4">
        <v>0.38191188070858167</v>
      </c>
      <c r="N854">
        <v>2</v>
      </c>
    </row>
    <row r="855" spans="1:14" x14ac:dyDescent="0.35">
      <c r="A855" s="1">
        <v>1315</v>
      </c>
      <c r="B855">
        <v>13</v>
      </c>
      <c r="C855">
        <v>48</v>
      </c>
      <c r="D855">
        <v>5</v>
      </c>
      <c r="E855">
        <v>2</v>
      </c>
      <c r="F855">
        <v>0</v>
      </c>
      <c r="G855">
        <v>4</v>
      </c>
      <c r="H855">
        <v>1</v>
      </c>
      <c r="I855">
        <v>24000</v>
      </c>
      <c r="J855">
        <v>2</v>
      </c>
      <c r="K855">
        <v>0</v>
      </c>
      <c r="L855" s="4">
        <v>0.61829957560091553</v>
      </c>
      <c r="M855" s="4">
        <v>0.38170042439908453</v>
      </c>
      <c r="N855">
        <v>2</v>
      </c>
    </row>
    <row r="856" spans="1:14" x14ac:dyDescent="0.35">
      <c r="A856" s="1">
        <v>105</v>
      </c>
      <c r="B856">
        <v>14</v>
      </c>
      <c r="C856">
        <v>55</v>
      </c>
      <c r="D856">
        <v>2</v>
      </c>
      <c r="E856">
        <v>1</v>
      </c>
      <c r="F856">
        <v>3</v>
      </c>
      <c r="G856">
        <v>3</v>
      </c>
      <c r="H856">
        <v>3</v>
      </c>
      <c r="I856">
        <v>0.01</v>
      </c>
      <c r="J856">
        <v>8</v>
      </c>
      <c r="K856">
        <v>1</v>
      </c>
      <c r="L856" s="4">
        <v>0.61874394879779149</v>
      </c>
      <c r="M856" s="4">
        <v>0.38125605120220851</v>
      </c>
      <c r="N856">
        <v>2</v>
      </c>
    </row>
    <row r="857" spans="1:14" x14ac:dyDescent="0.35">
      <c r="A857" s="1">
        <v>1456</v>
      </c>
      <c r="B857">
        <v>12</v>
      </c>
      <c r="C857">
        <v>51</v>
      </c>
      <c r="D857">
        <v>4</v>
      </c>
      <c r="E857">
        <v>0</v>
      </c>
      <c r="F857">
        <v>1</v>
      </c>
      <c r="G857">
        <v>12</v>
      </c>
      <c r="H857">
        <v>3</v>
      </c>
      <c r="I857">
        <v>0.01</v>
      </c>
      <c r="J857">
        <v>5</v>
      </c>
      <c r="K857">
        <v>0</v>
      </c>
      <c r="L857" s="4">
        <v>0.61880964699456253</v>
      </c>
      <c r="M857" s="4">
        <v>0.38119035300543752</v>
      </c>
      <c r="N857">
        <v>2</v>
      </c>
    </row>
    <row r="858" spans="1:14" x14ac:dyDescent="0.35">
      <c r="A858" s="1">
        <v>3005</v>
      </c>
      <c r="B858">
        <v>11</v>
      </c>
      <c r="C858">
        <v>51</v>
      </c>
      <c r="D858">
        <v>2</v>
      </c>
      <c r="E858">
        <v>0</v>
      </c>
      <c r="F858">
        <v>1</v>
      </c>
      <c r="G858">
        <v>7</v>
      </c>
      <c r="H858">
        <v>0</v>
      </c>
      <c r="I858">
        <v>17105.32</v>
      </c>
      <c r="J858">
        <v>8</v>
      </c>
      <c r="K858">
        <v>1</v>
      </c>
      <c r="L858" s="4">
        <v>0.61886008994746378</v>
      </c>
      <c r="M858" s="4">
        <v>0.38113991005253622</v>
      </c>
      <c r="N858">
        <v>2</v>
      </c>
    </row>
    <row r="859" spans="1:14" x14ac:dyDescent="0.35">
      <c r="A859" s="1">
        <v>3211</v>
      </c>
      <c r="B859">
        <v>8</v>
      </c>
      <c r="C859">
        <v>38</v>
      </c>
      <c r="D859">
        <v>2</v>
      </c>
      <c r="E859">
        <v>0</v>
      </c>
      <c r="F859">
        <v>3</v>
      </c>
      <c r="G859">
        <v>3</v>
      </c>
      <c r="H859">
        <v>0</v>
      </c>
      <c r="I859">
        <v>6000.01</v>
      </c>
      <c r="J859">
        <v>9</v>
      </c>
      <c r="K859">
        <v>1</v>
      </c>
      <c r="L859" s="4">
        <v>0.61895242925155092</v>
      </c>
      <c r="M859" s="4">
        <v>0.38104757074844908</v>
      </c>
      <c r="N859">
        <v>2</v>
      </c>
    </row>
    <row r="860" spans="1:14" x14ac:dyDescent="0.35">
      <c r="A860" s="1">
        <v>3793</v>
      </c>
      <c r="B860">
        <v>9</v>
      </c>
      <c r="C860">
        <v>41</v>
      </c>
      <c r="D860">
        <v>3</v>
      </c>
      <c r="E860">
        <v>0</v>
      </c>
      <c r="F860">
        <v>3</v>
      </c>
      <c r="G860">
        <v>8</v>
      </c>
      <c r="H860">
        <v>0</v>
      </c>
      <c r="I860">
        <v>6000</v>
      </c>
      <c r="J860">
        <v>1</v>
      </c>
      <c r="K860">
        <v>0</v>
      </c>
      <c r="L860" s="4">
        <v>0.61914932092983532</v>
      </c>
      <c r="M860" s="4">
        <v>0.38085067907016468</v>
      </c>
      <c r="N860">
        <v>2</v>
      </c>
    </row>
    <row r="861" spans="1:14" x14ac:dyDescent="0.35">
      <c r="A861" s="1">
        <v>1080</v>
      </c>
      <c r="B861">
        <v>9</v>
      </c>
      <c r="C861">
        <v>39</v>
      </c>
      <c r="D861">
        <v>5</v>
      </c>
      <c r="E861">
        <v>0</v>
      </c>
      <c r="F861">
        <v>0</v>
      </c>
      <c r="G861">
        <v>11</v>
      </c>
      <c r="H861">
        <v>3</v>
      </c>
      <c r="I861">
        <v>0.01</v>
      </c>
      <c r="J861">
        <v>4</v>
      </c>
      <c r="K861">
        <v>1</v>
      </c>
      <c r="L861" s="4">
        <v>0.61945542654612518</v>
      </c>
      <c r="M861" s="4">
        <v>0.38054457345387482</v>
      </c>
      <c r="N861">
        <v>2</v>
      </c>
    </row>
    <row r="862" spans="1:14" x14ac:dyDescent="0.35">
      <c r="A862" s="1">
        <v>1644</v>
      </c>
      <c r="B862">
        <v>11</v>
      </c>
      <c r="C862">
        <v>48</v>
      </c>
      <c r="D862">
        <v>1</v>
      </c>
      <c r="E862">
        <v>0</v>
      </c>
      <c r="F862">
        <v>4</v>
      </c>
      <c r="G862">
        <v>9</v>
      </c>
      <c r="H862">
        <v>2</v>
      </c>
      <c r="I862">
        <v>500.01</v>
      </c>
      <c r="J862">
        <v>9</v>
      </c>
      <c r="K862">
        <v>0</v>
      </c>
      <c r="L862" s="4">
        <v>0.61954921059864032</v>
      </c>
      <c r="M862" s="4">
        <v>0.38045078940135968</v>
      </c>
      <c r="N862">
        <v>2</v>
      </c>
    </row>
    <row r="863" spans="1:14" x14ac:dyDescent="0.35">
      <c r="A863" s="1">
        <v>1604</v>
      </c>
      <c r="B863">
        <v>8</v>
      </c>
      <c r="C863">
        <v>37</v>
      </c>
      <c r="D863">
        <v>2</v>
      </c>
      <c r="E863">
        <v>0</v>
      </c>
      <c r="F863">
        <v>1</v>
      </c>
      <c r="G863">
        <v>7</v>
      </c>
      <c r="H863">
        <v>2</v>
      </c>
      <c r="I863">
        <v>480.01</v>
      </c>
      <c r="J863">
        <v>5</v>
      </c>
      <c r="K863">
        <v>0</v>
      </c>
      <c r="L863" s="4">
        <v>0.62060007842608678</v>
      </c>
      <c r="M863" s="4">
        <v>0.37939992157391328</v>
      </c>
      <c r="N863">
        <v>2</v>
      </c>
    </row>
    <row r="864" spans="1:14" x14ac:dyDescent="0.35">
      <c r="A864" s="1">
        <v>1834</v>
      </c>
      <c r="B864">
        <v>15</v>
      </c>
      <c r="C864">
        <v>68</v>
      </c>
      <c r="D864">
        <v>1</v>
      </c>
      <c r="E864">
        <v>0</v>
      </c>
      <c r="F864">
        <v>0</v>
      </c>
      <c r="G864">
        <v>11</v>
      </c>
      <c r="H864">
        <v>0</v>
      </c>
      <c r="I864">
        <v>7500</v>
      </c>
      <c r="J864">
        <v>26</v>
      </c>
      <c r="K864">
        <v>0</v>
      </c>
      <c r="L864" s="4">
        <v>0.62066585435137667</v>
      </c>
      <c r="M864" s="4">
        <v>0.37933414564862328</v>
      </c>
      <c r="N864">
        <v>2</v>
      </c>
    </row>
    <row r="865" spans="1:14" x14ac:dyDescent="0.35">
      <c r="A865" s="1">
        <v>1408</v>
      </c>
      <c r="B865">
        <v>11</v>
      </c>
      <c r="C865">
        <v>51</v>
      </c>
      <c r="D865">
        <v>0</v>
      </c>
      <c r="E865">
        <v>0</v>
      </c>
      <c r="F865">
        <v>3</v>
      </c>
      <c r="G865">
        <v>3</v>
      </c>
      <c r="H865">
        <v>0</v>
      </c>
      <c r="I865">
        <v>6000</v>
      </c>
      <c r="J865">
        <v>1</v>
      </c>
      <c r="K865">
        <v>0</v>
      </c>
      <c r="L865" s="4">
        <v>0.62102194867276506</v>
      </c>
      <c r="M865" s="4">
        <v>0.378978051327235</v>
      </c>
      <c r="N865">
        <v>2</v>
      </c>
    </row>
    <row r="866" spans="1:14" x14ac:dyDescent="0.35">
      <c r="A866" s="1">
        <v>4119</v>
      </c>
      <c r="B866">
        <v>12</v>
      </c>
      <c r="C866">
        <v>54</v>
      </c>
      <c r="D866">
        <v>2</v>
      </c>
      <c r="E866">
        <v>0</v>
      </c>
      <c r="F866">
        <v>0</v>
      </c>
      <c r="G866">
        <v>4</v>
      </c>
      <c r="H866">
        <v>2</v>
      </c>
      <c r="I866">
        <v>3000</v>
      </c>
      <c r="J866">
        <v>1</v>
      </c>
      <c r="K866">
        <v>0</v>
      </c>
      <c r="L866" s="4">
        <v>0.62160577938926376</v>
      </c>
      <c r="M866" s="4">
        <v>0.37839422061073619</v>
      </c>
      <c r="N866">
        <v>2</v>
      </c>
    </row>
    <row r="867" spans="1:14" x14ac:dyDescent="0.35">
      <c r="A867" s="1">
        <v>2692</v>
      </c>
      <c r="B867">
        <v>12</v>
      </c>
      <c r="C867">
        <v>53</v>
      </c>
      <c r="D867">
        <v>3</v>
      </c>
      <c r="E867">
        <v>0</v>
      </c>
      <c r="F867">
        <v>0</v>
      </c>
      <c r="G867">
        <v>2</v>
      </c>
      <c r="H867">
        <v>3</v>
      </c>
      <c r="I867">
        <v>0.01</v>
      </c>
      <c r="J867">
        <v>4</v>
      </c>
      <c r="K867">
        <v>1</v>
      </c>
      <c r="L867" s="4">
        <v>0.62163867527092098</v>
      </c>
      <c r="M867" s="4">
        <v>0.37836132472907902</v>
      </c>
      <c r="N867">
        <v>2</v>
      </c>
    </row>
    <row r="868" spans="1:14" x14ac:dyDescent="0.35">
      <c r="A868" s="1">
        <v>827</v>
      </c>
      <c r="B868">
        <v>8</v>
      </c>
      <c r="C868">
        <v>39</v>
      </c>
      <c r="D868">
        <v>3</v>
      </c>
      <c r="E868">
        <v>0</v>
      </c>
      <c r="F868">
        <v>0</v>
      </c>
      <c r="G868">
        <v>4</v>
      </c>
      <c r="H868">
        <v>0</v>
      </c>
      <c r="I868">
        <v>6200</v>
      </c>
      <c r="J868">
        <v>4</v>
      </c>
      <c r="K868">
        <v>0</v>
      </c>
      <c r="L868" s="4">
        <v>0.62196538458433404</v>
      </c>
      <c r="M868" s="4">
        <v>0.37803461541566602</v>
      </c>
      <c r="N868">
        <v>2</v>
      </c>
    </row>
    <row r="869" spans="1:14" x14ac:dyDescent="0.35">
      <c r="A869" s="1">
        <v>159</v>
      </c>
      <c r="B869">
        <v>8</v>
      </c>
      <c r="C869">
        <v>40</v>
      </c>
      <c r="D869">
        <v>1</v>
      </c>
      <c r="E869">
        <v>0</v>
      </c>
      <c r="F869">
        <v>0</v>
      </c>
      <c r="G869">
        <v>2</v>
      </c>
      <c r="H869">
        <v>0</v>
      </c>
      <c r="I869">
        <v>6000</v>
      </c>
      <c r="J869">
        <v>1</v>
      </c>
      <c r="K869">
        <v>1</v>
      </c>
      <c r="L869" s="4">
        <v>0.62214575048448129</v>
      </c>
      <c r="M869" s="4">
        <v>0.37785424951551871</v>
      </c>
      <c r="N869">
        <v>2</v>
      </c>
    </row>
    <row r="870" spans="1:14" x14ac:dyDescent="0.35">
      <c r="A870" s="1">
        <v>1011</v>
      </c>
      <c r="B870">
        <v>11</v>
      </c>
      <c r="C870">
        <v>50</v>
      </c>
      <c r="D870">
        <v>1</v>
      </c>
      <c r="E870">
        <v>0</v>
      </c>
      <c r="F870">
        <v>1</v>
      </c>
      <c r="G870">
        <v>5</v>
      </c>
      <c r="H870">
        <v>2</v>
      </c>
      <c r="I870">
        <v>1220</v>
      </c>
      <c r="J870">
        <v>9</v>
      </c>
      <c r="K870">
        <v>0</v>
      </c>
      <c r="L870" s="4">
        <v>0.62236308961052855</v>
      </c>
      <c r="M870" s="4">
        <v>0.37763691038947139</v>
      </c>
      <c r="N870">
        <v>2</v>
      </c>
    </row>
    <row r="871" spans="1:14" x14ac:dyDescent="0.35">
      <c r="A871" s="1">
        <v>709</v>
      </c>
      <c r="B871">
        <v>15</v>
      </c>
      <c r="C871">
        <v>68</v>
      </c>
      <c r="D871">
        <v>2</v>
      </c>
      <c r="E871">
        <v>0</v>
      </c>
      <c r="F871">
        <v>0</v>
      </c>
      <c r="G871">
        <v>4</v>
      </c>
      <c r="H871">
        <v>0</v>
      </c>
      <c r="I871">
        <v>9600</v>
      </c>
      <c r="J871">
        <v>8</v>
      </c>
      <c r="K871">
        <v>0</v>
      </c>
      <c r="L871" s="4">
        <v>0.62245913488705662</v>
      </c>
      <c r="M871" s="4">
        <v>0.37754086511294338</v>
      </c>
      <c r="N871">
        <v>2</v>
      </c>
    </row>
    <row r="872" spans="1:14" x14ac:dyDescent="0.35">
      <c r="A872" s="1">
        <v>3227</v>
      </c>
      <c r="B872">
        <v>10</v>
      </c>
      <c r="C872">
        <v>39</v>
      </c>
      <c r="D872">
        <v>2</v>
      </c>
      <c r="E872">
        <v>1</v>
      </c>
      <c r="F872">
        <v>3</v>
      </c>
      <c r="G872">
        <v>3</v>
      </c>
      <c r="H872">
        <v>3</v>
      </c>
      <c r="I872">
        <v>0.01</v>
      </c>
      <c r="J872">
        <v>5</v>
      </c>
      <c r="K872">
        <v>0</v>
      </c>
      <c r="L872" s="4">
        <v>0.62249751159750799</v>
      </c>
      <c r="M872" s="4">
        <v>0.37750248840249212</v>
      </c>
      <c r="N872">
        <v>2</v>
      </c>
    </row>
    <row r="873" spans="1:14" x14ac:dyDescent="0.35">
      <c r="A873" s="1">
        <v>979</v>
      </c>
      <c r="B873">
        <v>14</v>
      </c>
      <c r="C873">
        <v>63</v>
      </c>
      <c r="D873">
        <v>0</v>
      </c>
      <c r="E873">
        <v>0</v>
      </c>
      <c r="F873">
        <v>0</v>
      </c>
      <c r="G873">
        <v>4</v>
      </c>
      <c r="H873">
        <v>2</v>
      </c>
      <c r="I873">
        <v>1200</v>
      </c>
      <c r="J873">
        <v>1</v>
      </c>
      <c r="K873">
        <v>1</v>
      </c>
      <c r="L873" s="4">
        <v>0.62264612911997919</v>
      </c>
      <c r="M873" s="4">
        <v>0.37735387088002081</v>
      </c>
      <c r="N873">
        <v>2</v>
      </c>
    </row>
    <row r="874" spans="1:14" x14ac:dyDescent="0.35">
      <c r="A874" s="1">
        <v>2163</v>
      </c>
      <c r="B874">
        <v>12</v>
      </c>
      <c r="C874">
        <v>48</v>
      </c>
      <c r="D874">
        <v>3</v>
      </c>
      <c r="E874">
        <v>1</v>
      </c>
      <c r="F874">
        <v>0</v>
      </c>
      <c r="G874">
        <v>4</v>
      </c>
      <c r="H874">
        <v>3</v>
      </c>
      <c r="I874">
        <v>0.01</v>
      </c>
      <c r="J874">
        <v>5</v>
      </c>
      <c r="K874">
        <v>0</v>
      </c>
      <c r="L874" s="4">
        <v>0.62264975992021787</v>
      </c>
      <c r="M874" s="4">
        <v>0.37735024007978207</v>
      </c>
      <c r="N874">
        <v>2</v>
      </c>
    </row>
    <row r="875" spans="1:14" x14ac:dyDescent="0.35">
      <c r="A875" s="1">
        <v>1342</v>
      </c>
      <c r="B875">
        <v>9</v>
      </c>
      <c r="C875">
        <v>39</v>
      </c>
      <c r="D875">
        <v>3</v>
      </c>
      <c r="E875">
        <v>0</v>
      </c>
      <c r="F875">
        <v>3</v>
      </c>
      <c r="G875">
        <v>8</v>
      </c>
      <c r="H875">
        <v>3</v>
      </c>
      <c r="I875">
        <v>0.01</v>
      </c>
      <c r="J875">
        <v>5</v>
      </c>
      <c r="K875">
        <v>0</v>
      </c>
      <c r="L875" s="4">
        <v>0.62296520396682864</v>
      </c>
      <c r="M875" s="4">
        <v>0.37703479603317142</v>
      </c>
      <c r="N875">
        <v>2</v>
      </c>
    </row>
    <row r="876" spans="1:14" x14ac:dyDescent="0.35">
      <c r="A876" s="1">
        <v>3883</v>
      </c>
      <c r="B876">
        <v>10</v>
      </c>
      <c r="C876">
        <v>35</v>
      </c>
      <c r="D876">
        <v>0</v>
      </c>
      <c r="E876">
        <v>2</v>
      </c>
      <c r="F876">
        <v>3</v>
      </c>
      <c r="G876">
        <v>3</v>
      </c>
      <c r="H876">
        <v>3</v>
      </c>
      <c r="I876">
        <v>0.01</v>
      </c>
      <c r="J876">
        <v>4</v>
      </c>
      <c r="K876">
        <v>0</v>
      </c>
      <c r="L876" s="4">
        <v>0.62331045399331386</v>
      </c>
      <c r="M876" s="4">
        <v>0.37668954600668608</v>
      </c>
      <c r="N876">
        <v>2</v>
      </c>
    </row>
    <row r="877" spans="1:14" x14ac:dyDescent="0.35">
      <c r="A877" s="1">
        <v>2195</v>
      </c>
      <c r="B877">
        <v>8</v>
      </c>
      <c r="C877">
        <v>35</v>
      </c>
      <c r="D877">
        <v>3</v>
      </c>
      <c r="E877">
        <v>0</v>
      </c>
      <c r="F877">
        <v>3</v>
      </c>
      <c r="G877">
        <v>8</v>
      </c>
      <c r="H877">
        <v>3</v>
      </c>
      <c r="I877">
        <v>0.01</v>
      </c>
      <c r="J877">
        <v>5</v>
      </c>
      <c r="K877">
        <v>1</v>
      </c>
      <c r="L877" s="4">
        <v>0.62367468448092767</v>
      </c>
      <c r="M877" s="4">
        <v>0.37632531551907228</v>
      </c>
      <c r="N877">
        <v>2</v>
      </c>
    </row>
    <row r="878" spans="1:14" x14ac:dyDescent="0.35">
      <c r="A878" s="1">
        <v>510</v>
      </c>
      <c r="B878">
        <v>12</v>
      </c>
      <c r="C878">
        <v>53</v>
      </c>
      <c r="D878">
        <v>2</v>
      </c>
      <c r="E878">
        <v>0</v>
      </c>
      <c r="F878">
        <v>1</v>
      </c>
      <c r="G878">
        <v>5</v>
      </c>
      <c r="H878">
        <v>3</v>
      </c>
      <c r="I878">
        <v>0.01</v>
      </c>
      <c r="J878">
        <v>11</v>
      </c>
      <c r="K878">
        <v>1</v>
      </c>
      <c r="L878" s="4">
        <v>0.62389285037414621</v>
      </c>
      <c r="M878" s="4">
        <v>0.37610714962585379</v>
      </c>
      <c r="N878">
        <v>2</v>
      </c>
    </row>
    <row r="879" spans="1:14" x14ac:dyDescent="0.35">
      <c r="A879" s="1">
        <v>518</v>
      </c>
      <c r="B879">
        <v>8</v>
      </c>
      <c r="C879">
        <v>37</v>
      </c>
      <c r="D879">
        <v>1</v>
      </c>
      <c r="E879">
        <v>0</v>
      </c>
      <c r="F879">
        <v>3</v>
      </c>
      <c r="G879">
        <v>3</v>
      </c>
      <c r="H879">
        <v>2</v>
      </c>
      <c r="I879">
        <v>100</v>
      </c>
      <c r="J879">
        <v>1</v>
      </c>
      <c r="K879">
        <v>1</v>
      </c>
      <c r="L879" s="4">
        <v>0.62397101324881121</v>
      </c>
      <c r="M879" s="4">
        <v>0.37602898675118868</v>
      </c>
      <c r="N879">
        <v>2</v>
      </c>
    </row>
    <row r="880" spans="1:14" x14ac:dyDescent="0.35">
      <c r="A880" s="1">
        <v>4202</v>
      </c>
      <c r="B880">
        <v>8</v>
      </c>
      <c r="C880">
        <v>36</v>
      </c>
      <c r="D880">
        <v>2</v>
      </c>
      <c r="E880">
        <v>0</v>
      </c>
      <c r="F880">
        <v>3</v>
      </c>
      <c r="G880">
        <v>3</v>
      </c>
      <c r="H880">
        <v>3</v>
      </c>
      <c r="I880">
        <v>0.01</v>
      </c>
      <c r="J880">
        <v>9</v>
      </c>
      <c r="K880">
        <v>0</v>
      </c>
      <c r="L880" s="4">
        <v>0.62397590795375213</v>
      </c>
      <c r="M880" s="4">
        <v>0.37602409204624793</v>
      </c>
      <c r="N880">
        <v>2</v>
      </c>
    </row>
    <row r="881" spans="1:14" x14ac:dyDescent="0.35">
      <c r="A881" s="1">
        <v>3019</v>
      </c>
      <c r="B881">
        <v>8</v>
      </c>
      <c r="C881">
        <v>36</v>
      </c>
      <c r="D881">
        <v>5</v>
      </c>
      <c r="E881">
        <v>0</v>
      </c>
      <c r="F881">
        <v>0</v>
      </c>
      <c r="G881">
        <v>4</v>
      </c>
      <c r="H881">
        <v>3</v>
      </c>
      <c r="I881">
        <v>0.01</v>
      </c>
      <c r="J881">
        <v>8</v>
      </c>
      <c r="K881">
        <v>1</v>
      </c>
      <c r="L881" s="4">
        <v>0.62407158805805663</v>
      </c>
      <c r="M881" s="4">
        <v>0.37592841194194337</v>
      </c>
      <c r="N881">
        <v>2</v>
      </c>
    </row>
    <row r="882" spans="1:14" x14ac:dyDescent="0.35">
      <c r="A882" s="1">
        <v>1178</v>
      </c>
      <c r="B882">
        <v>12</v>
      </c>
      <c r="C882">
        <v>54</v>
      </c>
      <c r="D882">
        <v>0</v>
      </c>
      <c r="E882">
        <v>0</v>
      </c>
      <c r="F882">
        <v>1</v>
      </c>
      <c r="G882">
        <v>12</v>
      </c>
      <c r="H882">
        <v>2</v>
      </c>
      <c r="I882">
        <v>3000</v>
      </c>
      <c r="J882">
        <v>8</v>
      </c>
      <c r="K882">
        <v>0</v>
      </c>
      <c r="L882" s="4">
        <v>0.62412863043427003</v>
      </c>
      <c r="M882" s="4">
        <v>0.37587136956572997</v>
      </c>
      <c r="N882">
        <v>2</v>
      </c>
    </row>
    <row r="883" spans="1:14" x14ac:dyDescent="0.35">
      <c r="A883" s="1">
        <v>970</v>
      </c>
      <c r="B883">
        <v>9</v>
      </c>
      <c r="C883">
        <v>41</v>
      </c>
      <c r="D883">
        <v>3</v>
      </c>
      <c r="E883">
        <v>0</v>
      </c>
      <c r="F883">
        <v>1</v>
      </c>
      <c r="G883">
        <v>5</v>
      </c>
      <c r="H883">
        <v>2</v>
      </c>
      <c r="I883">
        <v>500</v>
      </c>
      <c r="J883">
        <v>2</v>
      </c>
      <c r="K883">
        <v>1</v>
      </c>
      <c r="L883" s="4">
        <v>0.62438930171335749</v>
      </c>
      <c r="M883" s="4">
        <v>0.37561069828664262</v>
      </c>
      <c r="N883">
        <v>2</v>
      </c>
    </row>
    <row r="884" spans="1:14" x14ac:dyDescent="0.35">
      <c r="A884" s="1">
        <v>892</v>
      </c>
      <c r="B884">
        <v>7</v>
      </c>
      <c r="C884">
        <v>31</v>
      </c>
      <c r="D884">
        <v>4</v>
      </c>
      <c r="E884">
        <v>0</v>
      </c>
      <c r="F884">
        <v>3</v>
      </c>
      <c r="G884">
        <v>3</v>
      </c>
      <c r="H884">
        <v>3</v>
      </c>
      <c r="I884">
        <v>0.01</v>
      </c>
      <c r="J884">
        <v>4</v>
      </c>
      <c r="K884">
        <v>1</v>
      </c>
      <c r="L884" s="4">
        <v>0.62441653001885644</v>
      </c>
      <c r="M884" s="4">
        <v>0.37558346998114361</v>
      </c>
      <c r="N884">
        <v>2</v>
      </c>
    </row>
    <row r="885" spans="1:14" x14ac:dyDescent="0.35">
      <c r="A885" s="1">
        <v>3567</v>
      </c>
      <c r="B885">
        <v>9</v>
      </c>
      <c r="C885">
        <v>40</v>
      </c>
      <c r="D885">
        <v>2</v>
      </c>
      <c r="E885">
        <v>0</v>
      </c>
      <c r="F885">
        <v>3</v>
      </c>
      <c r="G885">
        <v>3</v>
      </c>
      <c r="H885">
        <v>3</v>
      </c>
      <c r="I885">
        <v>0.01</v>
      </c>
      <c r="J885">
        <v>5</v>
      </c>
      <c r="K885">
        <v>0</v>
      </c>
      <c r="L885" s="4">
        <v>0.62447284142767034</v>
      </c>
      <c r="M885" s="4">
        <v>0.37552715857232971</v>
      </c>
      <c r="N885">
        <v>2</v>
      </c>
    </row>
    <row r="886" spans="1:14" x14ac:dyDescent="0.35">
      <c r="A886" s="1">
        <v>2088</v>
      </c>
      <c r="B886">
        <v>10</v>
      </c>
      <c r="C886">
        <v>33</v>
      </c>
      <c r="D886">
        <v>5</v>
      </c>
      <c r="E886">
        <v>2</v>
      </c>
      <c r="F886">
        <v>3</v>
      </c>
      <c r="G886">
        <v>3</v>
      </c>
      <c r="H886">
        <v>3</v>
      </c>
      <c r="I886">
        <v>0.01</v>
      </c>
      <c r="J886">
        <v>7</v>
      </c>
      <c r="K886">
        <v>0</v>
      </c>
      <c r="L886" s="4">
        <v>0.62502524260095615</v>
      </c>
      <c r="M886" s="4">
        <v>0.37497475739904379</v>
      </c>
      <c r="N886">
        <v>2</v>
      </c>
    </row>
    <row r="887" spans="1:14" x14ac:dyDescent="0.35">
      <c r="A887" s="1">
        <v>621</v>
      </c>
      <c r="B887">
        <v>8</v>
      </c>
      <c r="C887">
        <v>36</v>
      </c>
      <c r="D887">
        <v>2</v>
      </c>
      <c r="E887">
        <v>0</v>
      </c>
      <c r="F887">
        <v>3</v>
      </c>
      <c r="G887">
        <v>3</v>
      </c>
      <c r="H887">
        <v>3</v>
      </c>
      <c r="I887">
        <v>0.01</v>
      </c>
      <c r="J887">
        <v>5</v>
      </c>
      <c r="K887">
        <v>0</v>
      </c>
      <c r="L887" s="4">
        <v>0.62518119188531096</v>
      </c>
      <c r="M887" s="4">
        <v>0.37481880811468909</v>
      </c>
      <c r="N887">
        <v>2</v>
      </c>
    </row>
    <row r="888" spans="1:14" x14ac:dyDescent="0.35">
      <c r="A888" s="1">
        <v>2757</v>
      </c>
      <c r="B888">
        <v>8</v>
      </c>
      <c r="C888">
        <v>36</v>
      </c>
      <c r="D888">
        <v>2</v>
      </c>
      <c r="E888">
        <v>0</v>
      </c>
      <c r="F888">
        <v>3</v>
      </c>
      <c r="G888">
        <v>3</v>
      </c>
      <c r="H888">
        <v>3</v>
      </c>
      <c r="I888">
        <v>0.01</v>
      </c>
      <c r="J888">
        <v>5</v>
      </c>
      <c r="K888">
        <v>1</v>
      </c>
      <c r="L888" s="4">
        <v>0.62518119188531096</v>
      </c>
      <c r="M888" s="4">
        <v>0.37481880811468909</v>
      </c>
      <c r="N888">
        <v>2</v>
      </c>
    </row>
    <row r="889" spans="1:14" x14ac:dyDescent="0.35">
      <c r="A889" s="1">
        <v>1045</v>
      </c>
      <c r="B889">
        <v>10</v>
      </c>
      <c r="C889">
        <v>45</v>
      </c>
      <c r="D889">
        <v>3</v>
      </c>
      <c r="E889">
        <v>0</v>
      </c>
      <c r="F889">
        <v>0</v>
      </c>
      <c r="G889">
        <v>4</v>
      </c>
      <c r="H889">
        <v>3</v>
      </c>
      <c r="I889">
        <v>0.01</v>
      </c>
      <c r="J889">
        <v>5</v>
      </c>
      <c r="K889">
        <v>0</v>
      </c>
      <c r="L889" s="4">
        <v>0.6253330093039029</v>
      </c>
      <c r="M889" s="4">
        <v>0.37466699069609699</v>
      </c>
      <c r="N889">
        <v>2</v>
      </c>
    </row>
    <row r="890" spans="1:14" x14ac:dyDescent="0.35">
      <c r="A890" s="1">
        <v>1854</v>
      </c>
      <c r="B890">
        <v>9</v>
      </c>
      <c r="C890">
        <v>41</v>
      </c>
      <c r="D890">
        <v>2</v>
      </c>
      <c r="E890">
        <v>0</v>
      </c>
      <c r="F890">
        <v>3</v>
      </c>
      <c r="G890">
        <v>3</v>
      </c>
      <c r="H890">
        <v>2</v>
      </c>
      <c r="I890">
        <v>4000.01</v>
      </c>
      <c r="J890">
        <v>9</v>
      </c>
      <c r="K890">
        <v>0</v>
      </c>
      <c r="L890" s="4">
        <v>0.62554557039342096</v>
      </c>
      <c r="M890" s="4">
        <v>0.37445442960657899</v>
      </c>
      <c r="N890">
        <v>2</v>
      </c>
    </row>
    <row r="891" spans="1:14" x14ac:dyDescent="0.35">
      <c r="A891" s="1">
        <v>164</v>
      </c>
      <c r="B891">
        <v>14</v>
      </c>
      <c r="C891">
        <v>63</v>
      </c>
      <c r="D891">
        <v>2</v>
      </c>
      <c r="E891">
        <v>0</v>
      </c>
      <c r="F891">
        <v>0</v>
      </c>
      <c r="G891">
        <v>11</v>
      </c>
      <c r="H891">
        <v>1</v>
      </c>
      <c r="I891">
        <v>20050</v>
      </c>
      <c r="J891">
        <v>4</v>
      </c>
      <c r="K891">
        <v>0</v>
      </c>
      <c r="L891" s="4">
        <v>0.62564711467391687</v>
      </c>
      <c r="M891" s="4">
        <v>0.37435288532608307</v>
      </c>
      <c r="N891">
        <v>2</v>
      </c>
    </row>
    <row r="892" spans="1:14" x14ac:dyDescent="0.35">
      <c r="A892" s="1">
        <v>2984</v>
      </c>
      <c r="B892">
        <v>13</v>
      </c>
      <c r="C892">
        <v>58</v>
      </c>
      <c r="D892">
        <v>3</v>
      </c>
      <c r="E892">
        <v>0</v>
      </c>
      <c r="F892">
        <v>0</v>
      </c>
      <c r="G892">
        <v>4</v>
      </c>
      <c r="H892">
        <v>2</v>
      </c>
      <c r="I892">
        <v>900</v>
      </c>
      <c r="J892">
        <v>8</v>
      </c>
      <c r="K892">
        <v>1</v>
      </c>
      <c r="L892" s="4">
        <v>0.62575270368416502</v>
      </c>
      <c r="M892" s="4">
        <v>0.37424729631583498</v>
      </c>
      <c r="N892">
        <v>3</v>
      </c>
    </row>
    <row r="893" spans="1:14" x14ac:dyDescent="0.35">
      <c r="A893" s="1">
        <v>3887</v>
      </c>
      <c r="B893">
        <v>6</v>
      </c>
      <c r="C893">
        <v>28</v>
      </c>
      <c r="D893">
        <v>4</v>
      </c>
      <c r="E893">
        <v>0</v>
      </c>
      <c r="F893">
        <v>1</v>
      </c>
      <c r="G893">
        <v>12</v>
      </c>
      <c r="H893">
        <v>2</v>
      </c>
      <c r="I893">
        <v>3000</v>
      </c>
      <c r="J893">
        <v>3</v>
      </c>
      <c r="K893">
        <v>0</v>
      </c>
      <c r="L893" s="4">
        <v>0.62633552043317597</v>
      </c>
      <c r="M893" s="4">
        <v>0.37366447956682403</v>
      </c>
      <c r="N893">
        <v>3</v>
      </c>
    </row>
    <row r="894" spans="1:14" x14ac:dyDescent="0.35">
      <c r="A894" s="1">
        <v>1237</v>
      </c>
      <c r="B894">
        <v>9</v>
      </c>
      <c r="C894">
        <v>44</v>
      </c>
      <c r="D894">
        <v>2</v>
      </c>
      <c r="E894">
        <v>0</v>
      </c>
      <c r="F894">
        <v>0</v>
      </c>
      <c r="G894">
        <v>4</v>
      </c>
      <c r="H894">
        <v>0</v>
      </c>
      <c r="I894">
        <v>5173.7299999999996</v>
      </c>
      <c r="J894">
        <v>11</v>
      </c>
      <c r="K894">
        <v>0</v>
      </c>
      <c r="L894" s="4">
        <v>0.62747652656115072</v>
      </c>
      <c r="M894" s="4">
        <v>0.37252347343884928</v>
      </c>
      <c r="N894">
        <v>3</v>
      </c>
    </row>
    <row r="895" spans="1:14" x14ac:dyDescent="0.35">
      <c r="A895" s="1">
        <v>536</v>
      </c>
      <c r="B895">
        <v>9</v>
      </c>
      <c r="C895">
        <v>42</v>
      </c>
      <c r="D895">
        <v>0</v>
      </c>
      <c r="E895">
        <v>0</v>
      </c>
      <c r="F895">
        <v>3</v>
      </c>
      <c r="G895">
        <v>3</v>
      </c>
      <c r="H895">
        <v>2</v>
      </c>
      <c r="I895">
        <v>1100</v>
      </c>
      <c r="J895">
        <v>9</v>
      </c>
      <c r="K895">
        <v>0</v>
      </c>
      <c r="L895" s="4">
        <v>0.62840851086178606</v>
      </c>
      <c r="M895" s="4">
        <v>0.37159148913821399</v>
      </c>
      <c r="N895">
        <v>3</v>
      </c>
    </row>
    <row r="896" spans="1:14" x14ac:dyDescent="0.35">
      <c r="A896" s="1">
        <v>3857</v>
      </c>
      <c r="B896">
        <v>11</v>
      </c>
      <c r="C896">
        <v>51</v>
      </c>
      <c r="D896">
        <v>2</v>
      </c>
      <c r="E896">
        <v>0</v>
      </c>
      <c r="F896">
        <v>3</v>
      </c>
      <c r="G896">
        <v>3</v>
      </c>
      <c r="H896">
        <v>0</v>
      </c>
      <c r="I896">
        <v>12053.35</v>
      </c>
      <c r="J896">
        <v>7</v>
      </c>
      <c r="K896">
        <v>0</v>
      </c>
      <c r="L896" s="4">
        <v>0.62925668308587923</v>
      </c>
      <c r="M896" s="4">
        <v>0.37074331691412082</v>
      </c>
      <c r="N896">
        <v>3</v>
      </c>
    </row>
    <row r="897" spans="1:14" x14ac:dyDescent="0.35">
      <c r="A897" s="1">
        <v>1240</v>
      </c>
      <c r="B897">
        <v>11</v>
      </c>
      <c r="C897">
        <v>48</v>
      </c>
      <c r="D897">
        <v>5</v>
      </c>
      <c r="E897">
        <v>0</v>
      </c>
      <c r="F897">
        <v>3</v>
      </c>
      <c r="G897">
        <v>3</v>
      </c>
      <c r="H897">
        <v>2</v>
      </c>
      <c r="I897">
        <v>2600</v>
      </c>
      <c r="J897">
        <v>7</v>
      </c>
      <c r="K897">
        <v>0</v>
      </c>
      <c r="L897" s="4">
        <v>0.62963943079019813</v>
      </c>
      <c r="M897" s="4">
        <v>0.37036056920980193</v>
      </c>
      <c r="N897">
        <v>3</v>
      </c>
    </row>
    <row r="898" spans="1:14" x14ac:dyDescent="0.35">
      <c r="A898" s="1">
        <v>3783</v>
      </c>
      <c r="B898">
        <v>8</v>
      </c>
      <c r="C898">
        <v>32</v>
      </c>
      <c r="D898">
        <v>2</v>
      </c>
      <c r="E898">
        <v>1</v>
      </c>
      <c r="F898">
        <v>1</v>
      </c>
      <c r="G898">
        <v>7</v>
      </c>
      <c r="H898">
        <v>3</v>
      </c>
      <c r="I898">
        <v>0.01</v>
      </c>
      <c r="J898">
        <v>5</v>
      </c>
      <c r="K898">
        <v>0</v>
      </c>
      <c r="L898" s="4">
        <v>0.6298300864303763</v>
      </c>
      <c r="M898" s="4">
        <v>0.3701699135696237</v>
      </c>
      <c r="N898">
        <v>3</v>
      </c>
    </row>
    <row r="899" spans="1:14" x14ac:dyDescent="0.35">
      <c r="A899" s="1">
        <v>1547</v>
      </c>
      <c r="B899">
        <v>10</v>
      </c>
      <c r="C899">
        <v>44</v>
      </c>
      <c r="D899">
        <v>3</v>
      </c>
      <c r="E899">
        <v>0</v>
      </c>
      <c r="F899">
        <v>3</v>
      </c>
      <c r="G899">
        <v>3</v>
      </c>
      <c r="H899">
        <v>3</v>
      </c>
      <c r="I899">
        <v>0.01</v>
      </c>
      <c r="J899">
        <v>5</v>
      </c>
      <c r="K899">
        <v>0</v>
      </c>
      <c r="L899" s="4">
        <v>0.62991630470867255</v>
      </c>
      <c r="M899" s="4">
        <v>0.37008369529132751</v>
      </c>
      <c r="N899">
        <v>3</v>
      </c>
    </row>
    <row r="900" spans="1:14" x14ac:dyDescent="0.35">
      <c r="A900" s="1">
        <v>3098</v>
      </c>
      <c r="B900">
        <v>9</v>
      </c>
      <c r="C900">
        <v>40</v>
      </c>
      <c r="D900">
        <v>5</v>
      </c>
      <c r="E900">
        <v>0</v>
      </c>
      <c r="F900">
        <v>2</v>
      </c>
      <c r="G900">
        <v>6</v>
      </c>
      <c r="H900">
        <v>2</v>
      </c>
      <c r="I900">
        <v>40.799999999999997</v>
      </c>
      <c r="J900">
        <v>3</v>
      </c>
      <c r="K900">
        <v>1</v>
      </c>
      <c r="L900" s="4">
        <v>0.63042049147149437</v>
      </c>
      <c r="M900" s="4">
        <v>0.36957950852850557</v>
      </c>
      <c r="N900">
        <v>3</v>
      </c>
    </row>
    <row r="901" spans="1:14" x14ac:dyDescent="0.35">
      <c r="A901" s="1">
        <v>1686</v>
      </c>
      <c r="B901">
        <v>7</v>
      </c>
      <c r="C901">
        <v>30</v>
      </c>
      <c r="D901">
        <v>5</v>
      </c>
      <c r="E901">
        <v>0</v>
      </c>
      <c r="F901">
        <v>4</v>
      </c>
      <c r="G901">
        <v>9</v>
      </c>
      <c r="H901">
        <v>3</v>
      </c>
      <c r="I901">
        <v>0.01</v>
      </c>
      <c r="J901">
        <v>5</v>
      </c>
      <c r="K901">
        <v>0</v>
      </c>
      <c r="L901" s="4">
        <v>0.6305418748066991</v>
      </c>
      <c r="M901" s="4">
        <v>0.3694581251933009</v>
      </c>
      <c r="N901">
        <v>3</v>
      </c>
    </row>
    <row r="902" spans="1:14" x14ac:dyDescent="0.35">
      <c r="A902" s="1">
        <v>3817</v>
      </c>
      <c r="B902">
        <v>11</v>
      </c>
      <c r="C902">
        <v>51</v>
      </c>
      <c r="D902">
        <v>1</v>
      </c>
      <c r="E902">
        <v>0</v>
      </c>
      <c r="F902">
        <v>3</v>
      </c>
      <c r="G902">
        <v>8</v>
      </c>
      <c r="H902">
        <v>0</v>
      </c>
      <c r="I902">
        <v>6105.32</v>
      </c>
      <c r="J902">
        <v>10</v>
      </c>
      <c r="K902">
        <v>1</v>
      </c>
      <c r="L902" s="4">
        <v>0.63085875240238454</v>
      </c>
      <c r="M902" s="4">
        <v>0.36914124759761552</v>
      </c>
      <c r="N902">
        <v>3</v>
      </c>
    </row>
    <row r="903" spans="1:14" x14ac:dyDescent="0.35">
      <c r="A903" s="1">
        <v>2736</v>
      </c>
      <c r="B903">
        <v>9</v>
      </c>
      <c r="C903">
        <v>42</v>
      </c>
      <c r="D903">
        <v>2</v>
      </c>
      <c r="E903">
        <v>0</v>
      </c>
      <c r="F903">
        <v>0</v>
      </c>
      <c r="G903">
        <v>10</v>
      </c>
      <c r="H903">
        <v>2</v>
      </c>
      <c r="I903">
        <v>1000</v>
      </c>
      <c r="J903">
        <v>5</v>
      </c>
      <c r="K903">
        <v>1</v>
      </c>
      <c r="L903" s="4">
        <v>0.63098707651734487</v>
      </c>
      <c r="M903" s="4">
        <v>0.36901292348265519</v>
      </c>
      <c r="N903">
        <v>3</v>
      </c>
    </row>
    <row r="904" spans="1:14" x14ac:dyDescent="0.35">
      <c r="A904" s="1">
        <v>1994</v>
      </c>
      <c r="B904">
        <v>7</v>
      </c>
      <c r="C904">
        <v>34</v>
      </c>
      <c r="D904">
        <v>3</v>
      </c>
      <c r="E904">
        <v>0</v>
      </c>
      <c r="F904">
        <v>0</v>
      </c>
      <c r="G904">
        <v>4</v>
      </c>
      <c r="H904">
        <v>2</v>
      </c>
      <c r="I904">
        <v>0.02</v>
      </c>
      <c r="J904">
        <v>5</v>
      </c>
      <c r="K904">
        <v>1</v>
      </c>
      <c r="L904" s="4">
        <v>0.63122464567188041</v>
      </c>
      <c r="M904" s="4">
        <v>0.36877535432811959</v>
      </c>
      <c r="N904">
        <v>3</v>
      </c>
    </row>
    <row r="905" spans="1:14" x14ac:dyDescent="0.35">
      <c r="A905" s="1">
        <v>3317</v>
      </c>
      <c r="B905">
        <v>11</v>
      </c>
      <c r="C905">
        <v>42</v>
      </c>
      <c r="D905">
        <v>0</v>
      </c>
      <c r="E905">
        <v>2</v>
      </c>
      <c r="F905">
        <v>3</v>
      </c>
      <c r="G905">
        <v>3</v>
      </c>
      <c r="H905">
        <v>0</v>
      </c>
      <c r="I905">
        <v>6000</v>
      </c>
      <c r="J905">
        <v>4</v>
      </c>
      <c r="K905">
        <v>0</v>
      </c>
      <c r="L905" s="4">
        <v>0.63167768972128147</v>
      </c>
      <c r="M905" s="4">
        <v>0.36832231027871859</v>
      </c>
      <c r="N905">
        <v>3</v>
      </c>
    </row>
    <row r="906" spans="1:14" x14ac:dyDescent="0.35">
      <c r="A906" s="1">
        <v>3845</v>
      </c>
      <c r="B906">
        <v>7</v>
      </c>
      <c r="C906">
        <v>33</v>
      </c>
      <c r="D906">
        <v>2</v>
      </c>
      <c r="E906">
        <v>0</v>
      </c>
      <c r="F906">
        <v>1</v>
      </c>
      <c r="G906">
        <v>7</v>
      </c>
      <c r="H906">
        <v>3</v>
      </c>
      <c r="I906">
        <v>0.01</v>
      </c>
      <c r="J906">
        <v>5</v>
      </c>
      <c r="K906">
        <v>1</v>
      </c>
      <c r="L906" s="4">
        <v>0.63178974285826239</v>
      </c>
      <c r="M906" s="4">
        <v>0.36821025714173761</v>
      </c>
      <c r="N906">
        <v>3</v>
      </c>
    </row>
    <row r="907" spans="1:14" x14ac:dyDescent="0.35">
      <c r="A907" s="1">
        <v>2527</v>
      </c>
      <c r="B907">
        <v>12</v>
      </c>
      <c r="C907">
        <v>51</v>
      </c>
      <c r="D907">
        <v>2</v>
      </c>
      <c r="E907">
        <v>1</v>
      </c>
      <c r="F907">
        <v>0</v>
      </c>
      <c r="G907">
        <v>10</v>
      </c>
      <c r="H907">
        <v>0</v>
      </c>
      <c r="I907">
        <v>8044.46</v>
      </c>
      <c r="J907">
        <v>7</v>
      </c>
      <c r="K907">
        <v>0</v>
      </c>
      <c r="L907" s="4">
        <v>0.63190538851702716</v>
      </c>
      <c r="M907" s="4">
        <v>0.36809461148297279</v>
      </c>
      <c r="N907">
        <v>3</v>
      </c>
    </row>
    <row r="908" spans="1:14" x14ac:dyDescent="0.35">
      <c r="A908" s="1">
        <v>1824</v>
      </c>
      <c r="B908">
        <v>8</v>
      </c>
      <c r="C908">
        <v>33</v>
      </c>
      <c r="D908">
        <v>2</v>
      </c>
      <c r="E908">
        <v>1</v>
      </c>
      <c r="F908">
        <v>0</v>
      </c>
      <c r="G908">
        <v>4</v>
      </c>
      <c r="H908">
        <v>3</v>
      </c>
      <c r="I908">
        <v>0.01</v>
      </c>
      <c r="J908">
        <v>8</v>
      </c>
      <c r="K908">
        <v>0</v>
      </c>
      <c r="L908" s="4">
        <v>0.63248986631733994</v>
      </c>
      <c r="M908" s="4">
        <v>0.36751013368266011</v>
      </c>
      <c r="N908">
        <v>3</v>
      </c>
    </row>
    <row r="909" spans="1:14" x14ac:dyDescent="0.35">
      <c r="A909" s="1">
        <v>2989</v>
      </c>
      <c r="B909">
        <v>6</v>
      </c>
      <c r="C909">
        <v>25</v>
      </c>
      <c r="D909">
        <v>4</v>
      </c>
      <c r="E909">
        <v>1</v>
      </c>
      <c r="F909">
        <v>3</v>
      </c>
      <c r="G909">
        <v>3</v>
      </c>
      <c r="H909">
        <v>0</v>
      </c>
      <c r="I909">
        <v>6000</v>
      </c>
      <c r="J909">
        <v>5</v>
      </c>
      <c r="K909">
        <v>0</v>
      </c>
      <c r="L909" s="4">
        <v>0.63262623879258717</v>
      </c>
      <c r="M909" s="4">
        <v>0.36737376120741277</v>
      </c>
      <c r="N909">
        <v>3</v>
      </c>
    </row>
    <row r="910" spans="1:14" x14ac:dyDescent="0.35">
      <c r="A910" s="1">
        <v>3795</v>
      </c>
      <c r="B910">
        <v>7</v>
      </c>
      <c r="C910">
        <v>34</v>
      </c>
      <c r="D910">
        <v>2</v>
      </c>
      <c r="E910">
        <v>0</v>
      </c>
      <c r="F910">
        <v>0</v>
      </c>
      <c r="G910">
        <v>2</v>
      </c>
      <c r="H910">
        <v>3</v>
      </c>
      <c r="I910">
        <v>0.01</v>
      </c>
      <c r="J910">
        <v>5</v>
      </c>
      <c r="K910">
        <v>0</v>
      </c>
      <c r="L910" s="4">
        <v>0.63278986803801873</v>
      </c>
      <c r="M910" s="4">
        <v>0.36721013196198132</v>
      </c>
      <c r="N910">
        <v>3</v>
      </c>
    </row>
    <row r="911" spans="1:14" x14ac:dyDescent="0.35">
      <c r="A911" s="1">
        <v>3096</v>
      </c>
      <c r="B911">
        <v>6</v>
      </c>
      <c r="C911">
        <v>30</v>
      </c>
      <c r="D911">
        <v>3</v>
      </c>
      <c r="E911">
        <v>0</v>
      </c>
      <c r="F911">
        <v>0</v>
      </c>
      <c r="G911">
        <v>4</v>
      </c>
      <c r="H911">
        <v>2</v>
      </c>
      <c r="I911">
        <v>600</v>
      </c>
      <c r="J911">
        <v>1</v>
      </c>
      <c r="K911">
        <v>0</v>
      </c>
      <c r="L911" s="4">
        <v>0.63289797337105402</v>
      </c>
      <c r="M911" s="4">
        <v>0.36710202662894598</v>
      </c>
      <c r="N911">
        <v>3</v>
      </c>
    </row>
    <row r="912" spans="1:14" x14ac:dyDescent="0.35">
      <c r="A912" s="1">
        <v>1512</v>
      </c>
      <c r="B912">
        <v>10</v>
      </c>
      <c r="C912">
        <v>40</v>
      </c>
      <c r="D912">
        <v>3</v>
      </c>
      <c r="E912">
        <v>1</v>
      </c>
      <c r="F912">
        <v>0</v>
      </c>
      <c r="G912">
        <v>11</v>
      </c>
      <c r="H912">
        <v>3</v>
      </c>
      <c r="I912">
        <v>0.01</v>
      </c>
      <c r="J912">
        <v>5</v>
      </c>
      <c r="K912">
        <v>0</v>
      </c>
      <c r="L912" s="4">
        <v>0.63303983623102922</v>
      </c>
      <c r="M912" s="4">
        <v>0.36696016376897078</v>
      </c>
      <c r="N912">
        <v>3</v>
      </c>
    </row>
    <row r="913" spans="1:14" x14ac:dyDescent="0.35">
      <c r="A913" s="1">
        <v>748</v>
      </c>
      <c r="B913">
        <v>11</v>
      </c>
      <c r="C913">
        <v>49</v>
      </c>
      <c r="D913">
        <v>5</v>
      </c>
      <c r="E913">
        <v>0</v>
      </c>
      <c r="F913">
        <v>0</v>
      </c>
      <c r="G913">
        <v>2</v>
      </c>
      <c r="H913">
        <v>3</v>
      </c>
      <c r="I913">
        <v>0.01</v>
      </c>
      <c r="J913">
        <v>9</v>
      </c>
      <c r="K913">
        <v>1</v>
      </c>
      <c r="L913" s="4">
        <v>0.63313988570195678</v>
      </c>
      <c r="M913" s="4">
        <v>0.36686011429804322</v>
      </c>
      <c r="N913">
        <v>3</v>
      </c>
    </row>
    <row r="914" spans="1:14" x14ac:dyDescent="0.35">
      <c r="A914" s="1">
        <v>2340</v>
      </c>
      <c r="B914">
        <v>10</v>
      </c>
      <c r="C914">
        <v>42</v>
      </c>
      <c r="D914">
        <v>0</v>
      </c>
      <c r="E914">
        <v>1</v>
      </c>
      <c r="F914">
        <v>0</v>
      </c>
      <c r="G914">
        <v>4</v>
      </c>
      <c r="H914">
        <v>3</v>
      </c>
      <c r="I914">
        <v>0.01</v>
      </c>
      <c r="J914">
        <v>7</v>
      </c>
      <c r="K914">
        <v>1</v>
      </c>
      <c r="L914" s="4">
        <v>0.63314285319985775</v>
      </c>
      <c r="M914" s="4">
        <v>0.3668571468001422</v>
      </c>
      <c r="N914">
        <v>3</v>
      </c>
    </row>
    <row r="915" spans="1:14" x14ac:dyDescent="0.35">
      <c r="A915" s="1">
        <v>1420</v>
      </c>
      <c r="B915">
        <v>13</v>
      </c>
      <c r="C915">
        <v>57</v>
      </c>
      <c r="D915">
        <v>5</v>
      </c>
      <c r="E915">
        <v>0</v>
      </c>
      <c r="F915">
        <v>1</v>
      </c>
      <c r="G915">
        <v>7</v>
      </c>
      <c r="H915">
        <v>2</v>
      </c>
      <c r="I915">
        <v>3052.66</v>
      </c>
      <c r="J915">
        <v>8</v>
      </c>
      <c r="K915">
        <v>0</v>
      </c>
      <c r="L915" s="4">
        <v>0.63364693855008292</v>
      </c>
      <c r="M915" s="4">
        <v>0.36635306144991708</v>
      </c>
      <c r="N915">
        <v>3</v>
      </c>
    </row>
    <row r="916" spans="1:14" x14ac:dyDescent="0.35">
      <c r="A916" s="1">
        <v>2846</v>
      </c>
      <c r="B916">
        <v>13</v>
      </c>
      <c r="C916">
        <v>53</v>
      </c>
      <c r="D916">
        <v>1</v>
      </c>
      <c r="E916">
        <v>1</v>
      </c>
      <c r="F916">
        <v>1</v>
      </c>
      <c r="G916">
        <v>7</v>
      </c>
      <c r="H916">
        <v>3</v>
      </c>
      <c r="I916">
        <v>0.01</v>
      </c>
      <c r="J916">
        <v>5</v>
      </c>
      <c r="K916">
        <v>0</v>
      </c>
      <c r="L916" s="4">
        <v>0.6341936809656521</v>
      </c>
      <c r="M916" s="4">
        <v>0.36580631903434779</v>
      </c>
      <c r="N916">
        <v>3</v>
      </c>
    </row>
    <row r="917" spans="1:14" x14ac:dyDescent="0.35">
      <c r="A917" s="1">
        <v>1631</v>
      </c>
      <c r="B917">
        <v>13</v>
      </c>
      <c r="C917">
        <v>49</v>
      </c>
      <c r="D917">
        <v>1</v>
      </c>
      <c r="E917">
        <v>2</v>
      </c>
      <c r="F917">
        <v>1</v>
      </c>
      <c r="G917">
        <v>7</v>
      </c>
      <c r="H917">
        <v>2</v>
      </c>
      <c r="I917">
        <v>1500</v>
      </c>
      <c r="J917">
        <v>11</v>
      </c>
      <c r="K917">
        <v>0</v>
      </c>
      <c r="L917" s="4">
        <v>0.63434265110585508</v>
      </c>
      <c r="M917" s="4">
        <v>0.36565734889414492</v>
      </c>
      <c r="N917">
        <v>3</v>
      </c>
    </row>
    <row r="918" spans="1:14" x14ac:dyDescent="0.35">
      <c r="A918" s="1">
        <v>945</v>
      </c>
      <c r="B918">
        <v>11</v>
      </c>
      <c r="C918">
        <v>51</v>
      </c>
      <c r="D918">
        <v>2</v>
      </c>
      <c r="E918">
        <v>0</v>
      </c>
      <c r="F918">
        <v>0</v>
      </c>
      <c r="G918">
        <v>4</v>
      </c>
      <c r="H918">
        <v>2</v>
      </c>
      <c r="I918">
        <v>5000</v>
      </c>
      <c r="J918">
        <v>5</v>
      </c>
      <c r="K918">
        <v>1</v>
      </c>
      <c r="L918" s="4">
        <v>0.63441445294883969</v>
      </c>
      <c r="M918" s="4">
        <v>0.36558554705116031</v>
      </c>
      <c r="N918">
        <v>3</v>
      </c>
    </row>
    <row r="919" spans="1:14" x14ac:dyDescent="0.35">
      <c r="A919" s="1">
        <v>3788</v>
      </c>
      <c r="B919">
        <v>11</v>
      </c>
      <c r="C919">
        <v>51</v>
      </c>
      <c r="D919">
        <v>2</v>
      </c>
      <c r="E919">
        <v>0</v>
      </c>
      <c r="F919">
        <v>3</v>
      </c>
      <c r="G919">
        <v>8</v>
      </c>
      <c r="H919">
        <v>0</v>
      </c>
      <c r="I919">
        <v>12000</v>
      </c>
      <c r="J919">
        <v>11</v>
      </c>
      <c r="K919">
        <v>0</v>
      </c>
      <c r="L919" s="4">
        <v>0.63446550938465995</v>
      </c>
      <c r="M919" s="4">
        <v>0.36553449061533999</v>
      </c>
      <c r="N919">
        <v>3</v>
      </c>
    </row>
    <row r="920" spans="1:14" x14ac:dyDescent="0.35">
      <c r="A920" s="1">
        <v>3328</v>
      </c>
      <c r="B920">
        <v>8</v>
      </c>
      <c r="C920">
        <v>37</v>
      </c>
      <c r="D920">
        <v>3</v>
      </c>
      <c r="E920">
        <v>0</v>
      </c>
      <c r="F920">
        <v>3</v>
      </c>
      <c r="G920">
        <v>3</v>
      </c>
      <c r="H920">
        <v>2</v>
      </c>
      <c r="I920">
        <v>350</v>
      </c>
      <c r="J920">
        <v>6</v>
      </c>
      <c r="K920">
        <v>0</v>
      </c>
      <c r="L920" s="4">
        <v>0.63464922175913108</v>
      </c>
      <c r="M920" s="4">
        <v>0.36535077824086898</v>
      </c>
      <c r="N920">
        <v>3</v>
      </c>
    </row>
    <row r="921" spans="1:14" x14ac:dyDescent="0.35">
      <c r="A921" s="1">
        <v>3039</v>
      </c>
      <c r="B921">
        <v>7</v>
      </c>
      <c r="C921">
        <v>31</v>
      </c>
      <c r="D921">
        <v>5</v>
      </c>
      <c r="E921">
        <v>0</v>
      </c>
      <c r="F921">
        <v>4</v>
      </c>
      <c r="G921">
        <v>9</v>
      </c>
      <c r="H921">
        <v>2</v>
      </c>
      <c r="I921">
        <v>1200</v>
      </c>
      <c r="J921">
        <v>1</v>
      </c>
      <c r="K921">
        <v>0</v>
      </c>
      <c r="L921" s="4">
        <v>0.63504253411148692</v>
      </c>
      <c r="M921" s="4">
        <v>0.36495746588851302</v>
      </c>
      <c r="N921">
        <v>3</v>
      </c>
    </row>
    <row r="922" spans="1:14" x14ac:dyDescent="0.35">
      <c r="A922" s="1">
        <v>807</v>
      </c>
      <c r="B922">
        <v>10</v>
      </c>
      <c r="C922">
        <v>47</v>
      </c>
      <c r="D922">
        <v>4</v>
      </c>
      <c r="E922">
        <v>0</v>
      </c>
      <c r="F922">
        <v>1</v>
      </c>
      <c r="G922">
        <v>7</v>
      </c>
      <c r="H922">
        <v>0</v>
      </c>
      <c r="I922">
        <v>6000</v>
      </c>
      <c r="J922">
        <v>11</v>
      </c>
      <c r="K922">
        <v>0</v>
      </c>
      <c r="L922" s="4">
        <v>0.63515062043465442</v>
      </c>
      <c r="M922" s="4">
        <v>0.36484937956534558</v>
      </c>
      <c r="N922">
        <v>3</v>
      </c>
    </row>
    <row r="923" spans="1:14" x14ac:dyDescent="0.35">
      <c r="A923" s="1">
        <v>3185</v>
      </c>
      <c r="B923">
        <v>11</v>
      </c>
      <c r="C923">
        <v>50</v>
      </c>
      <c r="D923">
        <v>3</v>
      </c>
      <c r="E923">
        <v>0</v>
      </c>
      <c r="F923">
        <v>0</v>
      </c>
      <c r="G923">
        <v>2</v>
      </c>
      <c r="H923">
        <v>3</v>
      </c>
      <c r="I923">
        <v>0.01</v>
      </c>
      <c r="J923">
        <v>8</v>
      </c>
      <c r="K923">
        <v>0</v>
      </c>
      <c r="L923" s="4">
        <v>0.63519393754114017</v>
      </c>
      <c r="M923" s="4">
        <v>0.36480606245885983</v>
      </c>
      <c r="N923">
        <v>3</v>
      </c>
    </row>
    <row r="924" spans="1:14" x14ac:dyDescent="0.35">
      <c r="A924" s="1">
        <v>1267</v>
      </c>
      <c r="B924">
        <v>16</v>
      </c>
      <c r="C924">
        <v>71</v>
      </c>
      <c r="D924">
        <v>5</v>
      </c>
      <c r="E924">
        <v>0</v>
      </c>
      <c r="F924">
        <v>2</v>
      </c>
      <c r="G924">
        <v>1</v>
      </c>
      <c r="H924">
        <v>0</v>
      </c>
      <c r="I924">
        <v>7106</v>
      </c>
      <c r="J924">
        <v>12</v>
      </c>
      <c r="K924">
        <v>0</v>
      </c>
      <c r="L924" s="4">
        <v>0.63528801087453834</v>
      </c>
      <c r="M924" s="4">
        <v>0.36471198912546171</v>
      </c>
      <c r="N924">
        <v>3</v>
      </c>
    </row>
    <row r="925" spans="1:14" x14ac:dyDescent="0.35">
      <c r="A925" s="1">
        <v>2975</v>
      </c>
      <c r="B925">
        <v>10</v>
      </c>
      <c r="C925">
        <v>46</v>
      </c>
      <c r="D925">
        <v>3</v>
      </c>
      <c r="E925">
        <v>0</v>
      </c>
      <c r="F925">
        <v>0</v>
      </c>
      <c r="G925">
        <v>2</v>
      </c>
      <c r="H925">
        <v>3</v>
      </c>
      <c r="I925">
        <v>0.01</v>
      </c>
      <c r="J925">
        <v>9</v>
      </c>
      <c r="K925">
        <v>0</v>
      </c>
      <c r="L925" s="4">
        <v>0.63559627062924462</v>
      </c>
      <c r="M925" s="4">
        <v>0.36440372937075538</v>
      </c>
      <c r="N925">
        <v>3</v>
      </c>
    </row>
    <row r="926" spans="1:14" x14ac:dyDescent="0.35">
      <c r="A926" s="1">
        <v>2518</v>
      </c>
      <c r="B926">
        <v>10</v>
      </c>
      <c r="C926">
        <v>42</v>
      </c>
      <c r="D926">
        <v>3</v>
      </c>
      <c r="E926">
        <v>1</v>
      </c>
      <c r="F926">
        <v>1</v>
      </c>
      <c r="G926">
        <v>12</v>
      </c>
      <c r="H926">
        <v>0</v>
      </c>
      <c r="I926">
        <v>6000</v>
      </c>
      <c r="J926">
        <v>5</v>
      </c>
      <c r="K926">
        <v>1</v>
      </c>
      <c r="L926" s="4">
        <v>0.63595258348860884</v>
      </c>
      <c r="M926" s="4">
        <v>0.36404741651139111</v>
      </c>
      <c r="N926">
        <v>3</v>
      </c>
    </row>
    <row r="927" spans="1:14" x14ac:dyDescent="0.35">
      <c r="A927" s="1">
        <v>1274</v>
      </c>
      <c r="B927">
        <v>10</v>
      </c>
      <c r="C927">
        <v>44</v>
      </c>
      <c r="D927">
        <v>3</v>
      </c>
      <c r="E927">
        <v>0</v>
      </c>
      <c r="F927">
        <v>3</v>
      </c>
      <c r="G927">
        <v>8</v>
      </c>
      <c r="H927">
        <v>3</v>
      </c>
      <c r="I927">
        <v>0.01</v>
      </c>
      <c r="J927">
        <v>6</v>
      </c>
      <c r="K927">
        <v>0</v>
      </c>
      <c r="L927" s="4">
        <v>0.63599427946019049</v>
      </c>
      <c r="M927" s="4">
        <v>0.36400572053980951</v>
      </c>
      <c r="N927">
        <v>3</v>
      </c>
    </row>
    <row r="928" spans="1:14" x14ac:dyDescent="0.35">
      <c r="A928" s="1">
        <v>3122</v>
      </c>
      <c r="B928">
        <v>5</v>
      </c>
      <c r="C928">
        <v>25</v>
      </c>
      <c r="D928">
        <v>3</v>
      </c>
      <c r="E928">
        <v>0</v>
      </c>
      <c r="F928">
        <v>3</v>
      </c>
      <c r="G928">
        <v>3</v>
      </c>
      <c r="H928">
        <v>2</v>
      </c>
      <c r="I928">
        <v>5000</v>
      </c>
      <c r="J928">
        <v>1</v>
      </c>
      <c r="K928">
        <v>0</v>
      </c>
      <c r="L928" s="4">
        <v>0.63650176549282089</v>
      </c>
      <c r="M928" s="4">
        <v>0.36349823450717911</v>
      </c>
      <c r="N928">
        <v>3</v>
      </c>
    </row>
    <row r="929" spans="1:14" x14ac:dyDescent="0.35">
      <c r="A929" s="1">
        <v>1329</v>
      </c>
      <c r="B929">
        <v>10</v>
      </c>
      <c r="C929">
        <v>48</v>
      </c>
      <c r="D929">
        <v>0</v>
      </c>
      <c r="E929">
        <v>0</v>
      </c>
      <c r="F929">
        <v>0</v>
      </c>
      <c r="G929">
        <v>4</v>
      </c>
      <c r="H929">
        <v>2</v>
      </c>
      <c r="I929">
        <v>200</v>
      </c>
      <c r="J929">
        <v>10</v>
      </c>
      <c r="K929">
        <v>0</v>
      </c>
      <c r="L929" s="4">
        <v>0.63716979507892191</v>
      </c>
      <c r="M929" s="4">
        <v>0.36283020492107809</v>
      </c>
      <c r="N929">
        <v>3</v>
      </c>
    </row>
    <row r="930" spans="1:14" x14ac:dyDescent="0.35">
      <c r="A930" s="1">
        <v>3819</v>
      </c>
      <c r="B930">
        <v>11</v>
      </c>
      <c r="C930">
        <v>51</v>
      </c>
      <c r="D930">
        <v>5</v>
      </c>
      <c r="E930">
        <v>0</v>
      </c>
      <c r="F930">
        <v>0</v>
      </c>
      <c r="G930">
        <v>11</v>
      </c>
      <c r="H930">
        <v>0</v>
      </c>
      <c r="I930">
        <v>16000</v>
      </c>
      <c r="J930">
        <v>2</v>
      </c>
      <c r="K930">
        <v>1</v>
      </c>
      <c r="L930" s="4">
        <v>0.63798855541250576</v>
      </c>
      <c r="M930" s="4">
        <v>0.36201144458749429</v>
      </c>
      <c r="N930">
        <v>3</v>
      </c>
    </row>
    <row r="931" spans="1:14" x14ac:dyDescent="0.35">
      <c r="A931" s="1">
        <v>3076</v>
      </c>
      <c r="B931">
        <v>11</v>
      </c>
      <c r="C931">
        <v>41</v>
      </c>
      <c r="D931">
        <v>3</v>
      </c>
      <c r="E931">
        <v>2</v>
      </c>
      <c r="F931">
        <v>0</v>
      </c>
      <c r="G931">
        <v>4</v>
      </c>
      <c r="H931">
        <v>2</v>
      </c>
      <c r="I931">
        <v>1268.8699999999999</v>
      </c>
      <c r="J931">
        <v>9</v>
      </c>
      <c r="K931">
        <v>0</v>
      </c>
      <c r="L931" s="4">
        <v>0.63820700036034972</v>
      </c>
      <c r="M931" s="4">
        <v>0.36179299963965028</v>
      </c>
      <c r="N931">
        <v>3</v>
      </c>
    </row>
    <row r="932" spans="1:14" x14ac:dyDescent="0.35">
      <c r="A932" s="1">
        <v>3242</v>
      </c>
      <c r="B932">
        <v>10</v>
      </c>
      <c r="C932">
        <v>46</v>
      </c>
      <c r="D932">
        <v>5</v>
      </c>
      <c r="E932">
        <v>0</v>
      </c>
      <c r="F932">
        <v>0</v>
      </c>
      <c r="G932">
        <v>2</v>
      </c>
      <c r="H932">
        <v>2</v>
      </c>
      <c r="I932">
        <v>0.02</v>
      </c>
      <c r="J932">
        <v>5</v>
      </c>
      <c r="K932">
        <v>0</v>
      </c>
      <c r="L932" s="4">
        <v>0.63877124426368037</v>
      </c>
      <c r="M932" s="4">
        <v>0.36122875573631957</v>
      </c>
      <c r="N932">
        <v>3</v>
      </c>
    </row>
    <row r="933" spans="1:14" x14ac:dyDescent="0.35">
      <c r="A933" s="1">
        <v>4309</v>
      </c>
      <c r="B933">
        <v>11</v>
      </c>
      <c r="C933">
        <v>51</v>
      </c>
      <c r="D933">
        <v>2</v>
      </c>
      <c r="E933">
        <v>0</v>
      </c>
      <c r="F933">
        <v>3</v>
      </c>
      <c r="G933">
        <v>8</v>
      </c>
      <c r="H933">
        <v>0</v>
      </c>
      <c r="I933">
        <v>6000</v>
      </c>
      <c r="J933">
        <v>4</v>
      </c>
      <c r="K933">
        <v>1</v>
      </c>
      <c r="L933" s="4">
        <v>0.63878282597656044</v>
      </c>
      <c r="M933" s="4">
        <v>0.3612171740234395</v>
      </c>
      <c r="N933">
        <v>3</v>
      </c>
    </row>
    <row r="934" spans="1:14" x14ac:dyDescent="0.35">
      <c r="A934" s="1">
        <v>4261</v>
      </c>
      <c r="B934">
        <v>10</v>
      </c>
      <c r="C934">
        <v>47</v>
      </c>
      <c r="D934">
        <v>2</v>
      </c>
      <c r="E934">
        <v>0</v>
      </c>
      <c r="F934">
        <v>3</v>
      </c>
      <c r="G934">
        <v>8</v>
      </c>
      <c r="H934">
        <v>0</v>
      </c>
      <c r="I934">
        <v>9000</v>
      </c>
      <c r="J934">
        <v>2</v>
      </c>
      <c r="K934">
        <v>1</v>
      </c>
      <c r="L934" s="4">
        <v>0.63895773843815928</v>
      </c>
      <c r="M934" s="4">
        <v>0.36104226156184083</v>
      </c>
      <c r="N934">
        <v>3</v>
      </c>
    </row>
    <row r="935" spans="1:14" x14ac:dyDescent="0.35">
      <c r="A935" s="1">
        <v>2926</v>
      </c>
      <c r="B935">
        <v>9</v>
      </c>
      <c r="C935">
        <v>37</v>
      </c>
      <c r="D935">
        <v>3</v>
      </c>
      <c r="E935">
        <v>1</v>
      </c>
      <c r="F935">
        <v>0</v>
      </c>
      <c r="G935">
        <v>4</v>
      </c>
      <c r="H935">
        <v>3</v>
      </c>
      <c r="I935">
        <v>0.01</v>
      </c>
      <c r="J935">
        <v>4</v>
      </c>
      <c r="K935">
        <v>0</v>
      </c>
      <c r="L935" s="4">
        <v>0.6390709961218457</v>
      </c>
      <c r="M935" s="4">
        <v>0.36092900387815419</v>
      </c>
      <c r="N935">
        <v>3</v>
      </c>
    </row>
    <row r="936" spans="1:14" x14ac:dyDescent="0.35">
      <c r="A936" s="1">
        <v>1715</v>
      </c>
      <c r="B936">
        <v>12</v>
      </c>
      <c r="C936">
        <v>49</v>
      </c>
      <c r="D936">
        <v>4</v>
      </c>
      <c r="E936">
        <v>1</v>
      </c>
      <c r="F936">
        <v>2</v>
      </c>
      <c r="G936">
        <v>1</v>
      </c>
      <c r="H936">
        <v>2</v>
      </c>
      <c r="I936">
        <v>2800</v>
      </c>
      <c r="J936">
        <v>10</v>
      </c>
      <c r="K936">
        <v>0</v>
      </c>
      <c r="L936" s="4">
        <v>0.63939042395529511</v>
      </c>
      <c r="M936" s="4">
        <v>0.36060957604470489</v>
      </c>
      <c r="N936">
        <v>3</v>
      </c>
    </row>
    <row r="937" spans="1:14" x14ac:dyDescent="0.35">
      <c r="A937" s="1">
        <v>3187</v>
      </c>
      <c r="B937">
        <v>11</v>
      </c>
      <c r="C937">
        <v>51</v>
      </c>
      <c r="D937">
        <v>1</v>
      </c>
      <c r="E937">
        <v>0</v>
      </c>
      <c r="F937">
        <v>0</v>
      </c>
      <c r="G937">
        <v>4</v>
      </c>
      <c r="H937">
        <v>3</v>
      </c>
      <c r="I937">
        <v>0.01</v>
      </c>
      <c r="J937">
        <v>8</v>
      </c>
      <c r="K937">
        <v>1</v>
      </c>
      <c r="L937" s="4">
        <v>0.63948095492572554</v>
      </c>
      <c r="M937" s="4">
        <v>0.36051904507427451</v>
      </c>
      <c r="N937">
        <v>3</v>
      </c>
    </row>
    <row r="938" spans="1:14" x14ac:dyDescent="0.35">
      <c r="A938" s="1">
        <v>2809</v>
      </c>
      <c r="B938">
        <v>14</v>
      </c>
      <c r="C938">
        <v>63</v>
      </c>
      <c r="D938">
        <v>2</v>
      </c>
      <c r="E938">
        <v>0</v>
      </c>
      <c r="F938">
        <v>0</v>
      </c>
      <c r="G938">
        <v>10</v>
      </c>
      <c r="H938">
        <v>2</v>
      </c>
      <c r="I938">
        <v>4830.76</v>
      </c>
      <c r="J938">
        <v>4</v>
      </c>
      <c r="K938">
        <v>1</v>
      </c>
      <c r="L938" s="4">
        <v>0.64029192332527307</v>
      </c>
      <c r="M938" s="4">
        <v>0.35970807667472687</v>
      </c>
      <c r="N938">
        <v>3</v>
      </c>
    </row>
    <row r="939" spans="1:14" x14ac:dyDescent="0.35">
      <c r="A939" s="1">
        <v>3228</v>
      </c>
      <c r="B939">
        <v>12</v>
      </c>
      <c r="C939">
        <v>50</v>
      </c>
      <c r="D939">
        <v>3</v>
      </c>
      <c r="E939">
        <v>1</v>
      </c>
      <c r="F939">
        <v>0</v>
      </c>
      <c r="G939">
        <v>4</v>
      </c>
      <c r="H939">
        <v>2</v>
      </c>
      <c r="I939">
        <v>600</v>
      </c>
      <c r="J939">
        <v>4</v>
      </c>
      <c r="K939">
        <v>1</v>
      </c>
      <c r="L939" s="4">
        <v>0.6404837952710345</v>
      </c>
      <c r="M939" s="4">
        <v>0.3595162047289655</v>
      </c>
      <c r="N939">
        <v>3</v>
      </c>
    </row>
    <row r="940" spans="1:14" x14ac:dyDescent="0.35">
      <c r="A940" s="1">
        <v>3941</v>
      </c>
      <c r="B940">
        <v>13</v>
      </c>
      <c r="C940">
        <v>56</v>
      </c>
      <c r="D940">
        <v>0</v>
      </c>
      <c r="E940">
        <v>1</v>
      </c>
      <c r="F940">
        <v>3</v>
      </c>
      <c r="G940">
        <v>3</v>
      </c>
      <c r="H940">
        <v>0</v>
      </c>
      <c r="I940">
        <v>14000</v>
      </c>
      <c r="J940">
        <v>8</v>
      </c>
      <c r="K940">
        <v>1</v>
      </c>
      <c r="L940" s="4">
        <v>0.64127761211353862</v>
      </c>
      <c r="M940" s="4">
        <v>0.35872238788646132</v>
      </c>
      <c r="N940">
        <v>3</v>
      </c>
    </row>
    <row r="941" spans="1:14" x14ac:dyDescent="0.35">
      <c r="A941" s="1">
        <v>646</v>
      </c>
      <c r="B941">
        <v>7</v>
      </c>
      <c r="C941">
        <v>34</v>
      </c>
      <c r="D941">
        <v>0</v>
      </c>
      <c r="E941">
        <v>0</v>
      </c>
      <c r="F941">
        <v>3</v>
      </c>
      <c r="G941">
        <v>3</v>
      </c>
      <c r="H941">
        <v>3</v>
      </c>
      <c r="I941">
        <v>0.01</v>
      </c>
      <c r="J941">
        <v>6</v>
      </c>
      <c r="K941">
        <v>0</v>
      </c>
      <c r="L941" s="4">
        <v>0.64131535207907864</v>
      </c>
      <c r="M941" s="4">
        <v>0.35868464792092142</v>
      </c>
      <c r="N941">
        <v>3</v>
      </c>
    </row>
    <row r="942" spans="1:14" x14ac:dyDescent="0.35">
      <c r="A942" s="1">
        <v>3396</v>
      </c>
      <c r="B942">
        <v>11</v>
      </c>
      <c r="C942">
        <v>51</v>
      </c>
      <c r="D942">
        <v>0</v>
      </c>
      <c r="E942">
        <v>0</v>
      </c>
      <c r="F942">
        <v>3</v>
      </c>
      <c r="G942">
        <v>3</v>
      </c>
      <c r="H942">
        <v>2</v>
      </c>
      <c r="I942">
        <v>50</v>
      </c>
      <c r="J942">
        <v>9</v>
      </c>
      <c r="K942">
        <v>0</v>
      </c>
      <c r="L942" s="4">
        <v>0.64134745286822548</v>
      </c>
      <c r="M942" s="4">
        <v>0.35865254713177452</v>
      </c>
      <c r="N942">
        <v>3</v>
      </c>
    </row>
    <row r="943" spans="1:14" x14ac:dyDescent="0.35">
      <c r="A943" s="1">
        <v>3400</v>
      </c>
      <c r="B943">
        <v>9</v>
      </c>
      <c r="C943">
        <v>40</v>
      </c>
      <c r="D943">
        <v>5</v>
      </c>
      <c r="E943">
        <v>0</v>
      </c>
      <c r="F943">
        <v>1</v>
      </c>
      <c r="G943">
        <v>12</v>
      </c>
      <c r="H943">
        <v>3</v>
      </c>
      <c r="I943">
        <v>0.01</v>
      </c>
      <c r="J943">
        <v>4</v>
      </c>
      <c r="K943">
        <v>1</v>
      </c>
      <c r="L943" s="4">
        <v>0.64137227588814771</v>
      </c>
      <c r="M943" s="4">
        <v>0.35862772411185229</v>
      </c>
      <c r="N943">
        <v>3</v>
      </c>
    </row>
    <row r="944" spans="1:14" x14ac:dyDescent="0.35">
      <c r="A944" s="1">
        <v>3827</v>
      </c>
      <c r="B944">
        <v>11</v>
      </c>
      <c r="C944">
        <v>52</v>
      </c>
      <c r="D944">
        <v>3</v>
      </c>
      <c r="E944">
        <v>0</v>
      </c>
      <c r="F944">
        <v>0</v>
      </c>
      <c r="G944">
        <v>11</v>
      </c>
      <c r="H944">
        <v>0</v>
      </c>
      <c r="I944">
        <v>10000</v>
      </c>
      <c r="J944">
        <v>3</v>
      </c>
      <c r="K944">
        <v>1</v>
      </c>
      <c r="L944" s="4">
        <v>0.64166442830556747</v>
      </c>
      <c r="M944" s="4">
        <v>0.35833557169443259</v>
      </c>
      <c r="N944">
        <v>3</v>
      </c>
    </row>
    <row r="945" spans="1:14" x14ac:dyDescent="0.35">
      <c r="A945" s="1">
        <v>2780</v>
      </c>
      <c r="B945">
        <v>8</v>
      </c>
      <c r="C945">
        <v>38</v>
      </c>
      <c r="D945">
        <v>1</v>
      </c>
      <c r="E945">
        <v>0</v>
      </c>
      <c r="F945">
        <v>3</v>
      </c>
      <c r="G945">
        <v>8</v>
      </c>
      <c r="H945">
        <v>2</v>
      </c>
      <c r="I945">
        <v>4884</v>
      </c>
      <c r="J945">
        <v>3</v>
      </c>
      <c r="K945">
        <v>0</v>
      </c>
      <c r="L945" s="4">
        <v>0.64193677607367761</v>
      </c>
      <c r="M945" s="4">
        <v>0.35806322392632239</v>
      </c>
      <c r="N945">
        <v>3</v>
      </c>
    </row>
    <row r="946" spans="1:14" x14ac:dyDescent="0.35">
      <c r="A946" s="1">
        <v>2436</v>
      </c>
      <c r="B946">
        <v>12</v>
      </c>
      <c r="C946">
        <v>44</v>
      </c>
      <c r="D946">
        <v>1</v>
      </c>
      <c r="E946">
        <v>2</v>
      </c>
      <c r="F946">
        <v>3</v>
      </c>
      <c r="G946">
        <v>3</v>
      </c>
      <c r="H946">
        <v>3</v>
      </c>
      <c r="I946">
        <v>0.01</v>
      </c>
      <c r="J946">
        <v>4</v>
      </c>
      <c r="K946">
        <v>0</v>
      </c>
      <c r="L946" s="4">
        <v>0.64200014459337806</v>
      </c>
      <c r="M946" s="4">
        <v>0.35799985540662199</v>
      </c>
      <c r="N946">
        <v>3</v>
      </c>
    </row>
    <row r="947" spans="1:14" x14ac:dyDescent="0.35">
      <c r="A947" s="1">
        <v>1707</v>
      </c>
      <c r="B947">
        <v>14</v>
      </c>
      <c r="C947">
        <v>64</v>
      </c>
      <c r="D947">
        <v>3</v>
      </c>
      <c r="E947">
        <v>0</v>
      </c>
      <c r="F947">
        <v>2</v>
      </c>
      <c r="G947">
        <v>1</v>
      </c>
      <c r="H947">
        <v>0</v>
      </c>
      <c r="I947">
        <v>6000</v>
      </c>
      <c r="J947">
        <v>1</v>
      </c>
      <c r="K947">
        <v>0</v>
      </c>
      <c r="L947" s="4">
        <v>0.64210227082945748</v>
      </c>
      <c r="M947" s="4">
        <v>0.35789772917054252</v>
      </c>
      <c r="N947">
        <v>3</v>
      </c>
    </row>
    <row r="948" spans="1:14" x14ac:dyDescent="0.35">
      <c r="A948" s="1">
        <v>2291</v>
      </c>
      <c r="B948">
        <v>10</v>
      </c>
      <c r="C948">
        <v>47</v>
      </c>
      <c r="D948">
        <v>3</v>
      </c>
      <c r="E948">
        <v>0</v>
      </c>
      <c r="F948">
        <v>0</v>
      </c>
      <c r="G948">
        <v>4</v>
      </c>
      <c r="H948">
        <v>2</v>
      </c>
      <c r="I948">
        <v>2000</v>
      </c>
      <c r="J948">
        <v>5</v>
      </c>
      <c r="K948">
        <v>0</v>
      </c>
      <c r="L948" s="4">
        <v>0.64229982647070782</v>
      </c>
      <c r="M948" s="4">
        <v>0.35770017352929212</v>
      </c>
      <c r="N948">
        <v>3</v>
      </c>
    </row>
    <row r="949" spans="1:14" x14ac:dyDescent="0.35">
      <c r="A949" s="1">
        <v>1770</v>
      </c>
      <c r="B949">
        <v>10</v>
      </c>
      <c r="C949">
        <v>47</v>
      </c>
      <c r="D949">
        <v>5</v>
      </c>
      <c r="E949">
        <v>0</v>
      </c>
      <c r="F949">
        <v>1</v>
      </c>
      <c r="G949">
        <v>7</v>
      </c>
      <c r="H949">
        <v>0</v>
      </c>
      <c r="I949">
        <v>6000</v>
      </c>
      <c r="J949">
        <v>6</v>
      </c>
      <c r="K949">
        <v>0</v>
      </c>
      <c r="L949" s="4">
        <v>0.64270069898247184</v>
      </c>
      <c r="M949" s="4">
        <v>0.35729930101752821</v>
      </c>
      <c r="N949">
        <v>3</v>
      </c>
    </row>
    <row r="950" spans="1:14" x14ac:dyDescent="0.35">
      <c r="A950" s="1">
        <v>1426</v>
      </c>
      <c r="B950">
        <v>11</v>
      </c>
      <c r="C950">
        <v>49</v>
      </c>
      <c r="D950">
        <v>5</v>
      </c>
      <c r="E950">
        <v>0</v>
      </c>
      <c r="F950">
        <v>3</v>
      </c>
      <c r="G950">
        <v>3</v>
      </c>
      <c r="H950">
        <v>2</v>
      </c>
      <c r="I950">
        <v>3500</v>
      </c>
      <c r="J950">
        <v>8</v>
      </c>
      <c r="K950">
        <v>0</v>
      </c>
      <c r="L950" s="4">
        <v>0.64293107666378047</v>
      </c>
      <c r="M950" s="4">
        <v>0.35706892333621948</v>
      </c>
      <c r="N950">
        <v>3</v>
      </c>
    </row>
    <row r="951" spans="1:14" x14ac:dyDescent="0.35">
      <c r="A951" s="1">
        <v>1402</v>
      </c>
      <c r="B951">
        <v>9</v>
      </c>
      <c r="C951">
        <v>41</v>
      </c>
      <c r="D951">
        <v>3</v>
      </c>
      <c r="E951">
        <v>0</v>
      </c>
      <c r="F951">
        <v>1</v>
      </c>
      <c r="G951">
        <v>12</v>
      </c>
      <c r="H951">
        <v>3</v>
      </c>
      <c r="I951">
        <v>0.01</v>
      </c>
      <c r="J951">
        <v>4</v>
      </c>
      <c r="K951">
        <v>1</v>
      </c>
      <c r="L951" s="4">
        <v>0.64311130322021326</v>
      </c>
      <c r="M951" s="4">
        <v>0.35688869677978668</v>
      </c>
      <c r="N951">
        <v>3</v>
      </c>
    </row>
    <row r="952" spans="1:14" x14ac:dyDescent="0.35">
      <c r="A952" s="1">
        <v>3025</v>
      </c>
      <c r="B952">
        <v>16</v>
      </c>
      <c r="C952">
        <v>65</v>
      </c>
      <c r="D952">
        <v>5</v>
      </c>
      <c r="E952">
        <v>1</v>
      </c>
      <c r="F952">
        <v>0</v>
      </c>
      <c r="G952">
        <v>11</v>
      </c>
      <c r="H952">
        <v>2</v>
      </c>
      <c r="I952">
        <v>600</v>
      </c>
      <c r="J952">
        <v>8</v>
      </c>
      <c r="K952">
        <v>0</v>
      </c>
      <c r="L952" s="4">
        <v>0.64361632493405618</v>
      </c>
      <c r="M952" s="4">
        <v>0.35638367506594382</v>
      </c>
      <c r="N952">
        <v>3</v>
      </c>
    </row>
    <row r="953" spans="1:14" x14ac:dyDescent="0.35">
      <c r="A953" s="1">
        <v>896</v>
      </c>
      <c r="B953">
        <v>7</v>
      </c>
      <c r="C953">
        <v>36</v>
      </c>
      <c r="D953">
        <v>1</v>
      </c>
      <c r="E953">
        <v>0</v>
      </c>
      <c r="F953">
        <v>3</v>
      </c>
      <c r="G953">
        <v>3</v>
      </c>
      <c r="H953">
        <v>0</v>
      </c>
      <c r="I953">
        <v>6000</v>
      </c>
      <c r="J953">
        <v>1</v>
      </c>
      <c r="K953">
        <v>0</v>
      </c>
      <c r="L953" s="4">
        <v>0.64392735784950628</v>
      </c>
      <c r="M953" s="4">
        <v>0.35607264215049372</v>
      </c>
      <c r="N953">
        <v>3</v>
      </c>
    </row>
    <row r="954" spans="1:14" x14ac:dyDescent="0.35">
      <c r="A954" s="1">
        <v>2244</v>
      </c>
      <c r="B954">
        <v>8</v>
      </c>
      <c r="C954">
        <v>33</v>
      </c>
      <c r="D954">
        <v>2</v>
      </c>
      <c r="E954">
        <v>1</v>
      </c>
      <c r="F954">
        <v>1</v>
      </c>
      <c r="G954">
        <v>7</v>
      </c>
      <c r="H954">
        <v>3</v>
      </c>
      <c r="I954">
        <v>0.01</v>
      </c>
      <c r="J954">
        <v>4</v>
      </c>
      <c r="K954">
        <v>0</v>
      </c>
      <c r="L954" s="4">
        <v>0.64404094961896541</v>
      </c>
      <c r="M954" s="4">
        <v>0.35595905038103459</v>
      </c>
      <c r="N954">
        <v>3</v>
      </c>
    </row>
    <row r="955" spans="1:14" x14ac:dyDescent="0.35">
      <c r="A955" s="1">
        <v>4253</v>
      </c>
      <c r="B955">
        <v>7</v>
      </c>
      <c r="C955">
        <v>25</v>
      </c>
      <c r="D955">
        <v>2</v>
      </c>
      <c r="E955">
        <v>2</v>
      </c>
      <c r="F955">
        <v>0</v>
      </c>
      <c r="G955">
        <v>2</v>
      </c>
      <c r="H955">
        <v>3</v>
      </c>
      <c r="I955">
        <v>0.01</v>
      </c>
      <c r="J955">
        <v>5</v>
      </c>
      <c r="K955">
        <v>0</v>
      </c>
      <c r="L955" s="4">
        <v>0.64418891110882015</v>
      </c>
      <c r="M955" s="4">
        <v>0.35581108889117979</v>
      </c>
      <c r="N955">
        <v>3</v>
      </c>
    </row>
    <row r="956" spans="1:14" x14ac:dyDescent="0.35">
      <c r="A956" s="1">
        <v>3697</v>
      </c>
      <c r="B956">
        <v>9</v>
      </c>
      <c r="C956">
        <v>46</v>
      </c>
      <c r="D956">
        <v>1</v>
      </c>
      <c r="E956">
        <v>0</v>
      </c>
      <c r="F956">
        <v>0</v>
      </c>
      <c r="G956">
        <v>4</v>
      </c>
      <c r="H956">
        <v>1</v>
      </c>
      <c r="I956">
        <v>48106.7</v>
      </c>
      <c r="J956">
        <v>8</v>
      </c>
      <c r="K956">
        <v>0</v>
      </c>
      <c r="L956" s="4">
        <v>0.64431496144581835</v>
      </c>
      <c r="M956" s="4">
        <v>0.35568503855418171</v>
      </c>
      <c r="N956">
        <v>3</v>
      </c>
    </row>
    <row r="957" spans="1:14" x14ac:dyDescent="0.35">
      <c r="A957" s="1">
        <v>3427</v>
      </c>
      <c r="B957">
        <v>8</v>
      </c>
      <c r="C957">
        <v>37</v>
      </c>
      <c r="D957">
        <v>3</v>
      </c>
      <c r="E957">
        <v>0</v>
      </c>
      <c r="F957">
        <v>3</v>
      </c>
      <c r="G957">
        <v>3</v>
      </c>
      <c r="H957">
        <v>3</v>
      </c>
      <c r="I957">
        <v>0.01</v>
      </c>
      <c r="J957">
        <v>8</v>
      </c>
      <c r="K957">
        <v>0</v>
      </c>
      <c r="L957" s="4">
        <v>0.64433274807760332</v>
      </c>
      <c r="M957" s="4">
        <v>0.35566725192239668</v>
      </c>
      <c r="N957">
        <v>3</v>
      </c>
    </row>
    <row r="958" spans="1:14" x14ac:dyDescent="0.35">
      <c r="A958" s="1">
        <v>1183</v>
      </c>
      <c r="B958">
        <v>16</v>
      </c>
      <c r="C958">
        <v>62</v>
      </c>
      <c r="D958">
        <v>3</v>
      </c>
      <c r="E958">
        <v>2</v>
      </c>
      <c r="F958">
        <v>1</v>
      </c>
      <c r="G958">
        <v>12</v>
      </c>
      <c r="H958">
        <v>0</v>
      </c>
      <c r="I958">
        <v>6000</v>
      </c>
      <c r="J958">
        <v>5</v>
      </c>
      <c r="K958">
        <v>0</v>
      </c>
      <c r="L958" s="4">
        <v>0.6443947446355951</v>
      </c>
      <c r="M958" s="4">
        <v>0.3556052553644049</v>
      </c>
      <c r="N958">
        <v>3</v>
      </c>
    </row>
    <row r="959" spans="1:14" x14ac:dyDescent="0.35">
      <c r="A959" s="1">
        <v>1769</v>
      </c>
      <c r="B959">
        <v>13</v>
      </c>
      <c r="C959">
        <v>55</v>
      </c>
      <c r="D959">
        <v>2</v>
      </c>
      <c r="E959">
        <v>1</v>
      </c>
      <c r="F959">
        <v>3</v>
      </c>
      <c r="G959">
        <v>3</v>
      </c>
      <c r="H959">
        <v>0</v>
      </c>
      <c r="I959">
        <v>6000</v>
      </c>
      <c r="J959">
        <v>1</v>
      </c>
      <c r="K959">
        <v>1</v>
      </c>
      <c r="L959" s="4">
        <v>0.64456433183400663</v>
      </c>
      <c r="M959" s="4">
        <v>0.35543566816599342</v>
      </c>
      <c r="N959">
        <v>3</v>
      </c>
    </row>
    <row r="960" spans="1:14" x14ac:dyDescent="0.35">
      <c r="A960" s="1">
        <v>2734</v>
      </c>
      <c r="B960">
        <v>15</v>
      </c>
      <c r="C960">
        <v>69</v>
      </c>
      <c r="D960">
        <v>0</v>
      </c>
      <c r="E960">
        <v>0</v>
      </c>
      <c r="F960">
        <v>3</v>
      </c>
      <c r="G960">
        <v>3</v>
      </c>
      <c r="H960">
        <v>0</v>
      </c>
      <c r="I960">
        <v>6000</v>
      </c>
      <c r="J960">
        <v>5</v>
      </c>
      <c r="K960">
        <v>1</v>
      </c>
      <c r="L960" s="4">
        <v>0.64497151738920955</v>
      </c>
      <c r="M960" s="4">
        <v>0.35502848261079051</v>
      </c>
      <c r="N960">
        <v>3</v>
      </c>
    </row>
    <row r="961" spans="1:14" x14ac:dyDescent="0.35">
      <c r="A961" s="1">
        <v>249</v>
      </c>
      <c r="B961">
        <v>7</v>
      </c>
      <c r="C961">
        <v>33</v>
      </c>
      <c r="D961">
        <v>5</v>
      </c>
      <c r="E961">
        <v>0</v>
      </c>
      <c r="F961">
        <v>3</v>
      </c>
      <c r="G961">
        <v>3</v>
      </c>
      <c r="H961">
        <v>2</v>
      </c>
      <c r="I961">
        <v>2000</v>
      </c>
      <c r="J961">
        <v>11</v>
      </c>
      <c r="K961">
        <v>0</v>
      </c>
      <c r="L961" s="4">
        <v>0.64537195387705848</v>
      </c>
      <c r="M961" s="4">
        <v>0.35462804612294152</v>
      </c>
      <c r="N961">
        <v>3</v>
      </c>
    </row>
    <row r="962" spans="1:14" x14ac:dyDescent="0.35">
      <c r="A962" s="1">
        <v>3893</v>
      </c>
      <c r="B962">
        <v>15</v>
      </c>
      <c r="C962">
        <v>64</v>
      </c>
      <c r="D962">
        <v>0</v>
      </c>
      <c r="E962">
        <v>1</v>
      </c>
      <c r="F962">
        <v>0</v>
      </c>
      <c r="G962">
        <v>4</v>
      </c>
      <c r="H962">
        <v>2</v>
      </c>
      <c r="I962">
        <v>4000.01</v>
      </c>
      <c r="J962">
        <v>8</v>
      </c>
      <c r="K962">
        <v>0</v>
      </c>
      <c r="L962" s="4">
        <v>0.64547798480554586</v>
      </c>
      <c r="M962" s="4">
        <v>0.35452201519445409</v>
      </c>
      <c r="N962">
        <v>3</v>
      </c>
    </row>
    <row r="963" spans="1:14" x14ac:dyDescent="0.35">
      <c r="A963" s="1">
        <v>126</v>
      </c>
      <c r="B963">
        <v>13</v>
      </c>
      <c r="C963">
        <v>59</v>
      </c>
      <c r="D963">
        <v>5</v>
      </c>
      <c r="E963">
        <v>0</v>
      </c>
      <c r="F963">
        <v>1</v>
      </c>
      <c r="G963">
        <v>12</v>
      </c>
      <c r="H963">
        <v>0</v>
      </c>
      <c r="I963">
        <v>6000</v>
      </c>
      <c r="J963">
        <v>10</v>
      </c>
      <c r="K963">
        <v>1</v>
      </c>
      <c r="L963" s="4">
        <v>0.64573572282828984</v>
      </c>
      <c r="M963" s="4">
        <v>0.35426427717171022</v>
      </c>
      <c r="N963">
        <v>3</v>
      </c>
    </row>
    <row r="964" spans="1:14" x14ac:dyDescent="0.35">
      <c r="A964" s="1">
        <v>1772</v>
      </c>
      <c r="B964">
        <v>11</v>
      </c>
      <c r="C964">
        <v>52</v>
      </c>
      <c r="D964">
        <v>2</v>
      </c>
      <c r="E964">
        <v>0</v>
      </c>
      <c r="F964">
        <v>3</v>
      </c>
      <c r="G964">
        <v>3</v>
      </c>
      <c r="H964">
        <v>0</v>
      </c>
      <c r="I964">
        <v>6200</v>
      </c>
      <c r="J964">
        <v>5</v>
      </c>
      <c r="K964">
        <v>1</v>
      </c>
      <c r="L964" s="4">
        <v>0.64593175676439563</v>
      </c>
      <c r="M964" s="4">
        <v>0.35406824323560437</v>
      </c>
      <c r="N964">
        <v>3</v>
      </c>
    </row>
    <row r="965" spans="1:14" x14ac:dyDescent="0.35">
      <c r="A965" s="1">
        <v>3274</v>
      </c>
      <c r="B965">
        <v>12</v>
      </c>
      <c r="C965">
        <v>56</v>
      </c>
      <c r="D965">
        <v>5</v>
      </c>
      <c r="E965">
        <v>0</v>
      </c>
      <c r="F965">
        <v>0</v>
      </c>
      <c r="G965">
        <v>4</v>
      </c>
      <c r="H965">
        <v>0</v>
      </c>
      <c r="I965">
        <v>6000</v>
      </c>
      <c r="J965">
        <v>2</v>
      </c>
      <c r="K965">
        <v>0</v>
      </c>
      <c r="L965" s="4">
        <v>0.64599543505100954</v>
      </c>
      <c r="M965" s="4">
        <v>0.35400456494899052</v>
      </c>
      <c r="N965">
        <v>3</v>
      </c>
    </row>
    <row r="966" spans="1:14" x14ac:dyDescent="0.35">
      <c r="A966" s="1">
        <v>3901</v>
      </c>
      <c r="B966">
        <v>12</v>
      </c>
      <c r="C966">
        <v>57</v>
      </c>
      <c r="D966">
        <v>1</v>
      </c>
      <c r="E966">
        <v>0</v>
      </c>
      <c r="F966">
        <v>1</v>
      </c>
      <c r="G966">
        <v>7</v>
      </c>
      <c r="H966">
        <v>0</v>
      </c>
      <c r="I966">
        <v>6000</v>
      </c>
      <c r="J966">
        <v>1</v>
      </c>
      <c r="K966">
        <v>0</v>
      </c>
      <c r="L966" s="4">
        <v>0.64625651408522</v>
      </c>
      <c r="M966" s="4">
        <v>0.35374348591478</v>
      </c>
      <c r="N966">
        <v>3</v>
      </c>
    </row>
    <row r="967" spans="1:14" x14ac:dyDescent="0.35">
      <c r="A967" s="1">
        <v>1582</v>
      </c>
      <c r="B967">
        <v>9</v>
      </c>
      <c r="C967">
        <v>31</v>
      </c>
      <c r="D967">
        <v>5</v>
      </c>
      <c r="E967">
        <v>2</v>
      </c>
      <c r="F967">
        <v>1</v>
      </c>
      <c r="G967">
        <v>7</v>
      </c>
      <c r="H967">
        <v>3</v>
      </c>
      <c r="I967">
        <v>0.01</v>
      </c>
      <c r="J967">
        <v>4</v>
      </c>
      <c r="K967">
        <v>0</v>
      </c>
      <c r="L967" s="4">
        <v>0.64640312568489278</v>
      </c>
      <c r="M967" s="4">
        <v>0.35359687431510722</v>
      </c>
      <c r="N967">
        <v>3</v>
      </c>
    </row>
    <row r="968" spans="1:14" x14ac:dyDescent="0.35">
      <c r="A968" s="1">
        <v>4219</v>
      </c>
      <c r="B968">
        <v>10</v>
      </c>
      <c r="C968">
        <v>47</v>
      </c>
      <c r="D968">
        <v>2</v>
      </c>
      <c r="E968">
        <v>0</v>
      </c>
      <c r="F968">
        <v>1</v>
      </c>
      <c r="G968">
        <v>7</v>
      </c>
      <c r="H968">
        <v>2</v>
      </c>
      <c r="I968">
        <v>3000</v>
      </c>
      <c r="J968">
        <v>4</v>
      </c>
      <c r="K968">
        <v>0</v>
      </c>
      <c r="L968" s="4">
        <v>0.64648509524223519</v>
      </c>
      <c r="M968" s="4">
        <v>0.35351490475776481</v>
      </c>
      <c r="N968">
        <v>3</v>
      </c>
    </row>
    <row r="969" spans="1:14" x14ac:dyDescent="0.35">
      <c r="A969" s="1">
        <v>3660</v>
      </c>
      <c r="B969">
        <v>15</v>
      </c>
      <c r="C969">
        <v>67</v>
      </c>
      <c r="D969">
        <v>3</v>
      </c>
      <c r="E969">
        <v>0</v>
      </c>
      <c r="F969">
        <v>0</v>
      </c>
      <c r="G969">
        <v>11</v>
      </c>
      <c r="H969">
        <v>2</v>
      </c>
      <c r="I969">
        <v>1000</v>
      </c>
      <c r="J969">
        <v>9</v>
      </c>
      <c r="K969">
        <v>1</v>
      </c>
      <c r="L969" s="4">
        <v>0.64683333165130708</v>
      </c>
      <c r="M969" s="4">
        <v>0.35316666834869298</v>
      </c>
      <c r="N969">
        <v>3</v>
      </c>
    </row>
    <row r="970" spans="1:14" x14ac:dyDescent="0.35">
      <c r="A970" s="1">
        <v>3667</v>
      </c>
      <c r="B970">
        <v>9</v>
      </c>
      <c r="C970">
        <v>43</v>
      </c>
      <c r="D970">
        <v>2</v>
      </c>
      <c r="E970">
        <v>0</v>
      </c>
      <c r="F970">
        <v>1</v>
      </c>
      <c r="G970">
        <v>7</v>
      </c>
      <c r="H970">
        <v>2</v>
      </c>
      <c r="I970">
        <v>100.01</v>
      </c>
      <c r="J970">
        <v>8</v>
      </c>
      <c r="K970">
        <v>1</v>
      </c>
      <c r="L970" s="4">
        <v>0.64706859251546645</v>
      </c>
      <c r="M970" s="4">
        <v>0.35293140748453361</v>
      </c>
      <c r="N970">
        <v>3</v>
      </c>
    </row>
    <row r="971" spans="1:14" x14ac:dyDescent="0.35">
      <c r="A971" s="1">
        <v>4380</v>
      </c>
      <c r="B971">
        <v>8</v>
      </c>
      <c r="C971">
        <v>32</v>
      </c>
      <c r="D971">
        <v>5</v>
      </c>
      <c r="E971">
        <v>1</v>
      </c>
      <c r="F971">
        <v>1</v>
      </c>
      <c r="G971">
        <v>7</v>
      </c>
      <c r="H971">
        <v>3</v>
      </c>
      <c r="I971">
        <v>0.01</v>
      </c>
      <c r="J971">
        <v>8</v>
      </c>
      <c r="K971">
        <v>1</v>
      </c>
      <c r="L971" s="4">
        <v>0.64715116812561913</v>
      </c>
      <c r="M971" s="4">
        <v>0.35284883187438087</v>
      </c>
      <c r="N971">
        <v>3</v>
      </c>
    </row>
    <row r="972" spans="1:14" x14ac:dyDescent="0.35">
      <c r="A972" s="1">
        <v>2449</v>
      </c>
      <c r="B972">
        <v>11</v>
      </c>
      <c r="C972">
        <v>51</v>
      </c>
      <c r="D972">
        <v>1</v>
      </c>
      <c r="E972">
        <v>0</v>
      </c>
      <c r="F972">
        <v>3</v>
      </c>
      <c r="G972">
        <v>3</v>
      </c>
      <c r="H972">
        <v>2</v>
      </c>
      <c r="I972">
        <v>3000</v>
      </c>
      <c r="J972">
        <v>6</v>
      </c>
      <c r="K972">
        <v>0</v>
      </c>
      <c r="L972" s="4">
        <v>0.6471697953526292</v>
      </c>
      <c r="M972" s="4">
        <v>0.35283020464737092</v>
      </c>
      <c r="N972">
        <v>3</v>
      </c>
    </row>
    <row r="973" spans="1:14" x14ac:dyDescent="0.35">
      <c r="A973" s="1">
        <v>1305</v>
      </c>
      <c r="B973">
        <v>11</v>
      </c>
      <c r="C973">
        <v>40</v>
      </c>
      <c r="D973">
        <v>1</v>
      </c>
      <c r="E973">
        <v>2</v>
      </c>
      <c r="F973">
        <v>3</v>
      </c>
      <c r="G973">
        <v>8</v>
      </c>
      <c r="H973">
        <v>3</v>
      </c>
      <c r="I973">
        <v>0.01</v>
      </c>
      <c r="J973">
        <v>8</v>
      </c>
      <c r="K973">
        <v>1</v>
      </c>
      <c r="L973" s="4">
        <v>0.64780043388342978</v>
      </c>
      <c r="M973" s="4">
        <v>0.35219956611657027</v>
      </c>
      <c r="N973">
        <v>3</v>
      </c>
    </row>
    <row r="974" spans="1:14" x14ac:dyDescent="0.35">
      <c r="A974" s="1">
        <v>537</v>
      </c>
      <c r="B974">
        <v>9</v>
      </c>
      <c r="C974">
        <v>42</v>
      </c>
      <c r="D974">
        <v>2</v>
      </c>
      <c r="E974">
        <v>0</v>
      </c>
      <c r="F974">
        <v>3</v>
      </c>
      <c r="G974">
        <v>8</v>
      </c>
      <c r="H974">
        <v>2</v>
      </c>
      <c r="I974">
        <v>1000</v>
      </c>
      <c r="J974">
        <v>6</v>
      </c>
      <c r="K974">
        <v>1</v>
      </c>
      <c r="L974" s="4">
        <v>0.64781849212278408</v>
      </c>
      <c r="M974" s="4">
        <v>0.35218150787721603</v>
      </c>
      <c r="N974">
        <v>3</v>
      </c>
    </row>
    <row r="975" spans="1:14" x14ac:dyDescent="0.35">
      <c r="A975" s="1">
        <v>1057</v>
      </c>
      <c r="B975">
        <v>12</v>
      </c>
      <c r="C975">
        <v>51</v>
      </c>
      <c r="D975">
        <v>2</v>
      </c>
      <c r="E975">
        <v>1</v>
      </c>
      <c r="F975">
        <v>0</v>
      </c>
      <c r="G975">
        <v>4</v>
      </c>
      <c r="H975">
        <v>2</v>
      </c>
      <c r="I975">
        <v>1250</v>
      </c>
      <c r="J975">
        <v>4</v>
      </c>
      <c r="K975">
        <v>0</v>
      </c>
      <c r="L975" s="4">
        <v>0.64800658503274389</v>
      </c>
      <c r="M975" s="4">
        <v>0.35199341496725611</v>
      </c>
      <c r="N975">
        <v>3</v>
      </c>
    </row>
    <row r="976" spans="1:14" x14ac:dyDescent="0.35">
      <c r="A976" s="1">
        <v>4373</v>
      </c>
      <c r="B976">
        <v>6</v>
      </c>
      <c r="C976">
        <v>30</v>
      </c>
      <c r="D976">
        <v>4</v>
      </c>
      <c r="E976">
        <v>0</v>
      </c>
      <c r="F976">
        <v>0</v>
      </c>
      <c r="G976">
        <v>4</v>
      </c>
      <c r="H976">
        <v>3</v>
      </c>
      <c r="I976">
        <v>0.01</v>
      </c>
      <c r="J976">
        <v>5</v>
      </c>
      <c r="K976">
        <v>1</v>
      </c>
      <c r="L976" s="4">
        <v>0.64812549313371859</v>
      </c>
      <c r="M976" s="4">
        <v>0.35187450686628152</v>
      </c>
      <c r="N976">
        <v>3</v>
      </c>
    </row>
    <row r="977" spans="1:14" x14ac:dyDescent="0.35">
      <c r="A977" s="1">
        <v>2031</v>
      </c>
      <c r="B977">
        <v>6</v>
      </c>
      <c r="C977">
        <v>30</v>
      </c>
      <c r="D977">
        <v>4</v>
      </c>
      <c r="E977">
        <v>0</v>
      </c>
      <c r="F977">
        <v>0</v>
      </c>
      <c r="G977">
        <v>4</v>
      </c>
      <c r="H977">
        <v>3</v>
      </c>
      <c r="I977">
        <v>0.01</v>
      </c>
      <c r="J977">
        <v>4</v>
      </c>
      <c r="K977">
        <v>1</v>
      </c>
      <c r="L977" s="4">
        <v>0.64841850668016765</v>
      </c>
      <c r="M977" s="4">
        <v>0.35158149331983229</v>
      </c>
      <c r="N977">
        <v>3</v>
      </c>
    </row>
    <row r="978" spans="1:14" x14ac:dyDescent="0.35">
      <c r="A978" s="1">
        <v>3457</v>
      </c>
      <c r="B978">
        <v>12</v>
      </c>
      <c r="C978">
        <v>56</v>
      </c>
      <c r="D978">
        <v>3</v>
      </c>
      <c r="E978">
        <v>0</v>
      </c>
      <c r="F978">
        <v>3</v>
      </c>
      <c r="G978">
        <v>3</v>
      </c>
      <c r="H978">
        <v>0</v>
      </c>
      <c r="I978">
        <v>15266.22</v>
      </c>
      <c r="J978">
        <v>3</v>
      </c>
      <c r="K978">
        <v>0</v>
      </c>
      <c r="L978" s="4">
        <v>0.64849883020817067</v>
      </c>
      <c r="M978" s="4">
        <v>0.35150116979182933</v>
      </c>
      <c r="N978">
        <v>3</v>
      </c>
    </row>
    <row r="979" spans="1:14" x14ac:dyDescent="0.35">
      <c r="A979" s="1">
        <v>1654</v>
      </c>
      <c r="B979">
        <v>11</v>
      </c>
      <c r="C979">
        <v>51</v>
      </c>
      <c r="D979">
        <v>1</v>
      </c>
      <c r="E979">
        <v>0</v>
      </c>
      <c r="F979">
        <v>3</v>
      </c>
      <c r="G979">
        <v>3</v>
      </c>
      <c r="H979">
        <v>2</v>
      </c>
      <c r="I979">
        <v>3000</v>
      </c>
      <c r="J979">
        <v>1</v>
      </c>
      <c r="K979">
        <v>0</v>
      </c>
      <c r="L979" s="4">
        <v>0.64863556437727632</v>
      </c>
      <c r="M979" s="4">
        <v>0.35136443562272368</v>
      </c>
      <c r="N979">
        <v>3</v>
      </c>
    </row>
    <row r="980" spans="1:14" x14ac:dyDescent="0.35">
      <c r="A980" s="1">
        <v>2029</v>
      </c>
      <c r="B980">
        <v>10</v>
      </c>
      <c r="C980">
        <v>44</v>
      </c>
      <c r="D980">
        <v>5</v>
      </c>
      <c r="E980">
        <v>0</v>
      </c>
      <c r="F980">
        <v>3</v>
      </c>
      <c r="G980">
        <v>8</v>
      </c>
      <c r="H980">
        <v>3</v>
      </c>
      <c r="I980">
        <v>0.01</v>
      </c>
      <c r="J980">
        <v>4</v>
      </c>
      <c r="K980">
        <v>1</v>
      </c>
      <c r="L980" s="4">
        <v>0.64866929080008051</v>
      </c>
      <c r="M980" s="4">
        <v>0.35133070919991949</v>
      </c>
      <c r="N980">
        <v>3</v>
      </c>
    </row>
    <row r="981" spans="1:14" x14ac:dyDescent="0.35">
      <c r="A981" s="1">
        <v>1086</v>
      </c>
      <c r="B981">
        <v>12</v>
      </c>
      <c r="C981">
        <v>45</v>
      </c>
      <c r="D981">
        <v>3</v>
      </c>
      <c r="E981">
        <v>2</v>
      </c>
      <c r="F981">
        <v>0</v>
      </c>
      <c r="G981">
        <v>11</v>
      </c>
      <c r="H981">
        <v>2</v>
      </c>
      <c r="I981">
        <v>100</v>
      </c>
      <c r="J981">
        <v>1</v>
      </c>
      <c r="K981">
        <v>0</v>
      </c>
      <c r="L981" s="4">
        <v>0.64911667381088056</v>
      </c>
      <c r="M981" s="4">
        <v>0.35088332618911938</v>
      </c>
      <c r="N981">
        <v>3</v>
      </c>
    </row>
    <row r="982" spans="1:14" x14ac:dyDescent="0.35">
      <c r="A982" s="1">
        <v>1505</v>
      </c>
      <c r="B982">
        <v>13</v>
      </c>
      <c r="C982">
        <v>59</v>
      </c>
      <c r="D982">
        <v>1</v>
      </c>
      <c r="E982">
        <v>0</v>
      </c>
      <c r="F982">
        <v>1</v>
      </c>
      <c r="G982">
        <v>7</v>
      </c>
      <c r="H982">
        <v>3</v>
      </c>
      <c r="I982">
        <v>0.01</v>
      </c>
      <c r="J982">
        <v>5</v>
      </c>
      <c r="K982">
        <v>1</v>
      </c>
      <c r="L982" s="4">
        <v>0.64926655363032593</v>
      </c>
      <c r="M982" s="4">
        <v>0.35073344636967402</v>
      </c>
      <c r="N982">
        <v>3</v>
      </c>
    </row>
    <row r="983" spans="1:14" x14ac:dyDescent="0.35">
      <c r="A983" s="1">
        <v>3403</v>
      </c>
      <c r="B983">
        <v>7</v>
      </c>
      <c r="C983">
        <v>35</v>
      </c>
      <c r="D983">
        <v>2</v>
      </c>
      <c r="E983">
        <v>0</v>
      </c>
      <c r="F983">
        <v>0</v>
      </c>
      <c r="G983">
        <v>4</v>
      </c>
      <c r="H983">
        <v>3</v>
      </c>
      <c r="I983">
        <v>0.01</v>
      </c>
      <c r="J983">
        <v>4</v>
      </c>
      <c r="K983">
        <v>1</v>
      </c>
      <c r="L983" s="4">
        <v>0.64945437586560772</v>
      </c>
      <c r="M983" s="4">
        <v>0.35054562413439228</v>
      </c>
      <c r="N983">
        <v>3</v>
      </c>
    </row>
    <row r="984" spans="1:14" x14ac:dyDescent="0.35">
      <c r="A984" s="1">
        <v>308</v>
      </c>
      <c r="B984">
        <v>12</v>
      </c>
      <c r="C984">
        <v>57</v>
      </c>
      <c r="D984">
        <v>2</v>
      </c>
      <c r="E984">
        <v>0</v>
      </c>
      <c r="F984">
        <v>2</v>
      </c>
      <c r="G984">
        <v>1</v>
      </c>
      <c r="H984">
        <v>0</v>
      </c>
      <c r="I984">
        <v>9000</v>
      </c>
      <c r="J984">
        <v>3</v>
      </c>
      <c r="K984">
        <v>0</v>
      </c>
      <c r="L984" s="4">
        <v>0.64953845987467285</v>
      </c>
      <c r="M984" s="4">
        <v>0.35046154012532721</v>
      </c>
      <c r="N984">
        <v>3</v>
      </c>
    </row>
    <row r="985" spans="1:14" x14ac:dyDescent="0.35">
      <c r="A985" s="1">
        <v>1388</v>
      </c>
      <c r="B985">
        <v>8</v>
      </c>
      <c r="C985">
        <v>37</v>
      </c>
      <c r="D985">
        <v>5</v>
      </c>
      <c r="E985">
        <v>0</v>
      </c>
      <c r="F985">
        <v>1</v>
      </c>
      <c r="G985">
        <v>7</v>
      </c>
      <c r="H985">
        <v>3</v>
      </c>
      <c r="I985">
        <v>0.01</v>
      </c>
      <c r="J985">
        <v>4</v>
      </c>
      <c r="K985">
        <v>1</v>
      </c>
      <c r="L985" s="4">
        <v>0.64955261543818832</v>
      </c>
      <c r="M985" s="4">
        <v>0.35044738456181168</v>
      </c>
      <c r="N985">
        <v>3</v>
      </c>
    </row>
    <row r="986" spans="1:14" x14ac:dyDescent="0.35">
      <c r="A986" s="1">
        <v>297</v>
      </c>
      <c r="B986">
        <v>14</v>
      </c>
      <c r="C986">
        <v>53</v>
      </c>
      <c r="D986">
        <v>2</v>
      </c>
      <c r="E986">
        <v>2</v>
      </c>
      <c r="F986">
        <v>0</v>
      </c>
      <c r="G986">
        <v>11</v>
      </c>
      <c r="H986">
        <v>3</v>
      </c>
      <c r="I986">
        <v>0.01</v>
      </c>
      <c r="J986">
        <v>8</v>
      </c>
      <c r="K986">
        <v>0</v>
      </c>
      <c r="L986" s="4">
        <v>0.64976122501611755</v>
      </c>
      <c r="M986" s="4">
        <v>0.35023877498388251</v>
      </c>
      <c r="N986">
        <v>3</v>
      </c>
    </row>
    <row r="987" spans="1:14" x14ac:dyDescent="0.35">
      <c r="A987" s="1">
        <v>2035</v>
      </c>
      <c r="B987">
        <v>11</v>
      </c>
      <c r="C987">
        <v>47</v>
      </c>
      <c r="D987">
        <v>1</v>
      </c>
      <c r="E987">
        <v>1</v>
      </c>
      <c r="F987">
        <v>0</v>
      </c>
      <c r="G987">
        <v>2</v>
      </c>
      <c r="H987">
        <v>3</v>
      </c>
      <c r="I987">
        <v>0.01</v>
      </c>
      <c r="J987">
        <v>7</v>
      </c>
      <c r="K987">
        <v>0</v>
      </c>
      <c r="L987" s="4">
        <v>0.64980882204094204</v>
      </c>
      <c r="M987" s="4">
        <v>0.35019117795905802</v>
      </c>
      <c r="N987">
        <v>3</v>
      </c>
    </row>
    <row r="988" spans="1:14" x14ac:dyDescent="0.35">
      <c r="A988" s="1">
        <v>3560</v>
      </c>
      <c r="B988">
        <v>8</v>
      </c>
      <c r="C988">
        <v>39</v>
      </c>
      <c r="D988">
        <v>4</v>
      </c>
      <c r="E988">
        <v>0</v>
      </c>
      <c r="F988">
        <v>0</v>
      </c>
      <c r="G988">
        <v>4</v>
      </c>
      <c r="H988">
        <v>2</v>
      </c>
      <c r="I988">
        <v>2241.36</v>
      </c>
      <c r="J988">
        <v>4</v>
      </c>
      <c r="K988">
        <v>1</v>
      </c>
      <c r="L988" s="4">
        <v>0.64990057456491868</v>
      </c>
      <c r="M988" s="4">
        <v>0.35009942543508132</v>
      </c>
      <c r="N988">
        <v>3</v>
      </c>
    </row>
    <row r="989" spans="1:14" x14ac:dyDescent="0.35">
      <c r="A989" s="1">
        <v>1560</v>
      </c>
      <c r="B989">
        <v>8</v>
      </c>
      <c r="C989">
        <v>41</v>
      </c>
      <c r="D989">
        <v>2</v>
      </c>
      <c r="E989">
        <v>0</v>
      </c>
      <c r="F989">
        <v>0</v>
      </c>
      <c r="G989">
        <v>10</v>
      </c>
      <c r="H989">
        <v>0</v>
      </c>
      <c r="I989">
        <v>5700</v>
      </c>
      <c r="J989">
        <v>8</v>
      </c>
      <c r="K989">
        <v>0</v>
      </c>
      <c r="L989" s="4">
        <v>0.6503426047757338</v>
      </c>
      <c r="M989" s="4">
        <v>0.3496573952242662</v>
      </c>
      <c r="N989">
        <v>3</v>
      </c>
    </row>
    <row r="990" spans="1:14" x14ac:dyDescent="0.35">
      <c r="A990" s="1">
        <v>593</v>
      </c>
      <c r="B990">
        <v>8</v>
      </c>
      <c r="C990">
        <v>38</v>
      </c>
      <c r="D990">
        <v>5</v>
      </c>
      <c r="E990">
        <v>0</v>
      </c>
      <c r="F990">
        <v>0</v>
      </c>
      <c r="G990">
        <v>2</v>
      </c>
      <c r="H990">
        <v>3</v>
      </c>
      <c r="I990">
        <v>0.01</v>
      </c>
      <c r="J990">
        <v>4</v>
      </c>
      <c r="K990">
        <v>1</v>
      </c>
      <c r="L990" s="4">
        <v>0.650531180944665</v>
      </c>
      <c r="M990" s="4">
        <v>0.349468819055335</v>
      </c>
      <c r="N990">
        <v>3</v>
      </c>
    </row>
    <row r="991" spans="1:14" x14ac:dyDescent="0.35">
      <c r="A991" s="1">
        <v>2515</v>
      </c>
      <c r="B991">
        <v>9</v>
      </c>
      <c r="C991">
        <v>36</v>
      </c>
      <c r="D991">
        <v>2</v>
      </c>
      <c r="E991">
        <v>1</v>
      </c>
      <c r="F991">
        <v>4</v>
      </c>
      <c r="G991">
        <v>9</v>
      </c>
      <c r="H991">
        <v>3</v>
      </c>
      <c r="I991">
        <v>0.01</v>
      </c>
      <c r="J991">
        <v>7</v>
      </c>
      <c r="K991">
        <v>0</v>
      </c>
      <c r="L991" s="4">
        <v>0.65070717347618323</v>
      </c>
      <c r="M991" s="4">
        <v>0.34929282652381682</v>
      </c>
      <c r="N991">
        <v>3</v>
      </c>
    </row>
    <row r="992" spans="1:14" x14ac:dyDescent="0.35">
      <c r="A992" s="1">
        <v>3321</v>
      </c>
      <c r="B992">
        <v>10</v>
      </c>
      <c r="C992">
        <v>49</v>
      </c>
      <c r="D992">
        <v>0</v>
      </c>
      <c r="E992">
        <v>0</v>
      </c>
      <c r="F992">
        <v>3</v>
      </c>
      <c r="G992">
        <v>3</v>
      </c>
      <c r="H992">
        <v>1</v>
      </c>
      <c r="I992">
        <v>21500</v>
      </c>
      <c r="J992">
        <v>12</v>
      </c>
      <c r="K992">
        <v>0</v>
      </c>
      <c r="L992" s="4">
        <v>0.65070931003862986</v>
      </c>
      <c r="M992" s="4">
        <v>0.34929068996137019</v>
      </c>
      <c r="N992">
        <v>3</v>
      </c>
    </row>
    <row r="993" spans="1:14" x14ac:dyDescent="0.35">
      <c r="A993" s="1">
        <v>1616</v>
      </c>
      <c r="B993">
        <v>8</v>
      </c>
      <c r="C993">
        <v>34</v>
      </c>
      <c r="D993">
        <v>3</v>
      </c>
      <c r="E993">
        <v>1</v>
      </c>
      <c r="F993">
        <v>0</v>
      </c>
      <c r="G993">
        <v>2</v>
      </c>
      <c r="H993">
        <v>3</v>
      </c>
      <c r="I993">
        <v>0.01</v>
      </c>
      <c r="J993">
        <v>4</v>
      </c>
      <c r="K993">
        <v>0</v>
      </c>
      <c r="L993" s="4">
        <v>0.65102567098416608</v>
      </c>
      <c r="M993" s="4">
        <v>0.34897432901583392</v>
      </c>
      <c r="N993">
        <v>3</v>
      </c>
    </row>
    <row r="994" spans="1:14" x14ac:dyDescent="0.35">
      <c r="A994" s="1">
        <v>2967</v>
      </c>
      <c r="B994">
        <v>10</v>
      </c>
      <c r="C994">
        <v>46</v>
      </c>
      <c r="D994">
        <v>4</v>
      </c>
      <c r="E994">
        <v>0</v>
      </c>
      <c r="F994">
        <v>3</v>
      </c>
      <c r="G994">
        <v>3</v>
      </c>
      <c r="H994">
        <v>2</v>
      </c>
      <c r="I994">
        <v>2000</v>
      </c>
      <c r="J994">
        <v>11</v>
      </c>
      <c r="K994">
        <v>0</v>
      </c>
      <c r="L994" s="4">
        <v>0.65102852045699144</v>
      </c>
      <c r="M994" s="4">
        <v>0.34897147954300861</v>
      </c>
      <c r="N994">
        <v>3</v>
      </c>
    </row>
    <row r="995" spans="1:14" x14ac:dyDescent="0.35">
      <c r="A995" s="1">
        <v>1754</v>
      </c>
      <c r="B995">
        <v>8</v>
      </c>
      <c r="C995">
        <v>37</v>
      </c>
      <c r="D995">
        <v>5</v>
      </c>
      <c r="E995">
        <v>0</v>
      </c>
      <c r="F995">
        <v>3</v>
      </c>
      <c r="G995">
        <v>8</v>
      </c>
      <c r="H995">
        <v>2</v>
      </c>
      <c r="I995">
        <v>3800</v>
      </c>
      <c r="J995">
        <v>8</v>
      </c>
      <c r="K995">
        <v>0</v>
      </c>
      <c r="L995" s="4">
        <v>0.65115904397159263</v>
      </c>
      <c r="M995" s="4">
        <v>0.34884095602840742</v>
      </c>
      <c r="N995">
        <v>3</v>
      </c>
    </row>
    <row r="996" spans="1:14" x14ac:dyDescent="0.35">
      <c r="A996" s="1">
        <v>3714</v>
      </c>
      <c r="B996">
        <v>9</v>
      </c>
      <c r="C996">
        <v>38</v>
      </c>
      <c r="D996">
        <v>5</v>
      </c>
      <c r="E996">
        <v>1</v>
      </c>
      <c r="F996">
        <v>3</v>
      </c>
      <c r="G996">
        <v>3</v>
      </c>
      <c r="H996">
        <v>0</v>
      </c>
      <c r="I996">
        <v>6000</v>
      </c>
      <c r="J996">
        <v>1</v>
      </c>
      <c r="K996">
        <v>1</v>
      </c>
      <c r="L996" s="4">
        <v>0.65159352979739193</v>
      </c>
      <c r="M996" s="4">
        <v>0.34840647020260812</v>
      </c>
      <c r="N996">
        <v>3</v>
      </c>
    </row>
    <row r="997" spans="1:14" x14ac:dyDescent="0.35">
      <c r="A997" s="1">
        <v>4271</v>
      </c>
      <c r="B997">
        <v>10</v>
      </c>
      <c r="C997">
        <v>47</v>
      </c>
      <c r="D997">
        <v>3</v>
      </c>
      <c r="E997">
        <v>0</v>
      </c>
      <c r="F997">
        <v>1</v>
      </c>
      <c r="G997">
        <v>7</v>
      </c>
      <c r="H997">
        <v>2</v>
      </c>
      <c r="I997">
        <v>100</v>
      </c>
      <c r="J997">
        <v>10</v>
      </c>
      <c r="K997">
        <v>0</v>
      </c>
      <c r="L997" s="4">
        <v>0.65178376533851989</v>
      </c>
      <c r="M997" s="4">
        <v>0.34821623466148022</v>
      </c>
      <c r="N997">
        <v>3</v>
      </c>
    </row>
    <row r="998" spans="1:14" x14ac:dyDescent="0.35">
      <c r="A998" s="1">
        <v>461</v>
      </c>
      <c r="B998">
        <v>8</v>
      </c>
      <c r="C998">
        <v>38</v>
      </c>
      <c r="D998">
        <v>5</v>
      </c>
      <c r="E998">
        <v>0</v>
      </c>
      <c r="F998">
        <v>0</v>
      </c>
      <c r="G998">
        <v>4</v>
      </c>
      <c r="H998">
        <v>3</v>
      </c>
      <c r="I998">
        <v>0.01</v>
      </c>
      <c r="J998">
        <v>8</v>
      </c>
      <c r="K998">
        <v>0</v>
      </c>
      <c r="L998" s="4">
        <v>0.65185737606134442</v>
      </c>
      <c r="M998" s="4">
        <v>0.34814262393865558</v>
      </c>
      <c r="N998">
        <v>3</v>
      </c>
    </row>
    <row r="999" spans="1:14" x14ac:dyDescent="0.35">
      <c r="A999" s="1">
        <v>1277</v>
      </c>
      <c r="B999">
        <v>7</v>
      </c>
      <c r="C999">
        <v>35</v>
      </c>
      <c r="D999">
        <v>1</v>
      </c>
      <c r="E999">
        <v>0</v>
      </c>
      <c r="F999">
        <v>3</v>
      </c>
      <c r="G999">
        <v>3</v>
      </c>
      <c r="H999">
        <v>2</v>
      </c>
      <c r="I999">
        <v>100</v>
      </c>
      <c r="J999">
        <v>3</v>
      </c>
      <c r="K999">
        <v>1</v>
      </c>
      <c r="L999" s="4">
        <v>0.65186258310809575</v>
      </c>
      <c r="M999" s="4">
        <v>0.34813741689190419</v>
      </c>
      <c r="N999">
        <v>3</v>
      </c>
    </row>
    <row r="1000" spans="1:14" x14ac:dyDescent="0.35">
      <c r="A1000" s="1">
        <v>2433</v>
      </c>
      <c r="B1000">
        <v>8</v>
      </c>
      <c r="C1000">
        <v>39</v>
      </c>
      <c r="D1000">
        <v>3</v>
      </c>
      <c r="E1000">
        <v>0</v>
      </c>
      <c r="F1000">
        <v>0</v>
      </c>
      <c r="G1000">
        <v>2</v>
      </c>
      <c r="H1000">
        <v>3</v>
      </c>
      <c r="I1000">
        <v>0.01</v>
      </c>
      <c r="J1000">
        <v>5</v>
      </c>
      <c r="K1000">
        <v>0</v>
      </c>
      <c r="L1000" s="4">
        <v>0.65195834171272038</v>
      </c>
      <c r="M1000" s="4">
        <v>0.34804165828727968</v>
      </c>
      <c r="N1000">
        <v>3</v>
      </c>
    </row>
    <row r="1001" spans="1:14" x14ac:dyDescent="0.35">
      <c r="A1001" s="1">
        <v>3648</v>
      </c>
      <c r="B1001">
        <v>16</v>
      </c>
      <c r="C1001">
        <v>73</v>
      </c>
      <c r="D1001">
        <v>4</v>
      </c>
      <c r="E1001">
        <v>0</v>
      </c>
      <c r="F1001">
        <v>0</v>
      </c>
      <c r="G1001">
        <v>2</v>
      </c>
      <c r="H1001">
        <v>1</v>
      </c>
      <c r="I1001">
        <v>22000</v>
      </c>
      <c r="J1001">
        <v>4</v>
      </c>
      <c r="K1001">
        <v>1</v>
      </c>
      <c r="L1001" s="4">
        <v>0.6520243178362759</v>
      </c>
      <c r="M1001" s="4">
        <v>0.3479756821637241</v>
      </c>
      <c r="N1001">
        <v>3</v>
      </c>
    </row>
    <row r="1002" spans="1:14" x14ac:dyDescent="0.35">
      <c r="A1002" s="1">
        <v>3453</v>
      </c>
      <c r="B1002">
        <v>9</v>
      </c>
      <c r="C1002">
        <v>43</v>
      </c>
      <c r="D1002">
        <v>5</v>
      </c>
      <c r="E1002">
        <v>0</v>
      </c>
      <c r="F1002">
        <v>0</v>
      </c>
      <c r="G1002">
        <v>2</v>
      </c>
      <c r="H1002">
        <v>2</v>
      </c>
      <c r="I1002">
        <v>50.01</v>
      </c>
      <c r="J1002">
        <v>8</v>
      </c>
      <c r="K1002">
        <v>0</v>
      </c>
      <c r="L1002" s="4">
        <v>0.65232949359435233</v>
      </c>
      <c r="M1002" s="4">
        <v>0.34767050640564767</v>
      </c>
      <c r="N1002">
        <v>3</v>
      </c>
    </row>
    <row r="1003" spans="1:14" x14ac:dyDescent="0.35">
      <c r="A1003" s="1">
        <v>4374</v>
      </c>
      <c r="B1003">
        <v>13</v>
      </c>
      <c r="C1003">
        <v>60</v>
      </c>
      <c r="D1003">
        <v>3</v>
      </c>
      <c r="E1003">
        <v>0</v>
      </c>
      <c r="F1003">
        <v>0</v>
      </c>
      <c r="G1003">
        <v>4</v>
      </c>
      <c r="H1003">
        <v>2</v>
      </c>
      <c r="I1003">
        <v>3000</v>
      </c>
      <c r="J1003">
        <v>9</v>
      </c>
      <c r="K1003">
        <v>0</v>
      </c>
      <c r="L1003" s="4">
        <v>0.65242528610562056</v>
      </c>
      <c r="M1003" s="4">
        <v>0.34757471389437938</v>
      </c>
      <c r="N1003">
        <v>3</v>
      </c>
    </row>
    <row r="1004" spans="1:14" x14ac:dyDescent="0.35">
      <c r="A1004" s="1">
        <v>1936</v>
      </c>
      <c r="B1004">
        <v>11</v>
      </c>
      <c r="C1004">
        <v>51</v>
      </c>
      <c r="D1004">
        <v>5</v>
      </c>
      <c r="E1004">
        <v>0</v>
      </c>
      <c r="F1004">
        <v>3</v>
      </c>
      <c r="G1004">
        <v>3</v>
      </c>
      <c r="H1004">
        <v>1</v>
      </c>
      <c r="I1004">
        <v>24160.99</v>
      </c>
      <c r="J1004">
        <v>6</v>
      </c>
      <c r="K1004">
        <v>1</v>
      </c>
      <c r="L1004" s="4">
        <v>0.65333356752860849</v>
      </c>
      <c r="M1004" s="4">
        <v>0.34666643247139151</v>
      </c>
      <c r="N1004">
        <v>3</v>
      </c>
    </row>
    <row r="1005" spans="1:14" x14ac:dyDescent="0.35">
      <c r="A1005" s="1">
        <v>1688</v>
      </c>
      <c r="B1005">
        <v>6</v>
      </c>
      <c r="C1005">
        <v>30</v>
      </c>
      <c r="D1005">
        <v>5</v>
      </c>
      <c r="E1005">
        <v>0</v>
      </c>
      <c r="F1005">
        <v>0</v>
      </c>
      <c r="G1005">
        <v>4</v>
      </c>
      <c r="H1005">
        <v>3</v>
      </c>
      <c r="I1005">
        <v>0.01</v>
      </c>
      <c r="J1005">
        <v>5</v>
      </c>
      <c r="K1005">
        <v>0</v>
      </c>
      <c r="L1005" s="4">
        <v>0.65410038110383284</v>
      </c>
      <c r="M1005" s="4">
        <v>0.34589961889616722</v>
      </c>
      <c r="N1005">
        <v>3</v>
      </c>
    </row>
    <row r="1006" spans="1:14" x14ac:dyDescent="0.35">
      <c r="A1006" s="1">
        <v>2184</v>
      </c>
      <c r="B1006">
        <v>6</v>
      </c>
      <c r="C1006">
        <v>30</v>
      </c>
      <c r="D1006">
        <v>5</v>
      </c>
      <c r="E1006">
        <v>0</v>
      </c>
      <c r="F1006">
        <v>0</v>
      </c>
      <c r="G1006">
        <v>4</v>
      </c>
      <c r="H1006">
        <v>3</v>
      </c>
      <c r="I1006">
        <v>0.01</v>
      </c>
      <c r="J1006">
        <v>5</v>
      </c>
      <c r="K1006">
        <v>0</v>
      </c>
      <c r="L1006" s="4">
        <v>0.65410038110383284</v>
      </c>
      <c r="M1006" s="4">
        <v>0.34589961889616722</v>
      </c>
      <c r="N1006">
        <v>3</v>
      </c>
    </row>
    <row r="1007" spans="1:14" x14ac:dyDescent="0.35">
      <c r="A1007" s="1">
        <v>4310</v>
      </c>
      <c r="B1007">
        <v>8</v>
      </c>
      <c r="C1007">
        <v>32</v>
      </c>
      <c r="D1007">
        <v>5</v>
      </c>
      <c r="E1007">
        <v>1</v>
      </c>
      <c r="F1007">
        <v>1</v>
      </c>
      <c r="G1007">
        <v>12</v>
      </c>
      <c r="H1007">
        <v>3</v>
      </c>
      <c r="I1007">
        <v>0.01</v>
      </c>
      <c r="J1007">
        <v>5</v>
      </c>
      <c r="K1007">
        <v>0</v>
      </c>
      <c r="L1007" s="4">
        <v>0.65426562248082076</v>
      </c>
      <c r="M1007" s="4">
        <v>0.34573437751917929</v>
      </c>
      <c r="N1007">
        <v>3</v>
      </c>
    </row>
    <row r="1008" spans="1:14" x14ac:dyDescent="0.35">
      <c r="A1008" s="1">
        <v>4086</v>
      </c>
      <c r="B1008">
        <v>8</v>
      </c>
      <c r="C1008">
        <v>39</v>
      </c>
      <c r="D1008">
        <v>2</v>
      </c>
      <c r="E1008">
        <v>0</v>
      </c>
      <c r="F1008">
        <v>3</v>
      </c>
      <c r="G1008">
        <v>3</v>
      </c>
      <c r="H1008">
        <v>2</v>
      </c>
      <c r="I1008">
        <v>3850.36</v>
      </c>
      <c r="J1008">
        <v>8</v>
      </c>
      <c r="K1008">
        <v>1</v>
      </c>
      <c r="L1008" s="4">
        <v>0.65431234454493148</v>
      </c>
      <c r="M1008" s="4">
        <v>0.34568765545506852</v>
      </c>
      <c r="N1008">
        <v>3</v>
      </c>
    </row>
    <row r="1009" spans="1:14" x14ac:dyDescent="0.35">
      <c r="A1009" s="1">
        <v>2144</v>
      </c>
      <c r="B1009">
        <v>10</v>
      </c>
      <c r="C1009">
        <v>46</v>
      </c>
      <c r="D1009">
        <v>4</v>
      </c>
      <c r="E1009">
        <v>0</v>
      </c>
      <c r="F1009">
        <v>1</v>
      </c>
      <c r="G1009">
        <v>7</v>
      </c>
      <c r="H1009">
        <v>3</v>
      </c>
      <c r="I1009">
        <v>0.01</v>
      </c>
      <c r="J1009">
        <v>7</v>
      </c>
      <c r="K1009">
        <v>0</v>
      </c>
      <c r="L1009" s="4">
        <v>0.65498981163017711</v>
      </c>
      <c r="M1009" s="4">
        <v>0.34501018836982289</v>
      </c>
      <c r="N1009">
        <v>3</v>
      </c>
    </row>
    <row r="1010" spans="1:14" x14ac:dyDescent="0.35">
      <c r="A1010" s="1">
        <v>1599</v>
      </c>
      <c r="B1010">
        <v>11</v>
      </c>
      <c r="C1010">
        <v>42</v>
      </c>
      <c r="D1010">
        <v>2</v>
      </c>
      <c r="E1010">
        <v>2</v>
      </c>
      <c r="F1010">
        <v>0</v>
      </c>
      <c r="G1010">
        <v>2</v>
      </c>
      <c r="H1010">
        <v>3</v>
      </c>
      <c r="I1010">
        <v>0.01</v>
      </c>
      <c r="J1010">
        <v>5</v>
      </c>
      <c r="K1010">
        <v>0</v>
      </c>
      <c r="L1010" s="4">
        <v>0.65513284057836074</v>
      </c>
      <c r="M1010" s="4">
        <v>0.34486715942163931</v>
      </c>
      <c r="N1010">
        <v>3</v>
      </c>
    </row>
    <row r="1011" spans="1:14" x14ac:dyDescent="0.35">
      <c r="A1011" s="1">
        <v>2115</v>
      </c>
      <c r="B1011">
        <v>11</v>
      </c>
      <c r="C1011">
        <v>51</v>
      </c>
      <c r="D1011">
        <v>2</v>
      </c>
      <c r="E1011">
        <v>0</v>
      </c>
      <c r="F1011">
        <v>3</v>
      </c>
      <c r="G1011">
        <v>3</v>
      </c>
      <c r="H1011">
        <v>2</v>
      </c>
      <c r="I1011">
        <v>1200</v>
      </c>
      <c r="J1011">
        <v>1</v>
      </c>
      <c r="K1011">
        <v>0</v>
      </c>
      <c r="L1011" s="4">
        <v>0.65526184684354849</v>
      </c>
      <c r="M1011" s="4">
        <v>0.34473815315645162</v>
      </c>
      <c r="N1011">
        <v>3</v>
      </c>
    </row>
    <row r="1012" spans="1:14" x14ac:dyDescent="0.35">
      <c r="A1012" s="1">
        <v>1999</v>
      </c>
      <c r="B1012">
        <v>11</v>
      </c>
      <c r="C1012">
        <v>50</v>
      </c>
      <c r="D1012">
        <v>5</v>
      </c>
      <c r="E1012">
        <v>0</v>
      </c>
      <c r="F1012">
        <v>1</v>
      </c>
      <c r="G1012">
        <v>12</v>
      </c>
      <c r="H1012">
        <v>2</v>
      </c>
      <c r="I1012">
        <v>1000</v>
      </c>
      <c r="J1012">
        <v>9</v>
      </c>
      <c r="K1012">
        <v>0</v>
      </c>
      <c r="L1012" s="4">
        <v>0.655562506217091</v>
      </c>
      <c r="M1012" s="4">
        <v>0.344437493782909</v>
      </c>
      <c r="N1012">
        <v>3</v>
      </c>
    </row>
    <row r="1013" spans="1:14" x14ac:dyDescent="0.35">
      <c r="A1013" s="1">
        <v>658</v>
      </c>
      <c r="B1013">
        <v>8</v>
      </c>
      <c r="C1013">
        <v>30</v>
      </c>
      <c r="D1013">
        <v>2</v>
      </c>
      <c r="E1013">
        <v>2</v>
      </c>
      <c r="F1013">
        <v>0</v>
      </c>
      <c r="G1013">
        <v>10</v>
      </c>
      <c r="H1013">
        <v>2</v>
      </c>
      <c r="I1013">
        <v>99.12</v>
      </c>
      <c r="J1013">
        <v>10</v>
      </c>
      <c r="K1013">
        <v>0</v>
      </c>
      <c r="L1013" s="4">
        <v>0.65567137785337315</v>
      </c>
      <c r="M1013" s="4">
        <v>0.34432862214662691</v>
      </c>
      <c r="N1013">
        <v>3</v>
      </c>
    </row>
    <row r="1014" spans="1:14" x14ac:dyDescent="0.35">
      <c r="A1014" s="1">
        <v>4338</v>
      </c>
      <c r="B1014">
        <v>10</v>
      </c>
      <c r="C1014">
        <v>47</v>
      </c>
      <c r="D1014">
        <v>2</v>
      </c>
      <c r="E1014">
        <v>0</v>
      </c>
      <c r="F1014">
        <v>0</v>
      </c>
      <c r="G1014">
        <v>11</v>
      </c>
      <c r="H1014">
        <v>3</v>
      </c>
      <c r="I1014">
        <v>0.01</v>
      </c>
      <c r="J1014">
        <v>5</v>
      </c>
      <c r="K1014">
        <v>1</v>
      </c>
      <c r="L1014" s="4">
        <v>0.65581910531265786</v>
      </c>
      <c r="M1014" s="4">
        <v>0.3441808946873422</v>
      </c>
      <c r="N1014">
        <v>3</v>
      </c>
    </row>
    <row r="1015" spans="1:14" x14ac:dyDescent="0.35">
      <c r="A1015" s="1">
        <v>1377</v>
      </c>
      <c r="B1015">
        <v>10</v>
      </c>
      <c r="C1015">
        <v>48</v>
      </c>
      <c r="D1015">
        <v>2</v>
      </c>
      <c r="E1015">
        <v>0</v>
      </c>
      <c r="F1015">
        <v>1</v>
      </c>
      <c r="G1015">
        <v>5</v>
      </c>
      <c r="H1015">
        <v>2</v>
      </c>
      <c r="I1015">
        <v>952.11</v>
      </c>
      <c r="J1015">
        <v>12</v>
      </c>
      <c r="K1015">
        <v>0</v>
      </c>
      <c r="L1015" s="4">
        <v>0.65607203322282626</v>
      </c>
      <c r="M1015" s="4">
        <v>0.34392796677717369</v>
      </c>
      <c r="N1015">
        <v>3</v>
      </c>
    </row>
    <row r="1016" spans="1:14" x14ac:dyDescent="0.35">
      <c r="A1016" s="1">
        <v>1571</v>
      </c>
      <c r="B1016">
        <v>8</v>
      </c>
      <c r="C1016">
        <v>34</v>
      </c>
      <c r="D1016">
        <v>2</v>
      </c>
      <c r="E1016">
        <v>1</v>
      </c>
      <c r="F1016">
        <v>0</v>
      </c>
      <c r="G1016">
        <v>11</v>
      </c>
      <c r="H1016">
        <v>3</v>
      </c>
      <c r="I1016">
        <v>0.01</v>
      </c>
      <c r="J1016">
        <v>4</v>
      </c>
      <c r="K1016">
        <v>1</v>
      </c>
      <c r="L1016" s="4">
        <v>0.65625590088054253</v>
      </c>
      <c r="M1016" s="4">
        <v>0.34374409911945752</v>
      </c>
      <c r="N1016">
        <v>3</v>
      </c>
    </row>
    <row r="1017" spans="1:14" x14ac:dyDescent="0.35">
      <c r="A1017" s="1">
        <v>2988</v>
      </c>
      <c r="B1017">
        <v>8</v>
      </c>
      <c r="C1017">
        <v>37</v>
      </c>
      <c r="D1017">
        <v>5</v>
      </c>
      <c r="E1017">
        <v>0</v>
      </c>
      <c r="F1017">
        <v>3</v>
      </c>
      <c r="G1017">
        <v>3</v>
      </c>
      <c r="H1017">
        <v>3</v>
      </c>
      <c r="I1017">
        <v>0.01</v>
      </c>
      <c r="J1017">
        <v>8</v>
      </c>
      <c r="K1017">
        <v>1</v>
      </c>
      <c r="L1017" s="4">
        <v>0.65629454084683481</v>
      </c>
      <c r="M1017" s="4">
        <v>0.34370545915316508</v>
      </c>
      <c r="N1017">
        <v>3</v>
      </c>
    </row>
    <row r="1018" spans="1:14" x14ac:dyDescent="0.35">
      <c r="A1018" s="1">
        <v>3773</v>
      </c>
      <c r="B1018">
        <v>9</v>
      </c>
      <c r="C1018">
        <v>44</v>
      </c>
      <c r="D1018">
        <v>3</v>
      </c>
      <c r="E1018">
        <v>0</v>
      </c>
      <c r="F1018">
        <v>3</v>
      </c>
      <c r="G1018">
        <v>3</v>
      </c>
      <c r="H1018">
        <v>1</v>
      </c>
      <c r="I1018">
        <v>25267.06</v>
      </c>
      <c r="J1018">
        <v>5</v>
      </c>
      <c r="K1018">
        <v>0</v>
      </c>
      <c r="L1018" s="4">
        <v>0.65629797560354763</v>
      </c>
      <c r="M1018" s="4">
        <v>0.34370202439645242</v>
      </c>
      <c r="N1018">
        <v>3</v>
      </c>
    </row>
    <row r="1019" spans="1:14" x14ac:dyDescent="0.35">
      <c r="A1019" s="1">
        <v>3822</v>
      </c>
      <c r="B1019">
        <v>10</v>
      </c>
      <c r="C1019">
        <v>51</v>
      </c>
      <c r="D1019">
        <v>0</v>
      </c>
      <c r="E1019">
        <v>0</v>
      </c>
      <c r="F1019">
        <v>0</v>
      </c>
      <c r="G1019">
        <v>2</v>
      </c>
      <c r="H1019">
        <v>0</v>
      </c>
      <c r="I1019">
        <v>6000</v>
      </c>
      <c r="J1019">
        <v>1</v>
      </c>
      <c r="K1019">
        <v>0</v>
      </c>
      <c r="L1019" s="4">
        <v>0.6562981699090904</v>
      </c>
      <c r="M1019" s="4">
        <v>0.34370183009090949</v>
      </c>
      <c r="N1019">
        <v>3</v>
      </c>
    </row>
    <row r="1020" spans="1:14" x14ac:dyDescent="0.35">
      <c r="A1020" s="1">
        <v>1290</v>
      </c>
      <c r="B1020">
        <v>12</v>
      </c>
      <c r="C1020">
        <v>54</v>
      </c>
      <c r="D1020">
        <v>4</v>
      </c>
      <c r="E1020">
        <v>0</v>
      </c>
      <c r="F1020">
        <v>3</v>
      </c>
      <c r="G1020">
        <v>8</v>
      </c>
      <c r="H1020">
        <v>2</v>
      </c>
      <c r="I1020">
        <v>2165.6999999999998</v>
      </c>
      <c r="J1020">
        <v>9</v>
      </c>
      <c r="K1020">
        <v>0</v>
      </c>
      <c r="L1020" s="4">
        <v>0.65639504096491019</v>
      </c>
      <c r="M1020" s="4">
        <v>0.34360495903508981</v>
      </c>
      <c r="N1020">
        <v>3</v>
      </c>
    </row>
    <row r="1021" spans="1:14" x14ac:dyDescent="0.35">
      <c r="A1021" s="1">
        <v>3436</v>
      </c>
      <c r="B1021">
        <v>6</v>
      </c>
      <c r="C1021">
        <v>27</v>
      </c>
      <c r="D1021">
        <v>3</v>
      </c>
      <c r="E1021">
        <v>1</v>
      </c>
      <c r="F1021">
        <v>0</v>
      </c>
      <c r="G1021">
        <v>4</v>
      </c>
      <c r="H1021">
        <v>2</v>
      </c>
      <c r="I1021">
        <v>2600</v>
      </c>
      <c r="J1021">
        <v>8</v>
      </c>
      <c r="K1021">
        <v>1</v>
      </c>
      <c r="L1021" s="4">
        <v>0.65642564481644716</v>
      </c>
      <c r="M1021" s="4">
        <v>0.34357435518355289</v>
      </c>
      <c r="N1021">
        <v>3</v>
      </c>
    </row>
    <row r="1022" spans="1:14" x14ac:dyDescent="0.35">
      <c r="A1022" s="1">
        <v>502</v>
      </c>
      <c r="B1022">
        <v>12</v>
      </c>
      <c r="C1022">
        <v>57</v>
      </c>
      <c r="D1022">
        <v>2</v>
      </c>
      <c r="E1022">
        <v>0</v>
      </c>
      <c r="F1022">
        <v>3</v>
      </c>
      <c r="G1022">
        <v>3</v>
      </c>
      <c r="H1022">
        <v>0</v>
      </c>
      <c r="I1022">
        <v>12000</v>
      </c>
      <c r="J1022">
        <v>6</v>
      </c>
      <c r="K1022">
        <v>1</v>
      </c>
      <c r="L1022" s="4">
        <v>0.65649778980745943</v>
      </c>
      <c r="M1022" s="4">
        <v>0.34350221019254062</v>
      </c>
      <c r="N1022">
        <v>3</v>
      </c>
    </row>
    <row r="1023" spans="1:14" x14ac:dyDescent="0.35">
      <c r="A1023" s="1">
        <v>2885</v>
      </c>
      <c r="B1023">
        <v>8</v>
      </c>
      <c r="C1023">
        <v>37</v>
      </c>
      <c r="D1023">
        <v>5</v>
      </c>
      <c r="E1023">
        <v>0</v>
      </c>
      <c r="F1023">
        <v>3</v>
      </c>
      <c r="G1023">
        <v>3</v>
      </c>
      <c r="H1023">
        <v>3</v>
      </c>
      <c r="I1023">
        <v>0.01</v>
      </c>
      <c r="J1023">
        <v>7</v>
      </c>
      <c r="K1023">
        <v>1</v>
      </c>
      <c r="L1023" s="4">
        <v>0.65658435624411537</v>
      </c>
      <c r="M1023" s="4">
        <v>0.34341564375588463</v>
      </c>
      <c r="N1023">
        <v>3</v>
      </c>
    </row>
    <row r="1024" spans="1:14" x14ac:dyDescent="0.35">
      <c r="A1024" s="1">
        <v>3352</v>
      </c>
      <c r="B1024">
        <v>7</v>
      </c>
      <c r="C1024">
        <v>36</v>
      </c>
      <c r="D1024">
        <v>3</v>
      </c>
      <c r="E1024">
        <v>0</v>
      </c>
      <c r="F1024">
        <v>0</v>
      </c>
      <c r="G1024">
        <v>2</v>
      </c>
      <c r="H1024">
        <v>2</v>
      </c>
      <c r="I1024">
        <v>1000</v>
      </c>
      <c r="J1024">
        <v>2</v>
      </c>
      <c r="K1024">
        <v>1</v>
      </c>
      <c r="L1024" s="4">
        <v>0.65680455890666933</v>
      </c>
      <c r="M1024" s="4">
        <v>0.34319544109333072</v>
      </c>
      <c r="N1024">
        <v>3</v>
      </c>
    </row>
    <row r="1025" spans="1:14" x14ac:dyDescent="0.35">
      <c r="A1025" s="1">
        <v>422</v>
      </c>
      <c r="B1025">
        <v>11</v>
      </c>
      <c r="C1025">
        <v>53</v>
      </c>
      <c r="D1025">
        <v>1</v>
      </c>
      <c r="E1025">
        <v>0</v>
      </c>
      <c r="F1025">
        <v>0</v>
      </c>
      <c r="G1025">
        <v>4</v>
      </c>
      <c r="H1025">
        <v>2</v>
      </c>
      <c r="I1025">
        <v>15</v>
      </c>
      <c r="J1025">
        <v>8</v>
      </c>
      <c r="K1025">
        <v>0</v>
      </c>
      <c r="L1025" s="4">
        <v>0.65688059145404076</v>
      </c>
      <c r="M1025" s="4">
        <v>0.34311940854595929</v>
      </c>
      <c r="N1025">
        <v>3</v>
      </c>
    </row>
    <row r="1026" spans="1:14" x14ac:dyDescent="0.35">
      <c r="A1026" s="1">
        <v>778</v>
      </c>
      <c r="B1026">
        <v>9</v>
      </c>
      <c r="C1026">
        <v>39</v>
      </c>
      <c r="D1026">
        <v>3</v>
      </c>
      <c r="E1026">
        <v>1</v>
      </c>
      <c r="F1026">
        <v>3</v>
      </c>
      <c r="G1026">
        <v>8</v>
      </c>
      <c r="H1026">
        <v>0</v>
      </c>
      <c r="I1026">
        <v>6000</v>
      </c>
      <c r="J1026">
        <v>10</v>
      </c>
      <c r="K1026">
        <v>0</v>
      </c>
      <c r="L1026" s="4">
        <v>0.65689812133388714</v>
      </c>
      <c r="M1026" s="4">
        <v>0.34310187866611291</v>
      </c>
      <c r="N1026">
        <v>3</v>
      </c>
    </row>
    <row r="1027" spans="1:14" x14ac:dyDescent="0.35">
      <c r="A1027" s="1">
        <v>1849</v>
      </c>
      <c r="B1027">
        <v>14</v>
      </c>
      <c r="C1027">
        <v>63</v>
      </c>
      <c r="D1027">
        <v>3</v>
      </c>
      <c r="E1027">
        <v>0</v>
      </c>
      <c r="F1027">
        <v>3</v>
      </c>
      <c r="G1027">
        <v>3</v>
      </c>
      <c r="H1027">
        <v>2</v>
      </c>
      <c r="I1027">
        <v>3914.18</v>
      </c>
      <c r="J1027">
        <v>5</v>
      </c>
      <c r="K1027">
        <v>1</v>
      </c>
      <c r="L1027" s="4">
        <v>0.6570045091301685</v>
      </c>
      <c r="M1027" s="4">
        <v>0.3429954908698315</v>
      </c>
      <c r="N1027">
        <v>3</v>
      </c>
    </row>
    <row r="1028" spans="1:14" x14ac:dyDescent="0.35">
      <c r="A1028" s="1">
        <v>2268</v>
      </c>
      <c r="B1028">
        <v>8</v>
      </c>
      <c r="C1028">
        <v>37</v>
      </c>
      <c r="D1028">
        <v>5</v>
      </c>
      <c r="E1028">
        <v>0</v>
      </c>
      <c r="F1028">
        <v>3</v>
      </c>
      <c r="G1028">
        <v>3</v>
      </c>
      <c r="H1028">
        <v>3</v>
      </c>
      <c r="I1028">
        <v>0.01</v>
      </c>
      <c r="J1028">
        <v>5</v>
      </c>
      <c r="K1028">
        <v>1</v>
      </c>
      <c r="L1028" s="4">
        <v>0.65716363703990543</v>
      </c>
      <c r="M1028" s="4">
        <v>0.34283636296009462</v>
      </c>
      <c r="N1028">
        <v>3</v>
      </c>
    </row>
    <row r="1029" spans="1:14" x14ac:dyDescent="0.35">
      <c r="A1029" s="1">
        <v>3259</v>
      </c>
      <c r="B1029">
        <v>10</v>
      </c>
      <c r="C1029">
        <v>46</v>
      </c>
      <c r="D1029">
        <v>4</v>
      </c>
      <c r="E1029">
        <v>0</v>
      </c>
      <c r="F1029">
        <v>3</v>
      </c>
      <c r="G1029">
        <v>8</v>
      </c>
      <c r="H1029">
        <v>2</v>
      </c>
      <c r="I1029">
        <v>1000</v>
      </c>
      <c r="J1029">
        <v>12</v>
      </c>
      <c r="K1029">
        <v>0</v>
      </c>
      <c r="L1029" s="4">
        <v>0.65731162254593101</v>
      </c>
      <c r="M1029" s="4">
        <v>0.34268837745406888</v>
      </c>
      <c r="N1029">
        <v>3</v>
      </c>
    </row>
    <row r="1030" spans="1:14" x14ac:dyDescent="0.35">
      <c r="A1030" s="1">
        <v>3694</v>
      </c>
      <c r="B1030">
        <v>7</v>
      </c>
      <c r="C1030">
        <v>35</v>
      </c>
      <c r="D1030">
        <v>5</v>
      </c>
      <c r="E1030">
        <v>0</v>
      </c>
      <c r="F1030">
        <v>0</v>
      </c>
      <c r="G1030">
        <v>4</v>
      </c>
      <c r="H1030">
        <v>2</v>
      </c>
      <c r="I1030">
        <v>1300</v>
      </c>
      <c r="J1030">
        <v>2</v>
      </c>
      <c r="K1030">
        <v>1</v>
      </c>
      <c r="L1030" s="4">
        <v>0.65746400986433207</v>
      </c>
      <c r="M1030" s="4">
        <v>0.34253599013566788</v>
      </c>
      <c r="N1030">
        <v>3</v>
      </c>
    </row>
    <row r="1031" spans="1:14" x14ac:dyDescent="0.35">
      <c r="A1031" s="1">
        <v>3399</v>
      </c>
      <c r="B1031">
        <v>5</v>
      </c>
      <c r="C1031">
        <v>28</v>
      </c>
      <c r="D1031">
        <v>3</v>
      </c>
      <c r="E1031">
        <v>0</v>
      </c>
      <c r="F1031">
        <v>0</v>
      </c>
      <c r="G1031">
        <v>2</v>
      </c>
      <c r="H1031">
        <v>2</v>
      </c>
      <c r="I1031">
        <v>600</v>
      </c>
      <c r="J1031">
        <v>4</v>
      </c>
      <c r="K1031">
        <v>0</v>
      </c>
      <c r="L1031" s="4">
        <v>0.65773217369225689</v>
      </c>
      <c r="M1031" s="4">
        <v>0.34226782630774311</v>
      </c>
      <c r="N1031">
        <v>3</v>
      </c>
    </row>
    <row r="1032" spans="1:14" x14ac:dyDescent="0.35">
      <c r="A1032" s="1">
        <v>1074</v>
      </c>
      <c r="B1032">
        <v>8</v>
      </c>
      <c r="C1032">
        <v>35</v>
      </c>
      <c r="D1032">
        <v>0</v>
      </c>
      <c r="E1032">
        <v>1</v>
      </c>
      <c r="F1032">
        <v>3</v>
      </c>
      <c r="G1032">
        <v>3</v>
      </c>
      <c r="H1032">
        <v>2</v>
      </c>
      <c r="I1032">
        <v>1200</v>
      </c>
      <c r="J1032">
        <v>1</v>
      </c>
      <c r="K1032">
        <v>1</v>
      </c>
      <c r="L1032" s="4">
        <v>0.6577966765477159</v>
      </c>
      <c r="M1032" s="4">
        <v>0.34220332345228421</v>
      </c>
      <c r="N1032">
        <v>3</v>
      </c>
    </row>
    <row r="1033" spans="1:14" x14ac:dyDescent="0.35">
      <c r="A1033" s="1">
        <v>4389</v>
      </c>
      <c r="B1033">
        <v>7</v>
      </c>
      <c r="C1033">
        <v>28</v>
      </c>
      <c r="D1033">
        <v>1</v>
      </c>
      <c r="E1033">
        <v>2</v>
      </c>
      <c r="F1033">
        <v>2</v>
      </c>
      <c r="G1033">
        <v>0</v>
      </c>
      <c r="H1033">
        <v>0</v>
      </c>
      <c r="I1033">
        <v>8000</v>
      </c>
      <c r="J1033">
        <v>1</v>
      </c>
      <c r="K1033">
        <v>0</v>
      </c>
      <c r="L1033" s="4">
        <v>0.65788813561440107</v>
      </c>
      <c r="M1033" s="4">
        <v>0.34211186438559887</v>
      </c>
      <c r="N1033">
        <v>3</v>
      </c>
    </row>
    <row r="1034" spans="1:14" x14ac:dyDescent="0.35">
      <c r="A1034" s="1">
        <v>1648</v>
      </c>
      <c r="B1034">
        <v>13</v>
      </c>
      <c r="C1034">
        <v>58</v>
      </c>
      <c r="D1034">
        <v>5</v>
      </c>
      <c r="E1034">
        <v>0</v>
      </c>
      <c r="F1034">
        <v>0</v>
      </c>
      <c r="G1034">
        <v>11</v>
      </c>
      <c r="H1034">
        <v>3</v>
      </c>
      <c r="I1034">
        <v>0.01</v>
      </c>
      <c r="J1034">
        <v>5</v>
      </c>
      <c r="K1034">
        <v>0</v>
      </c>
      <c r="L1034" s="4">
        <v>0.65799820497534078</v>
      </c>
      <c r="M1034" s="4">
        <v>0.34200179502465922</v>
      </c>
      <c r="N1034">
        <v>3</v>
      </c>
    </row>
    <row r="1035" spans="1:14" x14ac:dyDescent="0.35">
      <c r="A1035" s="1">
        <v>3224</v>
      </c>
      <c r="B1035">
        <v>7</v>
      </c>
      <c r="C1035">
        <v>35</v>
      </c>
      <c r="D1035">
        <v>2</v>
      </c>
      <c r="E1035">
        <v>0</v>
      </c>
      <c r="F1035">
        <v>3</v>
      </c>
      <c r="G1035">
        <v>3</v>
      </c>
      <c r="H1035">
        <v>2</v>
      </c>
      <c r="I1035">
        <v>500</v>
      </c>
      <c r="J1035">
        <v>1</v>
      </c>
      <c r="K1035">
        <v>1</v>
      </c>
      <c r="L1035" s="4">
        <v>0.65824083779513776</v>
      </c>
      <c r="M1035" s="4">
        <v>0.34175916220486219</v>
      </c>
      <c r="N1035">
        <v>3</v>
      </c>
    </row>
    <row r="1036" spans="1:14" x14ac:dyDescent="0.35">
      <c r="A1036" s="1">
        <v>4189</v>
      </c>
      <c r="B1036">
        <v>9</v>
      </c>
      <c r="C1036">
        <v>42</v>
      </c>
      <c r="D1036">
        <v>5</v>
      </c>
      <c r="E1036">
        <v>0</v>
      </c>
      <c r="F1036">
        <v>3</v>
      </c>
      <c r="G1036">
        <v>3</v>
      </c>
      <c r="H1036">
        <v>2</v>
      </c>
      <c r="I1036">
        <v>360</v>
      </c>
      <c r="J1036">
        <v>11</v>
      </c>
      <c r="K1036">
        <v>1</v>
      </c>
      <c r="L1036" s="4">
        <v>0.65825552893068384</v>
      </c>
      <c r="M1036" s="4">
        <v>0.34174447106931621</v>
      </c>
      <c r="N1036">
        <v>3</v>
      </c>
    </row>
    <row r="1037" spans="1:14" x14ac:dyDescent="0.35">
      <c r="A1037" s="1">
        <v>3754</v>
      </c>
      <c r="B1037">
        <v>11</v>
      </c>
      <c r="C1037">
        <v>51</v>
      </c>
      <c r="D1037">
        <v>4</v>
      </c>
      <c r="E1037">
        <v>0</v>
      </c>
      <c r="F1037">
        <v>1</v>
      </c>
      <c r="G1037">
        <v>7</v>
      </c>
      <c r="H1037">
        <v>2</v>
      </c>
      <c r="I1037">
        <v>1200</v>
      </c>
      <c r="J1037">
        <v>4</v>
      </c>
      <c r="K1037">
        <v>0</v>
      </c>
      <c r="L1037" s="4">
        <v>0.65838554893666112</v>
      </c>
      <c r="M1037" s="4">
        <v>0.34161445106333888</v>
      </c>
      <c r="N1037">
        <v>3</v>
      </c>
    </row>
    <row r="1038" spans="1:14" x14ac:dyDescent="0.35">
      <c r="A1038" s="1">
        <v>3299</v>
      </c>
      <c r="B1038">
        <v>8</v>
      </c>
      <c r="C1038">
        <v>42</v>
      </c>
      <c r="D1038">
        <v>0</v>
      </c>
      <c r="E1038">
        <v>0</v>
      </c>
      <c r="F1038">
        <v>3</v>
      </c>
      <c r="G1038">
        <v>3</v>
      </c>
      <c r="H1038">
        <v>0</v>
      </c>
      <c r="I1038">
        <v>12000</v>
      </c>
      <c r="J1038">
        <v>14</v>
      </c>
      <c r="K1038">
        <v>1</v>
      </c>
      <c r="L1038" s="4">
        <v>0.65860884814013965</v>
      </c>
      <c r="M1038" s="4">
        <v>0.34139115185986041</v>
      </c>
      <c r="N1038">
        <v>3</v>
      </c>
    </row>
    <row r="1039" spans="1:14" x14ac:dyDescent="0.35">
      <c r="A1039" s="1">
        <v>809</v>
      </c>
      <c r="B1039">
        <v>8</v>
      </c>
      <c r="C1039">
        <v>38</v>
      </c>
      <c r="D1039">
        <v>5</v>
      </c>
      <c r="E1039">
        <v>0</v>
      </c>
      <c r="F1039">
        <v>3</v>
      </c>
      <c r="G1039">
        <v>3</v>
      </c>
      <c r="H1039">
        <v>2</v>
      </c>
      <c r="I1039">
        <v>900.02</v>
      </c>
      <c r="J1039">
        <v>11</v>
      </c>
      <c r="K1039">
        <v>1</v>
      </c>
      <c r="L1039" s="4">
        <v>0.65873938558586342</v>
      </c>
      <c r="M1039" s="4">
        <v>0.34126061441413658</v>
      </c>
      <c r="N1039">
        <v>3</v>
      </c>
    </row>
    <row r="1040" spans="1:14" x14ac:dyDescent="0.35">
      <c r="A1040" s="1">
        <v>375</v>
      </c>
      <c r="B1040">
        <v>8</v>
      </c>
      <c r="C1040">
        <v>35</v>
      </c>
      <c r="D1040">
        <v>0</v>
      </c>
      <c r="E1040">
        <v>1</v>
      </c>
      <c r="F1040">
        <v>1</v>
      </c>
      <c r="G1040">
        <v>7</v>
      </c>
      <c r="H1040">
        <v>3</v>
      </c>
      <c r="I1040">
        <v>0.01</v>
      </c>
      <c r="J1040">
        <v>6</v>
      </c>
      <c r="K1040">
        <v>0</v>
      </c>
      <c r="L1040" s="4">
        <v>0.65883766536172861</v>
      </c>
      <c r="M1040" s="4">
        <v>0.34116233463827139</v>
      </c>
      <c r="N1040">
        <v>3</v>
      </c>
    </row>
    <row r="1041" spans="1:14" x14ac:dyDescent="0.35">
      <c r="A1041" s="1">
        <v>3687</v>
      </c>
      <c r="B1041">
        <v>9</v>
      </c>
      <c r="C1041">
        <v>43</v>
      </c>
      <c r="D1041">
        <v>1</v>
      </c>
      <c r="E1041">
        <v>0</v>
      </c>
      <c r="F1041">
        <v>3</v>
      </c>
      <c r="G1041">
        <v>3</v>
      </c>
      <c r="H1041">
        <v>3</v>
      </c>
      <c r="I1041">
        <v>0.01</v>
      </c>
      <c r="J1041">
        <v>8</v>
      </c>
      <c r="K1041">
        <v>0</v>
      </c>
      <c r="L1041" s="4">
        <v>0.65902227742358899</v>
      </c>
      <c r="M1041" s="4">
        <v>0.34097772257641101</v>
      </c>
      <c r="N1041">
        <v>3</v>
      </c>
    </row>
    <row r="1042" spans="1:14" x14ac:dyDescent="0.35">
      <c r="A1042" s="1">
        <v>4280</v>
      </c>
      <c r="B1042">
        <v>7</v>
      </c>
      <c r="C1042">
        <v>37</v>
      </c>
      <c r="D1042">
        <v>2</v>
      </c>
      <c r="E1042">
        <v>0</v>
      </c>
      <c r="F1042">
        <v>3</v>
      </c>
      <c r="G1042">
        <v>3</v>
      </c>
      <c r="H1042">
        <v>0</v>
      </c>
      <c r="I1042">
        <v>15000</v>
      </c>
      <c r="J1042">
        <v>4</v>
      </c>
      <c r="K1042">
        <v>1</v>
      </c>
      <c r="L1042" s="4">
        <v>0.65938861444519459</v>
      </c>
      <c r="M1042" s="4">
        <v>0.34061138555480552</v>
      </c>
      <c r="N1042">
        <v>3</v>
      </c>
    </row>
    <row r="1043" spans="1:14" x14ac:dyDescent="0.35">
      <c r="A1043" s="1">
        <v>4142</v>
      </c>
      <c r="B1043">
        <v>12</v>
      </c>
      <c r="C1043">
        <v>51</v>
      </c>
      <c r="D1043">
        <v>1</v>
      </c>
      <c r="E1043">
        <v>1</v>
      </c>
      <c r="F1043">
        <v>1</v>
      </c>
      <c r="G1043">
        <v>12</v>
      </c>
      <c r="H1043">
        <v>2</v>
      </c>
      <c r="I1043">
        <v>1000</v>
      </c>
      <c r="J1043">
        <v>1</v>
      </c>
      <c r="K1043">
        <v>0</v>
      </c>
      <c r="L1043" s="4">
        <v>0.65939161887234299</v>
      </c>
      <c r="M1043" s="4">
        <v>0.34060838112765701</v>
      </c>
      <c r="N1043">
        <v>3</v>
      </c>
    </row>
    <row r="1044" spans="1:14" x14ac:dyDescent="0.35">
      <c r="A1044" s="1">
        <v>4064</v>
      </c>
      <c r="B1044">
        <v>11</v>
      </c>
      <c r="C1044">
        <v>52</v>
      </c>
      <c r="D1044">
        <v>2</v>
      </c>
      <c r="E1044">
        <v>0</v>
      </c>
      <c r="F1044">
        <v>0</v>
      </c>
      <c r="G1044">
        <v>4</v>
      </c>
      <c r="H1044">
        <v>3</v>
      </c>
      <c r="I1044">
        <v>0.01</v>
      </c>
      <c r="J1044">
        <v>5</v>
      </c>
      <c r="K1044">
        <v>0</v>
      </c>
      <c r="L1044" s="4">
        <v>0.66003345479283437</v>
      </c>
      <c r="M1044" s="4">
        <v>0.33996654520716563</v>
      </c>
      <c r="N1044">
        <v>3</v>
      </c>
    </row>
    <row r="1045" spans="1:14" x14ac:dyDescent="0.35">
      <c r="A1045" s="1">
        <v>4263</v>
      </c>
      <c r="B1045">
        <v>9</v>
      </c>
      <c r="C1045">
        <v>42</v>
      </c>
      <c r="D1045">
        <v>5</v>
      </c>
      <c r="E1045">
        <v>0</v>
      </c>
      <c r="F1045">
        <v>0</v>
      </c>
      <c r="G1045">
        <v>11</v>
      </c>
      <c r="H1045">
        <v>3</v>
      </c>
      <c r="I1045">
        <v>0.01</v>
      </c>
      <c r="J1045">
        <v>7</v>
      </c>
      <c r="K1045">
        <v>1</v>
      </c>
      <c r="L1045" s="4">
        <v>0.6601366092199823</v>
      </c>
      <c r="M1045" s="4">
        <v>0.33986339078001759</v>
      </c>
      <c r="N1045">
        <v>3</v>
      </c>
    </row>
    <row r="1046" spans="1:14" x14ac:dyDescent="0.35">
      <c r="A1046" s="1">
        <v>4225</v>
      </c>
      <c r="B1046">
        <v>11</v>
      </c>
      <c r="C1046">
        <v>51</v>
      </c>
      <c r="D1046">
        <v>3</v>
      </c>
      <c r="E1046">
        <v>0</v>
      </c>
      <c r="F1046">
        <v>0</v>
      </c>
      <c r="G1046">
        <v>11</v>
      </c>
      <c r="H1046">
        <v>3</v>
      </c>
      <c r="I1046">
        <v>0.01</v>
      </c>
      <c r="J1046">
        <v>8</v>
      </c>
      <c r="K1046">
        <v>0</v>
      </c>
      <c r="L1046" s="4">
        <v>0.66019047959643751</v>
      </c>
      <c r="M1046" s="4">
        <v>0.33980952040356238</v>
      </c>
      <c r="N1046">
        <v>3</v>
      </c>
    </row>
    <row r="1047" spans="1:14" x14ac:dyDescent="0.35">
      <c r="A1047" s="1">
        <v>3232</v>
      </c>
      <c r="B1047">
        <v>9</v>
      </c>
      <c r="C1047">
        <v>44</v>
      </c>
      <c r="D1047">
        <v>2</v>
      </c>
      <c r="E1047">
        <v>0</v>
      </c>
      <c r="F1047">
        <v>2</v>
      </c>
      <c r="G1047">
        <v>0</v>
      </c>
      <c r="H1047">
        <v>2</v>
      </c>
      <c r="I1047">
        <v>35</v>
      </c>
      <c r="J1047">
        <v>2</v>
      </c>
      <c r="K1047">
        <v>0</v>
      </c>
      <c r="L1047" s="4">
        <v>0.66019555993034407</v>
      </c>
      <c r="M1047" s="4">
        <v>0.33980444006965588</v>
      </c>
      <c r="N1047">
        <v>3</v>
      </c>
    </row>
    <row r="1048" spans="1:14" x14ac:dyDescent="0.35">
      <c r="A1048" s="1">
        <v>2516</v>
      </c>
      <c r="B1048">
        <v>9</v>
      </c>
      <c r="C1048">
        <v>38</v>
      </c>
      <c r="D1048">
        <v>5</v>
      </c>
      <c r="E1048">
        <v>1</v>
      </c>
      <c r="F1048">
        <v>1</v>
      </c>
      <c r="G1048">
        <v>5</v>
      </c>
      <c r="H1048">
        <v>2</v>
      </c>
      <c r="I1048">
        <v>1000</v>
      </c>
      <c r="J1048">
        <v>9</v>
      </c>
      <c r="K1048">
        <v>1</v>
      </c>
      <c r="L1048" s="4">
        <v>0.66060222580880323</v>
      </c>
      <c r="M1048" s="4">
        <v>0.33939777419119682</v>
      </c>
      <c r="N1048">
        <v>3</v>
      </c>
    </row>
    <row r="1049" spans="1:14" x14ac:dyDescent="0.35">
      <c r="A1049" s="1">
        <v>2175</v>
      </c>
      <c r="B1049">
        <v>16</v>
      </c>
      <c r="C1049">
        <v>73</v>
      </c>
      <c r="D1049">
        <v>1</v>
      </c>
      <c r="E1049">
        <v>0</v>
      </c>
      <c r="F1049">
        <v>1</v>
      </c>
      <c r="G1049">
        <v>5</v>
      </c>
      <c r="H1049">
        <v>2</v>
      </c>
      <c r="I1049">
        <v>2000.01</v>
      </c>
      <c r="J1049">
        <v>7</v>
      </c>
      <c r="K1049">
        <v>0</v>
      </c>
      <c r="L1049" s="4">
        <v>0.66067774410870261</v>
      </c>
      <c r="M1049" s="4">
        <v>0.33932225589129728</v>
      </c>
      <c r="N1049">
        <v>3</v>
      </c>
    </row>
    <row r="1050" spans="1:14" x14ac:dyDescent="0.35">
      <c r="A1050" s="1">
        <v>3600</v>
      </c>
      <c r="B1050">
        <v>9</v>
      </c>
      <c r="C1050">
        <v>43</v>
      </c>
      <c r="D1050">
        <v>3</v>
      </c>
      <c r="E1050">
        <v>0</v>
      </c>
      <c r="F1050">
        <v>3</v>
      </c>
      <c r="G1050">
        <v>3</v>
      </c>
      <c r="H1050">
        <v>2</v>
      </c>
      <c r="I1050">
        <v>3000.01</v>
      </c>
      <c r="J1050">
        <v>5</v>
      </c>
      <c r="K1050">
        <v>0</v>
      </c>
      <c r="L1050" s="4">
        <v>0.66073138767735817</v>
      </c>
      <c r="M1050" s="4">
        <v>0.33926861232264183</v>
      </c>
      <c r="N1050">
        <v>3</v>
      </c>
    </row>
    <row r="1051" spans="1:14" x14ac:dyDescent="0.35">
      <c r="A1051" s="1">
        <v>3939</v>
      </c>
      <c r="B1051">
        <v>8</v>
      </c>
      <c r="C1051">
        <v>39</v>
      </c>
      <c r="D1051">
        <v>3</v>
      </c>
      <c r="E1051">
        <v>0</v>
      </c>
      <c r="F1051">
        <v>3</v>
      </c>
      <c r="G1051">
        <v>3</v>
      </c>
      <c r="H1051">
        <v>2</v>
      </c>
      <c r="I1051">
        <v>50</v>
      </c>
      <c r="J1051">
        <v>10</v>
      </c>
      <c r="K1051">
        <v>1</v>
      </c>
      <c r="L1051" s="4">
        <v>0.66103385984333052</v>
      </c>
      <c r="M1051" s="4">
        <v>0.33896614015666948</v>
      </c>
      <c r="N1051">
        <v>3</v>
      </c>
    </row>
    <row r="1052" spans="1:14" x14ac:dyDescent="0.35">
      <c r="A1052" s="1">
        <v>830</v>
      </c>
      <c r="B1052">
        <v>11</v>
      </c>
      <c r="C1052">
        <v>51</v>
      </c>
      <c r="D1052">
        <v>3</v>
      </c>
      <c r="E1052">
        <v>0</v>
      </c>
      <c r="F1052">
        <v>0</v>
      </c>
      <c r="G1052">
        <v>11</v>
      </c>
      <c r="H1052">
        <v>3</v>
      </c>
      <c r="I1052">
        <v>0.01</v>
      </c>
      <c r="J1052">
        <v>5</v>
      </c>
      <c r="K1052">
        <v>1</v>
      </c>
      <c r="L1052" s="4">
        <v>0.66105481222157114</v>
      </c>
      <c r="M1052" s="4">
        <v>0.33894518777842891</v>
      </c>
      <c r="N1052">
        <v>3</v>
      </c>
    </row>
    <row r="1053" spans="1:14" x14ac:dyDescent="0.35">
      <c r="A1053" s="1">
        <v>101</v>
      </c>
      <c r="B1053">
        <v>11</v>
      </c>
      <c r="C1053">
        <v>51</v>
      </c>
      <c r="D1053">
        <v>3</v>
      </c>
      <c r="E1053">
        <v>0</v>
      </c>
      <c r="F1053">
        <v>1</v>
      </c>
      <c r="G1053">
        <v>7</v>
      </c>
      <c r="H1053">
        <v>3</v>
      </c>
      <c r="I1053">
        <v>0.01</v>
      </c>
      <c r="J1053">
        <v>10</v>
      </c>
      <c r="K1053">
        <v>1</v>
      </c>
      <c r="L1053" s="4">
        <v>0.66106413057949576</v>
      </c>
      <c r="M1053" s="4">
        <v>0.33893586942050419</v>
      </c>
      <c r="N1053">
        <v>3</v>
      </c>
    </row>
    <row r="1054" spans="1:14" x14ac:dyDescent="0.35">
      <c r="A1054" s="1">
        <v>1140</v>
      </c>
      <c r="B1054">
        <v>9</v>
      </c>
      <c r="C1054">
        <v>40</v>
      </c>
      <c r="D1054">
        <v>1</v>
      </c>
      <c r="E1054">
        <v>1</v>
      </c>
      <c r="F1054">
        <v>3</v>
      </c>
      <c r="G1054">
        <v>8</v>
      </c>
      <c r="H1054">
        <v>0</v>
      </c>
      <c r="I1054">
        <v>6000</v>
      </c>
      <c r="J1054">
        <v>1</v>
      </c>
      <c r="K1054">
        <v>0</v>
      </c>
      <c r="L1054" s="4">
        <v>0.66119760577902653</v>
      </c>
      <c r="M1054" s="4">
        <v>0.33880239422097352</v>
      </c>
      <c r="N1054">
        <v>3</v>
      </c>
    </row>
    <row r="1055" spans="1:14" x14ac:dyDescent="0.35">
      <c r="A1055" s="1">
        <v>309</v>
      </c>
      <c r="B1055">
        <v>7</v>
      </c>
      <c r="C1055">
        <v>34</v>
      </c>
      <c r="D1055">
        <v>4</v>
      </c>
      <c r="E1055">
        <v>0</v>
      </c>
      <c r="F1055">
        <v>3</v>
      </c>
      <c r="G1055">
        <v>8</v>
      </c>
      <c r="H1055">
        <v>2</v>
      </c>
      <c r="I1055">
        <v>3000</v>
      </c>
      <c r="J1055">
        <v>3</v>
      </c>
      <c r="K1055">
        <v>1</v>
      </c>
      <c r="L1055" s="4">
        <v>0.66122208183944409</v>
      </c>
      <c r="M1055" s="4">
        <v>0.33877791816055591</v>
      </c>
      <c r="N1055">
        <v>3</v>
      </c>
    </row>
    <row r="1056" spans="1:14" x14ac:dyDescent="0.35">
      <c r="A1056" s="1">
        <v>1196</v>
      </c>
      <c r="B1056">
        <v>8</v>
      </c>
      <c r="C1056">
        <v>39</v>
      </c>
      <c r="D1056">
        <v>4</v>
      </c>
      <c r="E1056">
        <v>0</v>
      </c>
      <c r="F1056">
        <v>1</v>
      </c>
      <c r="G1056">
        <v>7</v>
      </c>
      <c r="H1056">
        <v>2</v>
      </c>
      <c r="I1056">
        <v>720</v>
      </c>
      <c r="J1056">
        <v>1</v>
      </c>
      <c r="K1056">
        <v>1</v>
      </c>
      <c r="L1056" s="4">
        <v>0.66145876158806161</v>
      </c>
      <c r="M1056" s="4">
        <v>0.33854123841193839</v>
      </c>
      <c r="N1056">
        <v>3</v>
      </c>
    </row>
    <row r="1057" spans="1:14" x14ac:dyDescent="0.35">
      <c r="A1057" s="1">
        <v>3859</v>
      </c>
      <c r="B1057">
        <v>10</v>
      </c>
      <c r="C1057">
        <v>47</v>
      </c>
      <c r="D1057">
        <v>5</v>
      </c>
      <c r="E1057">
        <v>0</v>
      </c>
      <c r="F1057">
        <v>0</v>
      </c>
      <c r="G1057">
        <v>11</v>
      </c>
      <c r="H1057">
        <v>2</v>
      </c>
      <c r="I1057">
        <v>3000.01</v>
      </c>
      <c r="J1057">
        <v>8</v>
      </c>
      <c r="K1057">
        <v>0</v>
      </c>
      <c r="L1057" s="4">
        <v>0.66171019774039685</v>
      </c>
      <c r="M1057" s="4">
        <v>0.33828980225960309</v>
      </c>
      <c r="N1057">
        <v>3</v>
      </c>
    </row>
    <row r="1058" spans="1:14" x14ac:dyDescent="0.35">
      <c r="A1058" s="1">
        <v>1586</v>
      </c>
      <c r="B1058">
        <v>8</v>
      </c>
      <c r="C1058">
        <v>39</v>
      </c>
      <c r="D1058">
        <v>2</v>
      </c>
      <c r="E1058">
        <v>0</v>
      </c>
      <c r="F1058">
        <v>3</v>
      </c>
      <c r="G1058">
        <v>8</v>
      </c>
      <c r="H1058">
        <v>2</v>
      </c>
      <c r="I1058">
        <v>50.01</v>
      </c>
      <c r="J1058">
        <v>8</v>
      </c>
      <c r="K1058">
        <v>0</v>
      </c>
      <c r="L1058" s="4">
        <v>0.66186575222337662</v>
      </c>
      <c r="M1058" s="4">
        <v>0.33813424777662338</v>
      </c>
      <c r="N1058">
        <v>3</v>
      </c>
    </row>
    <row r="1059" spans="1:14" x14ac:dyDescent="0.35">
      <c r="A1059" s="1">
        <v>319</v>
      </c>
      <c r="B1059">
        <v>8</v>
      </c>
      <c r="C1059">
        <v>33</v>
      </c>
      <c r="D1059">
        <v>5</v>
      </c>
      <c r="E1059">
        <v>1</v>
      </c>
      <c r="F1059">
        <v>1</v>
      </c>
      <c r="G1059">
        <v>7</v>
      </c>
      <c r="H1059">
        <v>3</v>
      </c>
      <c r="I1059">
        <v>0.01</v>
      </c>
      <c r="J1059">
        <v>4</v>
      </c>
      <c r="K1059">
        <v>1</v>
      </c>
      <c r="L1059" s="4">
        <v>0.66191818232984478</v>
      </c>
      <c r="M1059" s="4">
        <v>0.33808181767015522</v>
      </c>
      <c r="N1059">
        <v>3</v>
      </c>
    </row>
    <row r="1060" spans="1:14" x14ac:dyDescent="0.35">
      <c r="A1060" s="1">
        <v>720</v>
      </c>
      <c r="B1060">
        <v>13</v>
      </c>
      <c r="C1060">
        <v>60</v>
      </c>
      <c r="D1060">
        <v>1</v>
      </c>
      <c r="E1060">
        <v>0</v>
      </c>
      <c r="F1060">
        <v>1</v>
      </c>
      <c r="G1060">
        <v>7</v>
      </c>
      <c r="H1060">
        <v>3</v>
      </c>
      <c r="I1060">
        <v>0.01</v>
      </c>
      <c r="J1060">
        <v>8</v>
      </c>
      <c r="K1060">
        <v>0</v>
      </c>
      <c r="L1060" s="4">
        <v>0.6619811108272311</v>
      </c>
      <c r="M1060" s="4">
        <v>0.33801888917276901</v>
      </c>
      <c r="N1060">
        <v>3</v>
      </c>
    </row>
    <row r="1061" spans="1:14" x14ac:dyDescent="0.35">
      <c r="A1061" s="1">
        <v>3969</v>
      </c>
      <c r="B1061">
        <v>12</v>
      </c>
      <c r="C1061">
        <v>50</v>
      </c>
      <c r="D1061">
        <v>5</v>
      </c>
      <c r="E1061">
        <v>1</v>
      </c>
      <c r="F1061">
        <v>1</v>
      </c>
      <c r="G1061">
        <v>7</v>
      </c>
      <c r="H1061">
        <v>2</v>
      </c>
      <c r="I1061">
        <v>1500</v>
      </c>
      <c r="J1061">
        <v>5</v>
      </c>
      <c r="K1061">
        <v>0</v>
      </c>
      <c r="L1061" s="4">
        <v>0.66200173145783936</v>
      </c>
      <c r="M1061" s="4">
        <v>0.33799826854216058</v>
      </c>
      <c r="N1061">
        <v>3</v>
      </c>
    </row>
    <row r="1062" spans="1:14" x14ac:dyDescent="0.35">
      <c r="A1062" s="1">
        <v>4306</v>
      </c>
      <c r="B1062">
        <v>7</v>
      </c>
      <c r="C1062">
        <v>32</v>
      </c>
      <c r="D1062">
        <v>2</v>
      </c>
      <c r="E1062">
        <v>1</v>
      </c>
      <c r="F1062">
        <v>0</v>
      </c>
      <c r="G1062">
        <v>4</v>
      </c>
      <c r="H1062">
        <v>2</v>
      </c>
      <c r="I1062">
        <v>3480</v>
      </c>
      <c r="J1062">
        <v>11</v>
      </c>
      <c r="K1062">
        <v>1</v>
      </c>
      <c r="L1062" s="4">
        <v>0.66217059984142168</v>
      </c>
      <c r="M1062" s="4">
        <v>0.33782940015857832</v>
      </c>
      <c r="N1062">
        <v>3</v>
      </c>
    </row>
    <row r="1063" spans="1:14" x14ac:dyDescent="0.35">
      <c r="A1063" s="1">
        <v>866</v>
      </c>
      <c r="B1063">
        <v>6</v>
      </c>
      <c r="C1063">
        <v>31</v>
      </c>
      <c r="D1063">
        <v>2</v>
      </c>
      <c r="E1063">
        <v>0</v>
      </c>
      <c r="F1063">
        <v>3</v>
      </c>
      <c r="G1063">
        <v>8</v>
      </c>
      <c r="H1063">
        <v>2</v>
      </c>
      <c r="I1063">
        <v>3664.59</v>
      </c>
      <c r="J1063">
        <v>6</v>
      </c>
      <c r="K1063">
        <v>1</v>
      </c>
      <c r="L1063" s="4">
        <v>0.66248978854314255</v>
      </c>
      <c r="M1063" s="4">
        <v>0.33751021145685739</v>
      </c>
      <c r="N1063">
        <v>3</v>
      </c>
    </row>
    <row r="1064" spans="1:14" x14ac:dyDescent="0.35">
      <c r="A1064" s="1">
        <v>2419</v>
      </c>
      <c r="B1064">
        <v>11</v>
      </c>
      <c r="C1064">
        <v>50</v>
      </c>
      <c r="D1064">
        <v>3</v>
      </c>
      <c r="E1064">
        <v>0</v>
      </c>
      <c r="F1064">
        <v>3</v>
      </c>
      <c r="G1064">
        <v>8</v>
      </c>
      <c r="H1064">
        <v>3</v>
      </c>
      <c r="I1064">
        <v>0.01</v>
      </c>
      <c r="J1064">
        <v>6</v>
      </c>
      <c r="K1064">
        <v>1</v>
      </c>
      <c r="L1064" s="4">
        <v>0.66269905889732683</v>
      </c>
      <c r="M1064" s="4">
        <v>0.33730094110267322</v>
      </c>
      <c r="N1064">
        <v>3</v>
      </c>
    </row>
    <row r="1065" spans="1:14" x14ac:dyDescent="0.35">
      <c r="A1065" s="1">
        <v>3455</v>
      </c>
      <c r="B1065">
        <v>14</v>
      </c>
      <c r="C1065">
        <v>63</v>
      </c>
      <c r="D1065">
        <v>3</v>
      </c>
      <c r="E1065">
        <v>0</v>
      </c>
      <c r="F1065">
        <v>3</v>
      </c>
      <c r="G1065">
        <v>8</v>
      </c>
      <c r="H1065">
        <v>2</v>
      </c>
      <c r="I1065">
        <v>3000</v>
      </c>
      <c r="J1065">
        <v>7</v>
      </c>
      <c r="K1065">
        <v>0</v>
      </c>
      <c r="L1065" s="4">
        <v>0.66291769075354279</v>
      </c>
      <c r="M1065" s="4">
        <v>0.33708230924645721</v>
      </c>
      <c r="N1065">
        <v>3</v>
      </c>
    </row>
    <row r="1066" spans="1:14" x14ac:dyDescent="0.35">
      <c r="A1066" s="1">
        <v>4323</v>
      </c>
      <c r="B1066">
        <v>15</v>
      </c>
      <c r="C1066">
        <v>67</v>
      </c>
      <c r="D1066">
        <v>3</v>
      </c>
      <c r="E1066">
        <v>0</v>
      </c>
      <c r="F1066">
        <v>3</v>
      </c>
      <c r="G1066">
        <v>8</v>
      </c>
      <c r="H1066">
        <v>2</v>
      </c>
      <c r="I1066">
        <v>5000</v>
      </c>
      <c r="J1066">
        <v>2</v>
      </c>
      <c r="K1066">
        <v>1</v>
      </c>
      <c r="L1066" s="4">
        <v>0.66295815281914716</v>
      </c>
      <c r="M1066" s="4">
        <v>0.33704184718085278</v>
      </c>
      <c r="N1066">
        <v>3</v>
      </c>
    </row>
    <row r="1067" spans="1:14" x14ac:dyDescent="0.35">
      <c r="A1067" s="1">
        <v>1141</v>
      </c>
      <c r="B1067">
        <v>10</v>
      </c>
      <c r="C1067">
        <v>48</v>
      </c>
      <c r="D1067">
        <v>4</v>
      </c>
      <c r="E1067">
        <v>0</v>
      </c>
      <c r="F1067">
        <v>3</v>
      </c>
      <c r="G1067">
        <v>8</v>
      </c>
      <c r="H1067">
        <v>0</v>
      </c>
      <c r="I1067">
        <v>9085.23</v>
      </c>
      <c r="J1067">
        <v>6</v>
      </c>
      <c r="K1067">
        <v>1</v>
      </c>
      <c r="L1067" s="4">
        <v>0.66336905557448644</v>
      </c>
      <c r="M1067" s="4">
        <v>0.33663094442551361</v>
      </c>
      <c r="N1067">
        <v>3</v>
      </c>
    </row>
    <row r="1068" spans="1:14" x14ac:dyDescent="0.35">
      <c r="A1068" s="1">
        <v>680</v>
      </c>
      <c r="B1068">
        <v>9</v>
      </c>
      <c r="C1068">
        <v>43</v>
      </c>
      <c r="D1068">
        <v>4</v>
      </c>
      <c r="E1068">
        <v>0</v>
      </c>
      <c r="F1068">
        <v>2</v>
      </c>
      <c r="G1068">
        <v>6</v>
      </c>
      <c r="H1068">
        <v>2</v>
      </c>
      <c r="I1068">
        <v>3000</v>
      </c>
      <c r="J1068">
        <v>6</v>
      </c>
      <c r="K1068">
        <v>1</v>
      </c>
      <c r="L1068" s="4">
        <v>0.66365305575463585</v>
      </c>
      <c r="M1068" s="4">
        <v>0.33634694424536421</v>
      </c>
      <c r="N1068">
        <v>3</v>
      </c>
    </row>
    <row r="1069" spans="1:14" x14ac:dyDescent="0.35">
      <c r="A1069" s="1">
        <v>346</v>
      </c>
      <c r="B1069">
        <v>9</v>
      </c>
      <c r="C1069">
        <v>42</v>
      </c>
      <c r="D1069">
        <v>4</v>
      </c>
      <c r="E1069">
        <v>0</v>
      </c>
      <c r="F1069">
        <v>3</v>
      </c>
      <c r="G1069">
        <v>3</v>
      </c>
      <c r="H1069">
        <v>3</v>
      </c>
      <c r="I1069">
        <v>0.01</v>
      </c>
      <c r="J1069">
        <v>6</v>
      </c>
      <c r="K1069">
        <v>1</v>
      </c>
      <c r="L1069" s="4">
        <v>0.66379318184866376</v>
      </c>
      <c r="M1069" s="4">
        <v>0.3362068181513363</v>
      </c>
      <c r="N1069">
        <v>3</v>
      </c>
    </row>
    <row r="1070" spans="1:14" x14ac:dyDescent="0.35">
      <c r="A1070" s="1">
        <v>4281</v>
      </c>
      <c r="B1070">
        <v>10</v>
      </c>
      <c r="C1070">
        <v>46</v>
      </c>
      <c r="D1070">
        <v>3</v>
      </c>
      <c r="E1070">
        <v>0</v>
      </c>
      <c r="F1070">
        <v>3</v>
      </c>
      <c r="G1070">
        <v>8</v>
      </c>
      <c r="H1070">
        <v>3</v>
      </c>
      <c r="I1070">
        <v>0.01</v>
      </c>
      <c r="J1070">
        <v>4</v>
      </c>
      <c r="K1070">
        <v>0</v>
      </c>
      <c r="L1070" s="4">
        <v>0.66394786232935554</v>
      </c>
      <c r="M1070" s="4">
        <v>0.33605213767064451</v>
      </c>
      <c r="N1070">
        <v>3</v>
      </c>
    </row>
    <row r="1071" spans="1:14" x14ac:dyDescent="0.35">
      <c r="A1071" s="1">
        <v>1946</v>
      </c>
      <c r="B1071">
        <v>8</v>
      </c>
      <c r="C1071">
        <v>33</v>
      </c>
      <c r="D1071">
        <v>3</v>
      </c>
      <c r="E1071">
        <v>1</v>
      </c>
      <c r="F1071">
        <v>3</v>
      </c>
      <c r="G1071">
        <v>8</v>
      </c>
      <c r="H1071">
        <v>3</v>
      </c>
      <c r="I1071">
        <v>0.01</v>
      </c>
      <c r="J1071">
        <v>4</v>
      </c>
      <c r="K1071">
        <v>0</v>
      </c>
      <c r="L1071" s="4">
        <v>0.66409301873627991</v>
      </c>
      <c r="M1071" s="4">
        <v>0.33590698126372021</v>
      </c>
      <c r="N1071">
        <v>3</v>
      </c>
    </row>
    <row r="1072" spans="1:14" x14ac:dyDescent="0.35">
      <c r="A1072" s="1">
        <v>490</v>
      </c>
      <c r="B1072">
        <v>13</v>
      </c>
      <c r="C1072">
        <v>54</v>
      </c>
      <c r="D1072">
        <v>3</v>
      </c>
      <c r="E1072">
        <v>1</v>
      </c>
      <c r="F1072">
        <v>3</v>
      </c>
      <c r="G1072">
        <v>8</v>
      </c>
      <c r="H1072">
        <v>2</v>
      </c>
      <c r="I1072">
        <v>1500</v>
      </c>
      <c r="J1072">
        <v>2</v>
      </c>
      <c r="K1072">
        <v>0</v>
      </c>
      <c r="L1072" s="4">
        <v>0.66436217369381922</v>
      </c>
      <c r="M1072" s="4">
        <v>0.33563782630618072</v>
      </c>
      <c r="N1072">
        <v>3</v>
      </c>
    </row>
    <row r="1073" spans="1:14" x14ac:dyDescent="0.35">
      <c r="A1073" s="1">
        <v>746</v>
      </c>
      <c r="B1073">
        <v>11</v>
      </c>
      <c r="C1073">
        <v>52</v>
      </c>
      <c r="D1073">
        <v>3</v>
      </c>
      <c r="E1073">
        <v>0</v>
      </c>
      <c r="F1073">
        <v>1</v>
      </c>
      <c r="G1073">
        <v>7</v>
      </c>
      <c r="H1073">
        <v>2</v>
      </c>
      <c r="I1073">
        <v>1500</v>
      </c>
      <c r="J1073">
        <v>8</v>
      </c>
      <c r="K1073">
        <v>0</v>
      </c>
      <c r="L1073" s="4">
        <v>0.66471009450115059</v>
      </c>
      <c r="M1073" s="4">
        <v>0.33528990549884929</v>
      </c>
      <c r="N1073">
        <v>3</v>
      </c>
    </row>
    <row r="1074" spans="1:14" x14ac:dyDescent="0.35">
      <c r="A1074" s="1">
        <v>3971</v>
      </c>
      <c r="B1074">
        <v>11</v>
      </c>
      <c r="C1074">
        <v>51</v>
      </c>
      <c r="D1074">
        <v>1</v>
      </c>
      <c r="E1074">
        <v>0</v>
      </c>
      <c r="F1074">
        <v>3</v>
      </c>
      <c r="G1074">
        <v>8</v>
      </c>
      <c r="H1074">
        <v>3</v>
      </c>
      <c r="I1074">
        <v>0.01</v>
      </c>
      <c r="J1074">
        <v>4</v>
      </c>
      <c r="K1074">
        <v>0</v>
      </c>
      <c r="L1074" s="4">
        <v>0.66496161847783619</v>
      </c>
      <c r="M1074" s="4">
        <v>0.33503838152216392</v>
      </c>
      <c r="N1074">
        <v>3</v>
      </c>
    </row>
    <row r="1075" spans="1:14" x14ac:dyDescent="0.35">
      <c r="A1075" s="1">
        <v>1482</v>
      </c>
      <c r="B1075">
        <v>11</v>
      </c>
      <c r="C1075">
        <v>51</v>
      </c>
      <c r="D1075">
        <v>4</v>
      </c>
      <c r="E1075">
        <v>0</v>
      </c>
      <c r="F1075">
        <v>1</v>
      </c>
      <c r="G1075">
        <v>12</v>
      </c>
      <c r="H1075">
        <v>2</v>
      </c>
      <c r="I1075">
        <v>335</v>
      </c>
      <c r="J1075">
        <v>3</v>
      </c>
      <c r="K1075">
        <v>0</v>
      </c>
      <c r="L1075" s="4">
        <v>0.6651286358318369</v>
      </c>
      <c r="M1075" s="4">
        <v>0.3348713641681631</v>
      </c>
      <c r="N1075">
        <v>3</v>
      </c>
    </row>
    <row r="1076" spans="1:14" x14ac:dyDescent="0.35">
      <c r="A1076" s="1">
        <v>1002</v>
      </c>
      <c r="B1076">
        <v>10</v>
      </c>
      <c r="C1076">
        <v>50</v>
      </c>
      <c r="D1076">
        <v>1</v>
      </c>
      <c r="E1076">
        <v>0</v>
      </c>
      <c r="F1076">
        <v>2</v>
      </c>
      <c r="G1076">
        <v>6</v>
      </c>
      <c r="H1076">
        <v>1</v>
      </c>
      <c r="I1076">
        <v>31105.32</v>
      </c>
      <c r="J1076">
        <v>8</v>
      </c>
      <c r="K1076">
        <v>0</v>
      </c>
      <c r="L1076" s="4">
        <v>0.66515268968469254</v>
      </c>
      <c r="M1076" s="4">
        <v>0.33484731031530751</v>
      </c>
      <c r="N1076">
        <v>3</v>
      </c>
    </row>
    <row r="1077" spans="1:14" x14ac:dyDescent="0.35">
      <c r="A1077" s="1">
        <v>1337</v>
      </c>
      <c r="B1077">
        <v>7</v>
      </c>
      <c r="C1077">
        <v>37</v>
      </c>
      <c r="D1077">
        <v>2</v>
      </c>
      <c r="E1077">
        <v>0</v>
      </c>
      <c r="F1077">
        <v>3</v>
      </c>
      <c r="G1077">
        <v>8</v>
      </c>
      <c r="H1077">
        <v>0</v>
      </c>
      <c r="I1077">
        <v>12000</v>
      </c>
      <c r="J1077">
        <v>8</v>
      </c>
      <c r="K1077">
        <v>1</v>
      </c>
      <c r="L1077" s="4">
        <v>0.665457672685972</v>
      </c>
      <c r="M1077" s="4">
        <v>0.334542327314028</v>
      </c>
      <c r="N1077">
        <v>3</v>
      </c>
    </row>
    <row r="1078" spans="1:14" x14ac:dyDescent="0.35">
      <c r="A1078" s="1">
        <v>1962</v>
      </c>
      <c r="B1078">
        <v>8</v>
      </c>
      <c r="C1078">
        <v>41</v>
      </c>
      <c r="D1078">
        <v>2</v>
      </c>
      <c r="E1078">
        <v>0</v>
      </c>
      <c r="F1078">
        <v>0</v>
      </c>
      <c r="G1078">
        <v>4</v>
      </c>
      <c r="H1078">
        <v>2</v>
      </c>
      <c r="I1078">
        <v>490.01</v>
      </c>
      <c r="J1078">
        <v>5</v>
      </c>
      <c r="K1078">
        <v>0</v>
      </c>
      <c r="L1078" s="4">
        <v>0.66549543451666293</v>
      </c>
      <c r="M1078" s="4">
        <v>0.33450456548333712</v>
      </c>
      <c r="N1078">
        <v>3</v>
      </c>
    </row>
    <row r="1079" spans="1:14" x14ac:dyDescent="0.35">
      <c r="A1079" s="1">
        <v>730</v>
      </c>
      <c r="B1079">
        <v>11</v>
      </c>
      <c r="C1079">
        <v>53</v>
      </c>
      <c r="D1079">
        <v>3</v>
      </c>
      <c r="E1079">
        <v>0</v>
      </c>
      <c r="F1079">
        <v>0</v>
      </c>
      <c r="G1079">
        <v>2</v>
      </c>
      <c r="H1079">
        <v>2</v>
      </c>
      <c r="I1079">
        <v>4000</v>
      </c>
      <c r="J1079">
        <v>5</v>
      </c>
      <c r="K1079">
        <v>0</v>
      </c>
      <c r="L1079" s="4">
        <v>0.66562963397257824</v>
      </c>
      <c r="M1079" s="4">
        <v>0.33437036602742182</v>
      </c>
      <c r="N1079">
        <v>3</v>
      </c>
    </row>
    <row r="1080" spans="1:14" x14ac:dyDescent="0.35">
      <c r="A1080" s="1">
        <v>2695</v>
      </c>
      <c r="B1080">
        <v>10</v>
      </c>
      <c r="C1080">
        <v>48</v>
      </c>
      <c r="D1080">
        <v>2</v>
      </c>
      <c r="E1080">
        <v>0</v>
      </c>
      <c r="F1080">
        <v>1</v>
      </c>
      <c r="G1080">
        <v>12</v>
      </c>
      <c r="H1080">
        <v>2</v>
      </c>
      <c r="I1080">
        <v>600</v>
      </c>
      <c r="J1080">
        <v>8</v>
      </c>
      <c r="K1080">
        <v>0</v>
      </c>
      <c r="L1080" s="4">
        <v>0.66596072128517259</v>
      </c>
      <c r="M1080" s="4">
        <v>0.33403927871482753</v>
      </c>
      <c r="N1080">
        <v>3</v>
      </c>
    </row>
    <row r="1081" spans="1:14" x14ac:dyDescent="0.35">
      <c r="A1081" s="1">
        <v>1779</v>
      </c>
      <c r="B1081">
        <v>9</v>
      </c>
      <c r="C1081">
        <v>39</v>
      </c>
      <c r="D1081">
        <v>2</v>
      </c>
      <c r="E1081">
        <v>1</v>
      </c>
      <c r="F1081">
        <v>1</v>
      </c>
      <c r="G1081">
        <v>5</v>
      </c>
      <c r="H1081">
        <v>3</v>
      </c>
      <c r="I1081">
        <v>0.01</v>
      </c>
      <c r="J1081">
        <v>11</v>
      </c>
      <c r="K1081">
        <v>0</v>
      </c>
      <c r="L1081" s="4">
        <v>0.66603315834420318</v>
      </c>
      <c r="M1081" s="4">
        <v>0.33396684165579688</v>
      </c>
      <c r="N1081">
        <v>3</v>
      </c>
    </row>
    <row r="1082" spans="1:14" x14ac:dyDescent="0.35">
      <c r="A1082" s="1">
        <v>1740</v>
      </c>
      <c r="B1082">
        <v>7</v>
      </c>
      <c r="C1082">
        <v>35</v>
      </c>
      <c r="D1082">
        <v>5</v>
      </c>
      <c r="E1082">
        <v>0</v>
      </c>
      <c r="F1082">
        <v>0</v>
      </c>
      <c r="G1082">
        <v>4</v>
      </c>
      <c r="H1082">
        <v>3</v>
      </c>
      <c r="I1082">
        <v>0.01</v>
      </c>
      <c r="J1082">
        <v>7</v>
      </c>
      <c r="K1082">
        <v>0</v>
      </c>
      <c r="L1082" s="4">
        <v>0.66634364927298506</v>
      </c>
      <c r="M1082" s="4">
        <v>0.33365635072701488</v>
      </c>
      <c r="N1082">
        <v>3</v>
      </c>
    </row>
    <row r="1083" spans="1:14" x14ac:dyDescent="0.35">
      <c r="A1083" s="1">
        <v>2537</v>
      </c>
      <c r="B1083">
        <v>8</v>
      </c>
      <c r="C1083">
        <v>39</v>
      </c>
      <c r="D1083">
        <v>4</v>
      </c>
      <c r="E1083">
        <v>0</v>
      </c>
      <c r="F1083">
        <v>3</v>
      </c>
      <c r="G1083">
        <v>3</v>
      </c>
      <c r="H1083">
        <v>2</v>
      </c>
      <c r="I1083">
        <v>1200</v>
      </c>
      <c r="J1083">
        <v>9</v>
      </c>
      <c r="K1083">
        <v>1</v>
      </c>
      <c r="L1083" s="4">
        <v>0.66677604987404049</v>
      </c>
      <c r="M1083" s="4">
        <v>0.33322395012595962</v>
      </c>
      <c r="N1083">
        <v>3</v>
      </c>
    </row>
    <row r="1084" spans="1:14" x14ac:dyDescent="0.35">
      <c r="A1084" s="1">
        <v>991</v>
      </c>
      <c r="B1084">
        <v>8</v>
      </c>
      <c r="C1084">
        <v>36</v>
      </c>
      <c r="D1084">
        <v>3</v>
      </c>
      <c r="E1084">
        <v>1</v>
      </c>
      <c r="F1084">
        <v>0</v>
      </c>
      <c r="G1084">
        <v>4</v>
      </c>
      <c r="H1084">
        <v>2</v>
      </c>
      <c r="I1084">
        <v>5000</v>
      </c>
      <c r="J1084">
        <v>11</v>
      </c>
      <c r="K1084">
        <v>0</v>
      </c>
      <c r="L1084" s="4">
        <v>0.66681479570433089</v>
      </c>
      <c r="M1084" s="4">
        <v>0.33318520429566922</v>
      </c>
      <c r="N1084">
        <v>3</v>
      </c>
    </row>
    <row r="1085" spans="1:14" x14ac:dyDescent="0.35">
      <c r="A1085" s="1">
        <v>3898</v>
      </c>
      <c r="B1085">
        <v>7</v>
      </c>
      <c r="C1085">
        <v>31</v>
      </c>
      <c r="D1085">
        <v>3</v>
      </c>
      <c r="E1085">
        <v>1</v>
      </c>
      <c r="F1085">
        <v>0</v>
      </c>
      <c r="G1085">
        <v>4</v>
      </c>
      <c r="H1085">
        <v>3</v>
      </c>
      <c r="I1085">
        <v>0.01</v>
      </c>
      <c r="J1085">
        <v>7</v>
      </c>
      <c r="K1085">
        <v>1</v>
      </c>
      <c r="L1085" s="4">
        <v>0.66682722413828133</v>
      </c>
      <c r="M1085" s="4">
        <v>0.33317277586171867</v>
      </c>
      <c r="N1085">
        <v>3</v>
      </c>
    </row>
    <row r="1086" spans="1:14" x14ac:dyDescent="0.35">
      <c r="A1086" s="1">
        <v>2832</v>
      </c>
      <c r="B1086">
        <v>10</v>
      </c>
      <c r="C1086">
        <v>50</v>
      </c>
      <c r="D1086">
        <v>1</v>
      </c>
      <c r="E1086">
        <v>0</v>
      </c>
      <c r="F1086">
        <v>3</v>
      </c>
      <c r="G1086">
        <v>3</v>
      </c>
      <c r="H1086">
        <v>0</v>
      </c>
      <c r="I1086">
        <v>9000</v>
      </c>
      <c r="J1086">
        <v>3</v>
      </c>
      <c r="K1086">
        <v>0</v>
      </c>
      <c r="L1086" s="4">
        <v>0.66737342802422606</v>
      </c>
      <c r="M1086" s="4">
        <v>0.33262657197577389</v>
      </c>
      <c r="N1086">
        <v>3</v>
      </c>
    </row>
    <row r="1087" spans="1:14" x14ac:dyDescent="0.35">
      <c r="A1087" s="1">
        <v>2514</v>
      </c>
      <c r="B1087">
        <v>12</v>
      </c>
      <c r="C1087">
        <v>57</v>
      </c>
      <c r="D1087">
        <v>0</v>
      </c>
      <c r="E1087">
        <v>0</v>
      </c>
      <c r="F1087">
        <v>3</v>
      </c>
      <c r="G1087">
        <v>3</v>
      </c>
      <c r="H1087">
        <v>2</v>
      </c>
      <c r="I1087">
        <v>1000</v>
      </c>
      <c r="J1087">
        <v>9</v>
      </c>
      <c r="K1087">
        <v>1</v>
      </c>
      <c r="L1087" s="4">
        <v>0.66752497364268992</v>
      </c>
      <c r="M1087" s="4">
        <v>0.33247502635731008</v>
      </c>
      <c r="N1087">
        <v>3</v>
      </c>
    </row>
    <row r="1088" spans="1:14" x14ac:dyDescent="0.35">
      <c r="A1088" s="1">
        <v>2748</v>
      </c>
      <c r="B1088">
        <v>8</v>
      </c>
      <c r="C1088">
        <v>40</v>
      </c>
      <c r="D1088">
        <v>3</v>
      </c>
      <c r="E1088">
        <v>0</v>
      </c>
      <c r="F1088">
        <v>0</v>
      </c>
      <c r="G1088">
        <v>4</v>
      </c>
      <c r="H1088">
        <v>3</v>
      </c>
      <c r="I1088">
        <v>0.01</v>
      </c>
      <c r="J1088">
        <v>5</v>
      </c>
      <c r="K1088">
        <v>0</v>
      </c>
      <c r="L1088" s="4">
        <v>0.66792410151800907</v>
      </c>
      <c r="M1088" s="4">
        <v>0.33207589848199098</v>
      </c>
      <c r="N1088">
        <v>3</v>
      </c>
    </row>
    <row r="1089" spans="1:14" x14ac:dyDescent="0.35">
      <c r="A1089" s="1">
        <v>568</v>
      </c>
      <c r="B1089">
        <v>11</v>
      </c>
      <c r="C1089">
        <v>51</v>
      </c>
      <c r="D1089">
        <v>4</v>
      </c>
      <c r="E1089">
        <v>0</v>
      </c>
      <c r="F1089">
        <v>1</v>
      </c>
      <c r="G1089">
        <v>7</v>
      </c>
      <c r="H1089">
        <v>3</v>
      </c>
      <c r="I1089">
        <v>0.01</v>
      </c>
      <c r="J1089">
        <v>6</v>
      </c>
      <c r="K1089">
        <v>0</v>
      </c>
      <c r="L1089" s="4">
        <v>0.66807305997547872</v>
      </c>
      <c r="M1089" s="4">
        <v>0.33192694002452128</v>
      </c>
      <c r="N1089">
        <v>3</v>
      </c>
    </row>
    <row r="1090" spans="1:14" x14ac:dyDescent="0.35">
      <c r="A1090" s="1">
        <v>2233</v>
      </c>
      <c r="B1090">
        <v>10</v>
      </c>
      <c r="C1090">
        <v>44</v>
      </c>
      <c r="D1090">
        <v>3</v>
      </c>
      <c r="E1090">
        <v>1</v>
      </c>
      <c r="F1090">
        <v>0</v>
      </c>
      <c r="G1090">
        <v>4</v>
      </c>
      <c r="H1090">
        <v>2</v>
      </c>
      <c r="I1090">
        <v>1000</v>
      </c>
      <c r="J1090">
        <v>5</v>
      </c>
      <c r="K1090">
        <v>0</v>
      </c>
      <c r="L1090" s="4">
        <v>0.66861458394467355</v>
      </c>
      <c r="M1090" s="4">
        <v>0.3313854160553264</v>
      </c>
      <c r="N1090">
        <v>3</v>
      </c>
    </row>
    <row r="1091" spans="1:14" x14ac:dyDescent="0.35">
      <c r="A1091" s="1">
        <v>3590</v>
      </c>
      <c r="B1091">
        <v>8</v>
      </c>
      <c r="C1091">
        <v>32</v>
      </c>
      <c r="D1091">
        <v>5</v>
      </c>
      <c r="E1091">
        <v>1</v>
      </c>
      <c r="F1091">
        <v>4</v>
      </c>
      <c r="G1091">
        <v>9</v>
      </c>
      <c r="H1091">
        <v>3</v>
      </c>
      <c r="I1091">
        <v>0.01</v>
      </c>
      <c r="J1091">
        <v>8</v>
      </c>
      <c r="K1091">
        <v>0</v>
      </c>
      <c r="L1091" s="4">
        <v>0.66880677100974806</v>
      </c>
      <c r="M1091" s="4">
        <v>0.331193228990252</v>
      </c>
      <c r="N1091">
        <v>3</v>
      </c>
    </row>
    <row r="1092" spans="1:14" x14ac:dyDescent="0.35">
      <c r="A1092" s="1">
        <v>4010</v>
      </c>
      <c r="B1092">
        <v>9</v>
      </c>
      <c r="C1092">
        <v>45</v>
      </c>
      <c r="D1092">
        <v>1</v>
      </c>
      <c r="E1092">
        <v>0</v>
      </c>
      <c r="F1092">
        <v>0</v>
      </c>
      <c r="G1092">
        <v>4</v>
      </c>
      <c r="H1092">
        <v>3</v>
      </c>
      <c r="I1092">
        <v>0.01</v>
      </c>
      <c r="J1092">
        <v>5</v>
      </c>
      <c r="K1092">
        <v>0</v>
      </c>
      <c r="L1092" s="4">
        <v>0.66893184381522852</v>
      </c>
      <c r="M1092" s="4">
        <v>0.33106815618477148</v>
      </c>
      <c r="N1092">
        <v>3</v>
      </c>
    </row>
    <row r="1093" spans="1:14" x14ac:dyDescent="0.35">
      <c r="A1093" s="1">
        <v>546</v>
      </c>
      <c r="B1093">
        <v>8</v>
      </c>
      <c r="C1093">
        <v>41</v>
      </c>
      <c r="D1093">
        <v>1</v>
      </c>
      <c r="E1093">
        <v>0</v>
      </c>
      <c r="F1093">
        <v>0</v>
      </c>
      <c r="G1093">
        <v>4</v>
      </c>
      <c r="H1093">
        <v>3</v>
      </c>
      <c r="I1093">
        <v>0.01</v>
      </c>
      <c r="J1093">
        <v>5</v>
      </c>
      <c r="K1093">
        <v>1</v>
      </c>
      <c r="L1093" s="4">
        <v>0.66960070228994439</v>
      </c>
      <c r="M1093" s="4">
        <v>0.33039929771005561</v>
      </c>
      <c r="N1093">
        <v>3</v>
      </c>
    </row>
    <row r="1094" spans="1:14" x14ac:dyDescent="0.35">
      <c r="A1094" s="1">
        <v>4303</v>
      </c>
      <c r="B1094">
        <v>11</v>
      </c>
      <c r="C1094">
        <v>51</v>
      </c>
      <c r="D1094">
        <v>3</v>
      </c>
      <c r="E1094">
        <v>0</v>
      </c>
      <c r="F1094">
        <v>3</v>
      </c>
      <c r="G1094">
        <v>3</v>
      </c>
      <c r="H1094">
        <v>3</v>
      </c>
      <c r="I1094">
        <v>0.01</v>
      </c>
      <c r="J1094">
        <v>7</v>
      </c>
      <c r="K1094">
        <v>0</v>
      </c>
      <c r="L1094" s="4">
        <v>0.66969075361499331</v>
      </c>
      <c r="M1094" s="4">
        <v>0.33030924638500669</v>
      </c>
      <c r="N1094">
        <v>3</v>
      </c>
    </row>
    <row r="1095" spans="1:14" x14ac:dyDescent="0.35">
      <c r="A1095" s="1">
        <v>1239</v>
      </c>
      <c r="B1095">
        <v>10</v>
      </c>
      <c r="C1095">
        <v>47</v>
      </c>
      <c r="D1095">
        <v>3</v>
      </c>
      <c r="E1095">
        <v>0</v>
      </c>
      <c r="F1095">
        <v>3</v>
      </c>
      <c r="G1095">
        <v>3</v>
      </c>
      <c r="H1095">
        <v>3</v>
      </c>
      <c r="I1095">
        <v>0.01</v>
      </c>
      <c r="J1095">
        <v>9</v>
      </c>
      <c r="K1095">
        <v>0</v>
      </c>
      <c r="L1095" s="4">
        <v>0.66979064617737949</v>
      </c>
      <c r="M1095" s="4">
        <v>0.33020935382262051</v>
      </c>
      <c r="N1095">
        <v>3</v>
      </c>
    </row>
    <row r="1096" spans="1:14" x14ac:dyDescent="0.35">
      <c r="A1096" s="1">
        <v>982</v>
      </c>
      <c r="B1096">
        <v>10</v>
      </c>
      <c r="C1096">
        <v>47</v>
      </c>
      <c r="D1096">
        <v>5</v>
      </c>
      <c r="E1096">
        <v>0</v>
      </c>
      <c r="F1096">
        <v>3</v>
      </c>
      <c r="G1096">
        <v>3</v>
      </c>
      <c r="H1096">
        <v>2</v>
      </c>
      <c r="I1096">
        <v>3000</v>
      </c>
      <c r="J1096">
        <v>9</v>
      </c>
      <c r="K1096">
        <v>0</v>
      </c>
      <c r="L1096" s="4">
        <v>0.67062168851984993</v>
      </c>
      <c r="M1096" s="4">
        <v>0.32937831148015012</v>
      </c>
      <c r="N1096">
        <v>3</v>
      </c>
    </row>
    <row r="1097" spans="1:14" x14ac:dyDescent="0.35">
      <c r="A1097" s="1">
        <v>1813</v>
      </c>
      <c r="B1097">
        <v>14</v>
      </c>
      <c r="C1097">
        <v>63</v>
      </c>
      <c r="D1097">
        <v>3</v>
      </c>
      <c r="E1097">
        <v>0</v>
      </c>
      <c r="F1097">
        <v>4</v>
      </c>
      <c r="G1097">
        <v>9</v>
      </c>
      <c r="H1097">
        <v>2</v>
      </c>
      <c r="I1097">
        <v>100</v>
      </c>
      <c r="J1097">
        <v>10</v>
      </c>
      <c r="K1097">
        <v>1</v>
      </c>
      <c r="L1097" s="4">
        <v>0.67063429508309214</v>
      </c>
      <c r="M1097" s="4">
        <v>0.32936570491690792</v>
      </c>
      <c r="N1097">
        <v>3</v>
      </c>
    </row>
    <row r="1098" spans="1:14" x14ac:dyDescent="0.35">
      <c r="A1098" s="1">
        <v>3357</v>
      </c>
      <c r="B1098">
        <v>11</v>
      </c>
      <c r="C1098">
        <v>48</v>
      </c>
      <c r="D1098">
        <v>0</v>
      </c>
      <c r="E1098">
        <v>1</v>
      </c>
      <c r="F1098">
        <v>1</v>
      </c>
      <c r="G1098">
        <v>7</v>
      </c>
      <c r="H1098">
        <v>3</v>
      </c>
      <c r="I1098">
        <v>0.01</v>
      </c>
      <c r="J1098">
        <v>4</v>
      </c>
      <c r="K1098">
        <v>1</v>
      </c>
      <c r="L1098" s="4">
        <v>0.6707981657733173</v>
      </c>
      <c r="M1098" s="4">
        <v>0.32920183422668281</v>
      </c>
      <c r="N1098">
        <v>3</v>
      </c>
    </row>
    <row r="1099" spans="1:14" x14ac:dyDescent="0.35">
      <c r="A1099" s="1">
        <v>4314</v>
      </c>
      <c r="B1099">
        <v>8</v>
      </c>
      <c r="C1099">
        <v>38</v>
      </c>
      <c r="D1099">
        <v>4</v>
      </c>
      <c r="E1099">
        <v>0</v>
      </c>
      <c r="F1099">
        <v>3</v>
      </c>
      <c r="G1099">
        <v>8</v>
      </c>
      <c r="H1099">
        <v>3</v>
      </c>
      <c r="I1099">
        <v>0.01</v>
      </c>
      <c r="J1099">
        <v>5</v>
      </c>
      <c r="K1099">
        <v>1</v>
      </c>
      <c r="L1099" s="4">
        <v>0.67084253732867016</v>
      </c>
      <c r="M1099" s="4">
        <v>0.32915746267132989</v>
      </c>
      <c r="N1099">
        <v>3</v>
      </c>
    </row>
    <row r="1100" spans="1:14" x14ac:dyDescent="0.35">
      <c r="A1100" s="1">
        <v>376</v>
      </c>
      <c r="B1100">
        <v>13</v>
      </c>
      <c r="C1100">
        <v>60</v>
      </c>
      <c r="D1100">
        <v>3</v>
      </c>
      <c r="E1100">
        <v>0</v>
      </c>
      <c r="F1100">
        <v>3</v>
      </c>
      <c r="G1100">
        <v>3</v>
      </c>
      <c r="H1100">
        <v>2</v>
      </c>
      <c r="I1100">
        <v>300</v>
      </c>
      <c r="J1100">
        <v>9</v>
      </c>
      <c r="K1100">
        <v>1</v>
      </c>
      <c r="L1100" s="4">
        <v>0.67125175133550918</v>
      </c>
      <c r="M1100" s="4">
        <v>0.32874824866449093</v>
      </c>
      <c r="N1100">
        <v>3</v>
      </c>
    </row>
    <row r="1101" spans="1:14" x14ac:dyDescent="0.35">
      <c r="A1101" s="1">
        <v>751</v>
      </c>
      <c r="B1101">
        <v>7</v>
      </c>
      <c r="C1101">
        <v>34</v>
      </c>
      <c r="D1101">
        <v>5</v>
      </c>
      <c r="E1101">
        <v>0</v>
      </c>
      <c r="F1101">
        <v>3</v>
      </c>
      <c r="G1101">
        <v>3</v>
      </c>
      <c r="H1101">
        <v>3</v>
      </c>
      <c r="I1101">
        <v>0.01</v>
      </c>
      <c r="J1101">
        <v>5</v>
      </c>
      <c r="K1101">
        <v>1</v>
      </c>
      <c r="L1101" s="4">
        <v>0.67125685708996163</v>
      </c>
      <c r="M1101" s="4">
        <v>0.32874314291003842</v>
      </c>
      <c r="N1101">
        <v>3</v>
      </c>
    </row>
    <row r="1102" spans="1:14" x14ac:dyDescent="0.35">
      <c r="A1102" s="1">
        <v>190</v>
      </c>
      <c r="B1102">
        <v>14</v>
      </c>
      <c r="C1102">
        <v>63</v>
      </c>
      <c r="D1102">
        <v>4</v>
      </c>
      <c r="E1102">
        <v>0</v>
      </c>
      <c r="F1102">
        <v>1</v>
      </c>
      <c r="G1102">
        <v>12</v>
      </c>
      <c r="H1102">
        <v>3</v>
      </c>
      <c r="I1102">
        <v>0.01</v>
      </c>
      <c r="J1102">
        <v>8</v>
      </c>
      <c r="K1102">
        <v>0</v>
      </c>
      <c r="L1102" s="4">
        <v>0.67157001242083358</v>
      </c>
      <c r="M1102" s="4">
        <v>0.32842998757916642</v>
      </c>
      <c r="N1102">
        <v>3</v>
      </c>
    </row>
    <row r="1103" spans="1:14" x14ac:dyDescent="0.35">
      <c r="A1103" s="1">
        <v>3572</v>
      </c>
      <c r="B1103">
        <v>8</v>
      </c>
      <c r="C1103">
        <v>41</v>
      </c>
      <c r="D1103">
        <v>2</v>
      </c>
      <c r="E1103">
        <v>0</v>
      </c>
      <c r="F1103">
        <v>0</v>
      </c>
      <c r="G1103">
        <v>2</v>
      </c>
      <c r="H1103">
        <v>3</v>
      </c>
      <c r="I1103">
        <v>0.01</v>
      </c>
      <c r="J1103">
        <v>8</v>
      </c>
      <c r="K1103">
        <v>0</v>
      </c>
      <c r="L1103" s="4">
        <v>0.67213296372626885</v>
      </c>
      <c r="M1103" s="4">
        <v>0.32786703627373109</v>
      </c>
      <c r="N1103">
        <v>3</v>
      </c>
    </row>
    <row r="1104" spans="1:14" x14ac:dyDescent="0.35">
      <c r="A1104" s="1">
        <v>3109</v>
      </c>
      <c r="B1104">
        <v>8</v>
      </c>
      <c r="C1104">
        <v>39</v>
      </c>
      <c r="D1104">
        <v>3</v>
      </c>
      <c r="E1104">
        <v>0</v>
      </c>
      <c r="F1104">
        <v>3</v>
      </c>
      <c r="G1104">
        <v>3</v>
      </c>
      <c r="H1104">
        <v>3</v>
      </c>
      <c r="I1104">
        <v>0.01</v>
      </c>
      <c r="J1104">
        <v>5</v>
      </c>
      <c r="K1104">
        <v>1</v>
      </c>
      <c r="L1104" s="4">
        <v>0.67225944826575168</v>
      </c>
      <c r="M1104" s="4">
        <v>0.32774055173424832</v>
      </c>
      <c r="N1104">
        <v>3</v>
      </c>
    </row>
    <row r="1105" spans="1:14" x14ac:dyDescent="0.35">
      <c r="A1105" s="1">
        <v>4270</v>
      </c>
      <c r="B1105">
        <v>8</v>
      </c>
      <c r="C1105">
        <v>39</v>
      </c>
      <c r="D1105">
        <v>3</v>
      </c>
      <c r="E1105">
        <v>0</v>
      </c>
      <c r="F1105">
        <v>3</v>
      </c>
      <c r="G1105">
        <v>3</v>
      </c>
      <c r="H1105">
        <v>3</v>
      </c>
      <c r="I1105">
        <v>0.01</v>
      </c>
      <c r="J1105">
        <v>5</v>
      </c>
      <c r="K1105">
        <v>0</v>
      </c>
      <c r="L1105" s="4">
        <v>0.67225944826575168</v>
      </c>
      <c r="M1105" s="4">
        <v>0.32774055173424832</v>
      </c>
      <c r="N1105">
        <v>3</v>
      </c>
    </row>
    <row r="1106" spans="1:14" x14ac:dyDescent="0.35">
      <c r="A1106" s="1">
        <v>4050</v>
      </c>
      <c r="B1106">
        <v>9</v>
      </c>
      <c r="C1106">
        <v>45</v>
      </c>
      <c r="D1106">
        <v>2</v>
      </c>
      <c r="E1106">
        <v>0</v>
      </c>
      <c r="F1106">
        <v>0</v>
      </c>
      <c r="G1106">
        <v>2</v>
      </c>
      <c r="H1106">
        <v>3</v>
      </c>
      <c r="I1106">
        <v>0.01</v>
      </c>
      <c r="J1106">
        <v>5</v>
      </c>
      <c r="K1106">
        <v>0</v>
      </c>
      <c r="L1106" s="4">
        <v>0.67231660321710018</v>
      </c>
      <c r="M1106" s="4">
        <v>0.32768339678289982</v>
      </c>
      <c r="N1106">
        <v>3</v>
      </c>
    </row>
    <row r="1107" spans="1:14" x14ac:dyDescent="0.35">
      <c r="A1107" s="1">
        <v>2569</v>
      </c>
      <c r="B1107">
        <v>8</v>
      </c>
      <c r="C1107">
        <v>35</v>
      </c>
      <c r="D1107">
        <v>4</v>
      </c>
      <c r="E1107">
        <v>1</v>
      </c>
      <c r="F1107">
        <v>0</v>
      </c>
      <c r="G1107">
        <v>4</v>
      </c>
      <c r="H1107">
        <v>3</v>
      </c>
      <c r="I1107">
        <v>0.01</v>
      </c>
      <c r="J1107">
        <v>4</v>
      </c>
      <c r="K1107">
        <v>1</v>
      </c>
      <c r="L1107" s="4">
        <v>0.67282843827671623</v>
      </c>
      <c r="M1107" s="4">
        <v>0.32717156172328382</v>
      </c>
      <c r="N1107">
        <v>3</v>
      </c>
    </row>
    <row r="1108" spans="1:14" x14ac:dyDescent="0.35">
      <c r="A1108" s="1">
        <v>1093</v>
      </c>
      <c r="B1108">
        <v>10</v>
      </c>
      <c r="C1108">
        <v>51</v>
      </c>
      <c r="D1108">
        <v>1</v>
      </c>
      <c r="E1108">
        <v>0</v>
      </c>
      <c r="F1108">
        <v>0</v>
      </c>
      <c r="G1108">
        <v>11</v>
      </c>
      <c r="H1108">
        <v>0</v>
      </c>
      <c r="I1108">
        <v>6000</v>
      </c>
      <c r="J1108">
        <v>1</v>
      </c>
      <c r="K1108">
        <v>0</v>
      </c>
      <c r="L1108" s="4">
        <v>0.67316791398745901</v>
      </c>
      <c r="M1108" s="4">
        <v>0.32683208601254099</v>
      </c>
      <c r="N1108">
        <v>3</v>
      </c>
    </row>
    <row r="1109" spans="1:14" x14ac:dyDescent="0.35">
      <c r="A1109" s="1">
        <v>2186</v>
      </c>
      <c r="B1109">
        <v>7</v>
      </c>
      <c r="C1109">
        <v>35</v>
      </c>
      <c r="D1109">
        <v>2</v>
      </c>
      <c r="E1109">
        <v>0</v>
      </c>
      <c r="F1109">
        <v>3</v>
      </c>
      <c r="G1109">
        <v>8</v>
      </c>
      <c r="H1109">
        <v>3</v>
      </c>
      <c r="I1109">
        <v>0.01</v>
      </c>
      <c r="J1109">
        <v>5</v>
      </c>
      <c r="K1109">
        <v>1</v>
      </c>
      <c r="L1109" s="4">
        <v>0.6731767876360053</v>
      </c>
      <c r="M1109" s="4">
        <v>0.3268232123639947</v>
      </c>
      <c r="N1109">
        <v>3</v>
      </c>
    </row>
    <row r="1110" spans="1:14" x14ac:dyDescent="0.35">
      <c r="A1110" s="1">
        <v>644</v>
      </c>
      <c r="B1110">
        <v>13</v>
      </c>
      <c r="C1110">
        <v>63</v>
      </c>
      <c r="D1110">
        <v>0</v>
      </c>
      <c r="E1110">
        <v>0</v>
      </c>
      <c r="F1110">
        <v>3</v>
      </c>
      <c r="G1110">
        <v>3</v>
      </c>
      <c r="H1110">
        <v>0</v>
      </c>
      <c r="I1110">
        <v>6000</v>
      </c>
      <c r="J1110">
        <v>4</v>
      </c>
      <c r="K1110">
        <v>0</v>
      </c>
      <c r="L1110" s="4">
        <v>0.67363760337736556</v>
      </c>
      <c r="M1110" s="4">
        <v>0.32636239662263439</v>
      </c>
      <c r="N1110">
        <v>3</v>
      </c>
    </row>
    <row r="1111" spans="1:14" x14ac:dyDescent="0.35">
      <c r="A1111" s="1">
        <v>958</v>
      </c>
      <c r="B1111">
        <v>10</v>
      </c>
      <c r="C1111">
        <v>43</v>
      </c>
      <c r="D1111">
        <v>5</v>
      </c>
      <c r="E1111">
        <v>1</v>
      </c>
      <c r="F1111">
        <v>0</v>
      </c>
      <c r="G1111">
        <v>2</v>
      </c>
      <c r="H1111">
        <v>3</v>
      </c>
      <c r="I1111">
        <v>0.01</v>
      </c>
      <c r="J1111">
        <v>8</v>
      </c>
      <c r="K1111">
        <v>0</v>
      </c>
      <c r="L1111" s="4">
        <v>0.67373909083137873</v>
      </c>
      <c r="M1111" s="4">
        <v>0.32626090916862122</v>
      </c>
      <c r="N1111">
        <v>3</v>
      </c>
    </row>
    <row r="1112" spans="1:14" x14ac:dyDescent="0.35">
      <c r="A1112" s="1">
        <v>2266</v>
      </c>
      <c r="B1112">
        <v>9</v>
      </c>
      <c r="C1112">
        <v>43</v>
      </c>
      <c r="D1112">
        <v>1</v>
      </c>
      <c r="E1112">
        <v>0</v>
      </c>
      <c r="F1112">
        <v>4</v>
      </c>
      <c r="G1112">
        <v>9</v>
      </c>
      <c r="H1112">
        <v>3</v>
      </c>
      <c r="I1112">
        <v>0.01</v>
      </c>
      <c r="J1112">
        <v>4</v>
      </c>
      <c r="K1112">
        <v>0</v>
      </c>
      <c r="L1112" s="4">
        <v>0.67380422462519785</v>
      </c>
      <c r="M1112" s="4">
        <v>0.32619577537480221</v>
      </c>
      <c r="N1112">
        <v>3</v>
      </c>
    </row>
    <row r="1113" spans="1:14" x14ac:dyDescent="0.35">
      <c r="A1113" s="1">
        <v>1448</v>
      </c>
      <c r="B1113">
        <v>8</v>
      </c>
      <c r="C1113">
        <v>39</v>
      </c>
      <c r="D1113">
        <v>5</v>
      </c>
      <c r="E1113">
        <v>0</v>
      </c>
      <c r="F1113">
        <v>3</v>
      </c>
      <c r="G1113">
        <v>3</v>
      </c>
      <c r="H1113">
        <v>2</v>
      </c>
      <c r="I1113">
        <v>750</v>
      </c>
      <c r="J1113">
        <v>5</v>
      </c>
      <c r="K1113">
        <v>1</v>
      </c>
      <c r="L1113" s="4">
        <v>0.67388452167762547</v>
      </c>
      <c r="M1113" s="4">
        <v>0.32611547832237447</v>
      </c>
      <c r="N1113">
        <v>3</v>
      </c>
    </row>
    <row r="1114" spans="1:14" x14ac:dyDescent="0.35">
      <c r="A1114" s="1">
        <v>2069</v>
      </c>
      <c r="B1114">
        <v>8</v>
      </c>
      <c r="C1114">
        <v>39</v>
      </c>
      <c r="D1114">
        <v>5</v>
      </c>
      <c r="E1114">
        <v>0</v>
      </c>
      <c r="F1114">
        <v>0</v>
      </c>
      <c r="G1114">
        <v>11</v>
      </c>
      <c r="H1114">
        <v>3</v>
      </c>
      <c r="I1114">
        <v>0.01</v>
      </c>
      <c r="J1114">
        <v>8</v>
      </c>
      <c r="K1114">
        <v>1</v>
      </c>
      <c r="L1114" s="4">
        <v>0.67388586531436945</v>
      </c>
      <c r="M1114" s="4">
        <v>0.32611413468563061</v>
      </c>
      <c r="N1114">
        <v>3</v>
      </c>
    </row>
    <row r="1115" spans="1:14" x14ac:dyDescent="0.35">
      <c r="A1115" s="1">
        <v>3549</v>
      </c>
      <c r="B1115">
        <v>4</v>
      </c>
      <c r="C1115">
        <v>25</v>
      </c>
      <c r="D1115">
        <v>0</v>
      </c>
      <c r="E1115">
        <v>0</v>
      </c>
      <c r="F1115">
        <v>3</v>
      </c>
      <c r="G1115">
        <v>3</v>
      </c>
      <c r="H1115">
        <v>2</v>
      </c>
      <c r="I1115">
        <v>1200</v>
      </c>
      <c r="J1115">
        <v>5</v>
      </c>
      <c r="K1115">
        <v>0</v>
      </c>
      <c r="L1115" s="4">
        <v>0.67392775682989225</v>
      </c>
      <c r="M1115" s="4">
        <v>0.32607224317010769</v>
      </c>
      <c r="N1115">
        <v>3</v>
      </c>
    </row>
    <row r="1116" spans="1:14" x14ac:dyDescent="0.35">
      <c r="A1116" s="1">
        <v>3785</v>
      </c>
      <c r="B1116">
        <v>13</v>
      </c>
      <c r="C1116">
        <v>59</v>
      </c>
      <c r="D1116">
        <v>1</v>
      </c>
      <c r="E1116">
        <v>1</v>
      </c>
      <c r="F1116">
        <v>0</v>
      </c>
      <c r="G1116">
        <v>2</v>
      </c>
      <c r="H1116">
        <v>1</v>
      </c>
      <c r="I1116">
        <v>26000</v>
      </c>
      <c r="J1116">
        <v>4</v>
      </c>
      <c r="K1116">
        <v>0</v>
      </c>
      <c r="L1116" s="4">
        <v>0.67410047799868067</v>
      </c>
      <c r="M1116" s="4">
        <v>0.32589952200131928</v>
      </c>
      <c r="N1116">
        <v>3</v>
      </c>
    </row>
    <row r="1117" spans="1:14" x14ac:dyDescent="0.35">
      <c r="A1117" s="1">
        <v>853</v>
      </c>
      <c r="B1117">
        <v>9</v>
      </c>
      <c r="C1117">
        <v>40</v>
      </c>
      <c r="D1117">
        <v>1</v>
      </c>
      <c r="E1117">
        <v>1</v>
      </c>
      <c r="F1117">
        <v>1</v>
      </c>
      <c r="G1117">
        <v>5</v>
      </c>
      <c r="H1117">
        <v>3</v>
      </c>
      <c r="I1117">
        <v>0.01</v>
      </c>
      <c r="J1117">
        <v>8</v>
      </c>
      <c r="K1117">
        <v>0</v>
      </c>
      <c r="L1117" s="4">
        <v>0.67437151537487017</v>
      </c>
      <c r="M1117" s="4">
        <v>0.32562848462512989</v>
      </c>
      <c r="N1117">
        <v>3</v>
      </c>
    </row>
    <row r="1118" spans="1:14" x14ac:dyDescent="0.35">
      <c r="A1118" s="1">
        <v>1545</v>
      </c>
      <c r="B1118">
        <v>7</v>
      </c>
      <c r="C1118">
        <v>35</v>
      </c>
      <c r="D1118">
        <v>5</v>
      </c>
      <c r="E1118">
        <v>0</v>
      </c>
      <c r="F1118">
        <v>1</v>
      </c>
      <c r="G1118">
        <v>5</v>
      </c>
      <c r="H1118">
        <v>3</v>
      </c>
      <c r="I1118">
        <v>0.01</v>
      </c>
      <c r="J1118">
        <v>5</v>
      </c>
      <c r="K1118">
        <v>1</v>
      </c>
      <c r="L1118" s="4">
        <v>0.67440537120421484</v>
      </c>
      <c r="M1118" s="4">
        <v>0.32559462879578521</v>
      </c>
      <c r="N1118">
        <v>3</v>
      </c>
    </row>
    <row r="1119" spans="1:14" x14ac:dyDescent="0.35">
      <c r="A1119" s="1">
        <v>203</v>
      </c>
      <c r="B1119">
        <v>7</v>
      </c>
      <c r="C1119">
        <v>36</v>
      </c>
      <c r="D1119">
        <v>1</v>
      </c>
      <c r="E1119">
        <v>0</v>
      </c>
      <c r="F1119">
        <v>3</v>
      </c>
      <c r="G1119">
        <v>3</v>
      </c>
      <c r="H1119">
        <v>3</v>
      </c>
      <c r="I1119">
        <v>0.01</v>
      </c>
      <c r="J1119">
        <v>5</v>
      </c>
      <c r="K1119">
        <v>0</v>
      </c>
      <c r="L1119" s="4">
        <v>0.67458852456544105</v>
      </c>
      <c r="M1119" s="4">
        <v>0.32541147543455889</v>
      </c>
      <c r="N1119">
        <v>3</v>
      </c>
    </row>
    <row r="1120" spans="1:14" x14ac:dyDescent="0.35">
      <c r="A1120" s="1">
        <v>2108</v>
      </c>
      <c r="B1120">
        <v>8</v>
      </c>
      <c r="C1120">
        <v>42</v>
      </c>
      <c r="D1120">
        <v>2</v>
      </c>
      <c r="E1120">
        <v>0</v>
      </c>
      <c r="F1120">
        <v>3</v>
      </c>
      <c r="G1120">
        <v>3</v>
      </c>
      <c r="H1120">
        <v>0</v>
      </c>
      <c r="I1120">
        <v>5424</v>
      </c>
      <c r="J1120">
        <v>7</v>
      </c>
      <c r="K1120">
        <v>0</v>
      </c>
      <c r="L1120" s="4">
        <v>0.6746509426531565</v>
      </c>
      <c r="M1120" s="4">
        <v>0.3253490573468435</v>
      </c>
      <c r="N1120">
        <v>3</v>
      </c>
    </row>
    <row r="1121" spans="1:14" x14ac:dyDescent="0.35">
      <c r="A1121" s="1">
        <v>2418</v>
      </c>
      <c r="B1121">
        <v>5</v>
      </c>
      <c r="C1121">
        <v>24</v>
      </c>
      <c r="D1121">
        <v>2</v>
      </c>
      <c r="E1121">
        <v>1</v>
      </c>
      <c r="F1121">
        <v>1</v>
      </c>
      <c r="G1121">
        <v>5</v>
      </c>
      <c r="H1121">
        <v>2</v>
      </c>
      <c r="I1121">
        <v>800</v>
      </c>
      <c r="J1121">
        <v>1</v>
      </c>
      <c r="K1121">
        <v>0</v>
      </c>
      <c r="L1121" s="4">
        <v>0.67482909505792876</v>
      </c>
      <c r="M1121" s="4">
        <v>0.32517090494207118</v>
      </c>
      <c r="N1121">
        <v>3</v>
      </c>
    </row>
    <row r="1122" spans="1:14" x14ac:dyDescent="0.35">
      <c r="A1122" s="1">
        <v>68</v>
      </c>
      <c r="B1122">
        <v>7</v>
      </c>
      <c r="C1122">
        <v>26</v>
      </c>
      <c r="D1122">
        <v>2</v>
      </c>
      <c r="E1122">
        <v>2</v>
      </c>
      <c r="F1122">
        <v>3</v>
      </c>
      <c r="G1122">
        <v>8</v>
      </c>
      <c r="H1122">
        <v>2</v>
      </c>
      <c r="I1122">
        <v>1200</v>
      </c>
      <c r="J1122">
        <v>1</v>
      </c>
      <c r="K1122">
        <v>0</v>
      </c>
      <c r="L1122" s="4">
        <v>0.67506238995873802</v>
      </c>
      <c r="M1122" s="4">
        <v>0.32493761004126198</v>
      </c>
      <c r="N1122">
        <v>3</v>
      </c>
    </row>
    <row r="1123" spans="1:14" x14ac:dyDescent="0.35">
      <c r="A1123" s="1">
        <v>1693</v>
      </c>
      <c r="B1123">
        <v>11</v>
      </c>
      <c r="C1123">
        <v>51</v>
      </c>
      <c r="D1123">
        <v>4</v>
      </c>
      <c r="E1123">
        <v>0</v>
      </c>
      <c r="F1123">
        <v>3</v>
      </c>
      <c r="G1123">
        <v>3</v>
      </c>
      <c r="H1123">
        <v>3</v>
      </c>
      <c r="I1123">
        <v>0.01</v>
      </c>
      <c r="J1123">
        <v>8</v>
      </c>
      <c r="K1123">
        <v>0</v>
      </c>
      <c r="L1123" s="4">
        <v>0.67520105132344832</v>
      </c>
      <c r="M1123" s="4">
        <v>0.32479894867655162</v>
      </c>
      <c r="N1123">
        <v>3</v>
      </c>
    </row>
    <row r="1124" spans="1:14" x14ac:dyDescent="0.35">
      <c r="A1124" s="1">
        <v>2008</v>
      </c>
      <c r="B1124">
        <v>12</v>
      </c>
      <c r="C1124">
        <v>60</v>
      </c>
      <c r="D1124">
        <v>2</v>
      </c>
      <c r="E1124">
        <v>0</v>
      </c>
      <c r="F1124">
        <v>0</v>
      </c>
      <c r="G1124">
        <v>2</v>
      </c>
      <c r="H1124">
        <v>0</v>
      </c>
      <c r="I1124">
        <v>11000</v>
      </c>
      <c r="J1124">
        <v>11</v>
      </c>
      <c r="K1124">
        <v>0</v>
      </c>
      <c r="L1124" s="4">
        <v>0.67539068260466451</v>
      </c>
      <c r="M1124" s="4">
        <v>0.32460931739533549</v>
      </c>
      <c r="N1124">
        <v>3</v>
      </c>
    </row>
    <row r="1125" spans="1:14" x14ac:dyDescent="0.35">
      <c r="A1125" s="1">
        <v>2996</v>
      </c>
      <c r="B1125">
        <v>10</v>
      </c>
      <c r="C1125">
        <v>49</v>
      </c>
      <c r="D1125">
        <v>1</v>
      </c>
      <c r="E1125">
        <v>0</v>
      </c>
      <c r="F1125">
        <v>3</v>
      </c>
      <c r="G1125">
        <v>3</v>
      </c>
      <c r="H1125">
        <v>2</v>
      </c>
      <c r="I1125">
        <v>2600</v>
      </c>
      <c r="J1125">
        <v>4</v>
      </c>
      <c r="K1125">
        <v>1</v>
      </c>
      <c r="L1125" s="4">
        <v>0.67550826283102028</v>
      </c>
      <c r="M1125" s="4">
        <v>0.32449173716897972</v>
      </c>
      <c r="N1125">
        <v>3</v>
      </c>
    </row>
    <row r="1126" spans="1:14" x14ac:dyDescent="0.35">
      <c r="A1126" s="1">
        <v>1423</v>
      </c>
      <c r="B1126">
        <v>9</v>
      </c>
      <c r="C1126">
        <v>45</v>
      </c>
      <c r="D1126">
        <v>1</v>
      </c>
      <c r="E1126">
        <v>0</v>
      </c>
      <c r="F1126">
        <v>3</v>
      </c>
      <c r="G1126">
        <v>3</v>
      </c>
      <c r="H1126">
        <v>2</v>
      </c>
      <c r="I1126">
        <v>300</v>
      </c>
      <c r="J1126">
        <v>9</v>
      </c>
      <c r="K1126">
        <v>0</v>
      </c>
      <c r="L1126" s="4">
        <v>0.67557452140587571</v>
      </c>
      <c r="M1126" s="4">
        <v>0.32442547859412418</v>
      </c>
      <c r="N1126">
        <v>3</v>
      </c>
    </row>
    <row r="1127" spans="1:14" x14ac:dyDescent="0.35">
      <c r="A1127" s="1">
        <v>493</v>
      </c>
      <c r="B1127">
        <v>11</v>
      </c>
      <c r="C1127">
        <v>49</v>
      </c>
      <c r="D1127">
        <v>4</v>
      </c>
      <c r="E1127">
        <v>1</v>
      </c>
      <c r="F1127">
        <v>1</v>
      </c>
      <c r="G1127">
        <v>7</v>
      </c>
      <c r="H1127">
        <v>0</v>
      </c>
      <c r="I1127">
        <v>6000</v>
      </c>
      <c r="J1127">
        <v>5</v>
      </c>
      <c r="K1127">
        <v>0</v>
      </c>
      <c r="L1127" s="4">
        <v>0.67572497342969906</v>
      </c>
      <c r="M1127" s="4">
        <v>0.32427502657030099</v>
      </c>
      <c r="N1127">
        <v>3</v>
      </c>
    </row>
    <row r="1128" spans="1:14" x14ac:dyDescent="0.35">
      <c r="A1128" s="1">
        <v>1318</v>
      </c>
      <c r="B1128">
        <v>10</v>
      </c>
      <c r="C1128">
        <v>47</v>
      </c>
      <c r="D1128">
        <v>2</v>
      </c>
      <c r="E1128">
        <v>1</v>
      </c>
      <c r="F1128">
        <v>0</v>
      </c>
      <c r="G1128">
        <v>2</v>
      </c>
      <c r="H1128">
        <v>0</v>
      </c>
      <c r="I1128">
        <v>14000</v>
      </c>
      <c r="J1128">
        <v>6</v>
      </c>
      <c r="K1128">
        <v>0</v>
      </c>
      <c r="L1128" s="4">
        <v>0.67588206832504416</v>
      </c>
      <c r="M1128" s="4">
        <v>0.32411793167495578</v>
      </c>
      <c r="N1128">
        <v>3</v>
      </c>
    </row>
    <row r="1129" spans="1:14" x14ac:dyDescent="0.35">
      <c r="A1129" s="1">
        <v>385</v>
      </c>
      <c r="B1129">
        <v>11</v>
      </c>
      <c r="C1129">
        <v>54</v>
      </c>
      <c r="D1129">
        <v>2</v>
      </c>
      <c r="E1129">
        <v>0</v>
      </c>
      <c r="F1129">
        <v>0</v>
      </c>
      <c r="G1129">
        <v>4</v>
      </c>
      <c r="H1129">
        <v>2</v>
      </c>
      <c r="I1129">
        <v>420</v>
      </c>
      <c r="J1129">
        <v>8</v>
      </c>
      <c r="K1129">
        <v>0</v>
      </c>
      <c r="L1129" s="4">
        <v>0.67595568877515022</v>
      </c>
      <c r="M1129" s="4">
        <v>0.32404431122484978</v>
      </c>
      <c r="N1129">
        <v>3</v>
      </c>
    </row>
    <row r="1130" spans="1:14" x14ac:dyDescent="0.35">
      <c r="A1130" s="1">
        <v>3012</v>
      </c>
      <c r="B1130">
        <v>9</v>
      </c>
      <c r="C1130">
        <v>42</v>
      </c>
      <c r="D1130">
        <v>0</v>
      </c>
      <c r="E1130">
        <v>1</v>
      </c>
      <c r="F1130">
        <v>0</v>
      </c>
      <c r="G1130">
        <v>2</v>
      </c>
      <c r="H1130">
        <v>2</v>
      </c>
      <c r="I1130">
        <v>1000</v>
      </c>
      <c r="J1130">
        <v>5</v>
      </c>
      <c r="K1130">
        <v>1</v>
      </c>
      <c r="L1130" s="4">
        <v>0.67599096468505426</v>
      </c>
      <c r="M1130" s="4">
        <v>0.32400903531494568</v>
      </c>
      <c r="N1130">
        <v>3</v>
      </c>
    </row>
    <row r="1131" spans="1:14" x14ac:dyDescent="0.35">
      <c r="A1131" s="1">
        <v>1984</v>
      </c>
      <c r="B1131">
        <v>13</v>
      </c>
      <c r="C1131">
        <v>61</v>
      </c>
      <c r="D1131">
        <v>3</v>
      </c>
      <c r="E1131">
        <v>0</v>
      </c>
      <c r="F1131">
        <v>1</v>
      </c>
      <c r="G1131">
        <v>7</v>
      </c>
      <c r="H1131">
        <v>2</v>
      </c>
      <c r="I1131">
        <v>3000</v>
      </c>
      <c r="J1131">
        <v>8</v>
      </c>
      <c r="K1131">
        <v>0</v>
      </c>
      <c r="L1131" s="4">
        <v>0.67613559368476051</v>
      </c>
      <c r="M1131" s="4">
        <v>0.32386440631523949</v>
      </c>
      <c r="N1131">
        <v>3</v>
      </c>
    </row>
    <row r="1132" spans="1:14" x14ac:dyDescent="0.35">
      <c r="A1132" s="1">
        <v>592</v>
      </c>
      <c r="B1132">
        <v>9</v>
      </c>
      <c r="C1132">
        <v>44</v>
      </c>
      <c r="D1132">
        <v>2</v>
      </c>
      <c r="E1132">
        <v>0</v>
      </c>
      <c r="F1132">
        <v>1</v>
      </c>
      <c r="G1132">
        <v>12</v>
      </c>
      <c r="H1132">
        <v>3</v>
      </c>
      <c r="I1132">
        <v>0.01</v>
      </c>
      <c r="J1132">
        <v>9</v>
      </c>
      <c r="K1132">
        <v>0</v>
      </c>
      <c r="L1132" s="4">
        <v>0.67627094309823232</v>
      </c>
      <c r="M1132" s="4">
        <v>0.32372905690176768</v>
      </c>
      <c r="N1132">
        <v>3</v>
      </c>
    </row>
    <row r="1133" spans="1:14" x14ac:dyDescent="0.35">
      <c r="A1133" s="1">
        <v>4230</v>
      </c>
      <c r="B1133">
        <v>8</v>
      </c>
      <c r="C1133">
        <v>42</v>
      </c>
      <c r="D1133">
        <v>0</v>
      </c>
      <c r="E1133">
        <v>0</v>
      </c>
      <c r="F1133">
        <v>0</v>
      </c>
      <c r="G1133">
        <v>4</v>
      </c>
      <c r="H1133">
        <v>3</v>
      </c>
      <c r="I1133">
        <v>0.01</v>
      </c>
      <c r="J1133">
        <v>7</v>
      </c>
      <c r="K1133">
        <v>0</v>
      </c>
      <c r="L1133" s="4">
        <v>0.67648847245316401</v>
      </c>
      <c r="M1133" s="4">
        <v>0.32351152754683599</v>
      </c>
      <c r="N1133">
        <v>3</v>
      </c>
    </row>
    <row r="1134" spans="1:14" x14ac:dyDescent="0.35">
      <c r="A1134" s="1">
        <v>347</v>
      </c>
      <c r="B1134">
        <v>7</v>
      </c>
      <c r="C1134">
        <v>36</v>
      </c>
      <c r="D1134">
        <v>1</v>
      </c>
      <c r="E1134">
        <v>0</v>
      </c>
      <c r="F1134">
        <v>4</v>
      </c>
      <c r="G1134">
        <v>9</v>
      </c>
      <c r="H1134">
        <v>2</v>
      </c>
      <c r="I1134">
        <v>2194.27</v>
      </c>
      <c r="J1134">
        <v>9</v>
      </c>
      <c r="K1134">
        <v>0</v>
      </c>
      <c r="L1134" s="4">
        <v>0.67648981354848292</v>
      </c>
      <c r="M1134" s="4">
        <v>0.32351018645151708</v>
      </c>
      <c r="N1134">
        <v>3</v>
      </c>
    </row>
    <row r="1135" spans="1:14" x14ac:dyDescent="0.35">
      <c r="A1135" s="1">
        <v>905</v>
      </c>
      <c r="B1135">
        <v>10</v>
      </c>
      <c r="C1135">
        <v>51</v>
      </c>
      <c r="D1135">
        <v>1</v>
      </c>
      <c r="E1135">
        <v>0</v>
      </c>
      <c r="F1135">
        <v>3</v>
      </c>
      <c r="G1135">
        <v>3</v>
      </c>
      <c r="H1135">
        <v>0</v>
      </c>
      <c r="I1135">
        <v>19126.39</v>
      </c>
      <c r="J1135">
        <v>3</v>
      </c>
      <c r="K1135">
        <v>1</v>
      </c>
      <c r="L1135" s="4">
        <v>0.67703670871933674</v>
      </c>
      <c r="M1135" s="4">
        <v>0.32296329128066331</v>
      </c>
      <c r="N1135">
        <v>3</v>
      </c>
    </row>
    <row r="1136" spans="1:14" x14ac:dyDescent="0.35">
      <c r="A1136" s="1">
        <v>3637</v>
      </c>
      <c r="B1136">
        <v>11</v>
      </c>
      <c r="C1136">
        <v>53</v>
      </c>
      <c r="D1136">
        <v>3</v>
      </c>
      <c r="E1136">
        <v>0</v>
      </c>
      <c r="F1136">
        <v>0</v>
      </c>
      <c r="G1136">
        <v>11</v>
      </c>
      <c r="H1136">
        <v>2</v>
      </c>
      <c r="I1136">
        <v>1500</v>
      </c>
      <c r="J1136">
        <v>5</v>
      </c>
      <c r="K1136">
        <v>0</v>
      </c>
      <c r="L1136" s="4">
        <v>0.67741498358212593</v>
      </c>
      <c r="M1136" s="4">
        <v>0.32258501641787413</v>
      </c>
      <c r="N1136">
        <v>3</v>
      </c>
    </row>
    <row r="1137" spans="1:14" x14ac:dyDescent="0.35">
      <c r="A1137" s="1">
        <v>2065</v>
      </c>
      <c r="B1137">
        <v>8</v>
      </c>
      <c r="C1137">
        <v>39</v>
      </c>
      <c r="D1137">
        <v>3</v>
      </c>
      <c r="E1137">
        <v>0</v>
      </c>
      <c r="F1137">
        <v>3</v>
      </c>
      <c r="G1137">
        <v>8</v>
      </c>
      <c r="H1137">
        <v>3</v>
      </c>
      <c r="I1137">
        <v>0.01</v>
      </c>
      <c r="J1137">
        <v>7</v>
      </c>
      <c r="K1137">
        <v>1</v>
      </c>
      <c r="L1137" s="4">
        <v>0.67771687939987157</v>
      </c>
      <c r="M1137" s="4">
        <v>0.32228312060012843</v>
      </c>
      <c r="N1137">
        <v>3</v>
      </c>
    </row>
    <row r="1138" spans="1:14" x14ac:dyDescent="0.35">
      <c r="A1138" s="1">
        <v>572</v>
      </c>
      <c r="B1138">
        <v>10</v>
      </c>
      <c r="C1138">
        <v>48</v>
      </c>
      <c r="D1138">
        <v>2</v>
      </c>
      <c r="E1138">
        <v>0</v>
      </c>
      <c r="F1138">
        <v>3</v>
      </c>
      <c r="G1138">
        <v>3</v>
      </c>
      <c r="H1138">
        <v>3</v>
      </c>
      <c r="I1138">
        <v>0.01</v>
      </c>
      <c r="J1138">
        <v>7</v>
      </c>
      <c r="K1138">
        <v>0</v>
      </c>
      <c r="L1138" s="4">
        <v>0.67779995579091068</v>
      </c>
      <c r="M1138" s="4">
        <v>0.32220004420908938</v>
      </c>
      <c r="N1138">
        <v>3</v>
      </c>
    </row>
    <row r="1139" spans="1:14" x14ac:dyDescent="0.35">
      <c r="A1139" s="1">
        <v>3367</v>
      </c>
      <c r="B1139">
        <v>7</v>
      </c>
      <c r="C1139">
        <v>33</v>
      </c>
      <c r="D1139">
        <v>2</v>
      </c>
      <c r="E1139">
        <v>1</v>
      </c>
      <c r="F1139">
        <v>0</v>
      </c>
      <c r="G1139">
        <v>4</v>
      </c>
      <c r="H1139">
        <v>2</v>
      </c>
      <c r="I1139">
        <v>480</v>
      </c>
      <c r="J1139">
        <v>6</v>
      </c>
      <c r="K1139">
        <v>0</v>
      </c>
      <c r="L1139" s="4">
        <v>0.67796050061782753</v>
      </c>
      <c r="M1139" s="4">
        <v>0.32203949938217252</v>
      </c>
      <c r="N1139">
        <v>3</v>
      </c>
    </row>
    <row r="1140" spans="1:14" x14ac:dyDescent="0.35">
      <c r="A1140" s="1">
        <v>224</v>
      </c>
      <c r="B1140">
        <v>8</v>
      </c>
      <c r="C1140">
        <v>36</v>
      </c>
      <c r="D1140">
        <v>1</v>
      </c>
      <c r="E1140">
        <v>1</v>
      </c>
      <c r="F1140">
        <v>1</v>
      </c>
      <c r="G1140">
        <v>7</v>
      </c>
      <c r="H1140">
        <v>3</v>
      </c>
      <c r="I1140">
        <v>0.01</v>
      </c>
      <c r="J1140">
        <v>5</v>
      </c>
      <c r="K1140">
        <v>0</v>
      </c>
      <c r="L1140" s="4">
        <v>0.67828028414232544</v>
      </c>
      <c r="M1140" s="4">
        <v>0.3217197158576745</v>
      </c>
      <c r="N1140">
        <v>3</v>
      </c>
    </row>
    <row r="1141" spans="1:14" x14ac:dyDescent="0.35">
      <c r="A1141" s="1">
        <v>391</v>
      </c>
      <c r="B1141">
        <v>11</v>
      </c>
      <c r="C1141">
        <v>53</v>
      </c>
      <c r="D1141">
        <v>0</v>
      </c>
      <c r="E1141">
        <v>0</v>
      </c>
      <c r="F1141">
        <v>3</v>
      </c>
      <c r="G1141">
        <v>3</v>
      </c>
      <c r="H1141">
        <v>3</v>
      </c>
      <c r="I1141">
        <v>0.01</v>
      </c>
      <c r="J1141">
        <v>8</v>
      </c>
      <c r="K1141">
        <v>0</v>
      </c>
      <c r="L1141" s="4">
        <v>0.67851189041824211</v>
      </c>
      <c r="M1141" s="4">
        <v>0.32148810958175789</v>
      </c>
      <c r="N1141">
        <v>3</v>
      </c>
    </row>
    <row r="1142" spans="1:14" x14ac:dyDescent="0.35">
      <c r="A1142" s="1">
        <v>152</v>
      </c>
      <c r="B1142">
        <v>6</v>
      </c>
      <c r="C1142">
        <v>32</v>
      </c>
      <c r="D1142">
        <v>5</v>
      </c>
      <c r="E1142">
        <v>0</v>
      </c>
      <c r="F1142">
        <v>0</v>
      </c>
      <c r="G1142">
        <v>11</v>
      </c>
      <c r="H1142">
        <v>2</v>
      </c>
      <c r="I1142">
        <v>360</v>
      </c>
      <c r="J1142">
        <v>8</v>
      </c>
      <c r="K1142">
        <v>0</v>
      </c>
      <c r="L1142" s="4">
        <v>0.67862041695505915</v>
      </c>
      <c r="M1142" s="4">
        <v>0.32137958304494091</v>
      </c>
      <c r="N1142">
        <v>3</v>
      </c>
    </row>
    <row r="1143" spans="1:14" x14ac:dyDescent="0.35">
      <c r="A1143" s="1">
        <v>873</v>
      </c>
      <c r="B1143">
        <v>8</v>
      </c>
      <c r="C1143">
        <v>40</v>
      </c>
      <c r="D1143">
        <v>4</v>
      </c>
      <c r="E1143">
        <v>0</v>
      </c>
      <c r="F1143">
        <v>1</v>
      </c>
      <c r="G1143">
        <v>12</v>
      </c>
      <c r="H1143">
        <v>2</v>
      </c>
      <c r="I1143">
        <v>5000</v>
      </c>
      <c r="J1143">
        <v>3</v>
      </c>
      <c r="K1143">
        <v>0</v>
      </c>
      <c r="L1143" s="4">
        <v>0.67873323709857858</v>
      </c>
      <c r="M1143" s="4">
        <v>0.32126676290142142</v>
      </c>
      <c r="N1143">
        <v>3</v>
      </c>
    </row>
    <row r="1144" spans="1:14" x14ac:dyDescent="0.35">
      <c r="A1144" s="1">
        <v>2082</v>
      </c>
      <c r="B1144">
        <v>8</v>
      </c>
      <c r="C1144">
        <v>40</v>
      </c>
      <c r="D1144">
        <v>5</v>
      </c>
      <c r="E1144">
        <v>0</v>
      </c>
      <c r="F1144">
        <v>1</v>
      </c>
      <c r="G1144">
        <v>7</v>
      </c>
      <c r="H1144">
        <v>2</v>
      </c>
      <c r="I1144">
        <v>3000</v>
      </c>
      <c r="J1144">
        <v>4</v>
      </c>
      <c r="K1144">
        <v>0</v>
      </c>
      <c r="L1144" s="4">
        <v>0.67890604848632763</v>
      </c>
      <c r="M1144" s="4">
        <v>0.32109395151367243</v>
      </c>
      <c r="N1144">
        <v>3</v>
      </c>
    </row>
    <row r="1145" spans="1:14" x14ac:dyDescent="0.35">
      <c r="A1145" s="1">
        <v>1360</v>
      </c>
      <c r="B1145">
        <v>15</v>
      </c>
      <c r="C1145">
        <v>69</v>
      </c>
      <c r="D1145">
        <v>4</v>
      </c>
      <c r="E1145">
        <v>0</v>
      </c>
      <c r="F1145">
        <v>0</v>
      </c>
      <c r="G1145">
        <v>2</v>
      </c>
      <c r="H1145">
        <v>3</v>
      </c>
      <c r="I1145">
        <v>0.01</v>
      </c>
      <c r="J1145">
        <v>8</v>
      </c>
      <c r="K1145">
        <v>0</v>
      </c>
      <c r="L1145" s="4">
        <v>0.67902632903742255</v>
      </c>
      <c r="M1145" s="4">
        <v>0.32097367096257751</v>
      </c>
      <c r="N1145">
        <v>3</v>
      </c>
    </row>
    <row r="1146" spans="1:14" x14ac:dyDescent="0.35">
      <c r="A1146" s="1">
        <v>139</v>
      </c>
      <c r="B1146">
        <v>10</v>
      </c>
      <c r="C1146">
        <v>50</v>
      </c>
      <c r="D1146">
        <v>3</v>
      </c>
      <c r="E1146">
        <v>0</v>
      </c>
      <c r="F1146">
        <v>0</v>
      </c>
      <c r="G1146">
        <v>2</v>
      </c>
      <c r="H1146">
        <v>2</v>
      </c>
      <c r="I1146">
        <v>2000</v>
      </c>
      <c r="J1146">
        <v>9</v>
      </c>
      <c r="K1146">
        <v>0</v>
      </c>
      <c r="L1146" s="4">
        <v>0.67912678006066196</v>
      </c>
      <c r="M1146" s="4">
        <v>0.32087321993933798</v>
      </c>
      <c r="N1146">
        <v>3</v>
      </c>
    </row>
    <row r="1147" spans="1:14" x14ac:dyDescent="0.35">
      <c r="A1147" s="1">
        <v>3267</v>
      </c>
      <c r="B1147">
        <v>10</v>
      </c>
      <c r="C1147">
        <v>51</v>
      </c>
      <c r="D1147">
        <v>1</v>
      </c>
      <c r="E1147">
        <v>0</v>
      </c>
      <c r="F1147">
        <v>3</v>
      </c>
      <c r="G1147">
        <v>3</v>
      </c>
      <c r="H1147">
        <v>0</v>
      </c>
      <c r="I1147">
        <v>15013.76</v>
      </c>
      <c r="J1147">
        <v>0</v>
      </c>
      <c r="K1147">
        <v>1</v>
      </c>
      <c r="L1147" s="4">
        <v>0.67932433399043868</v>
      </c>
      <c r="M1147" s="4">
        <v>0.32067566600956132</v>
      </c>
      <c r="N1147">
        <v>3</v>
      </c>
    </row>
    <row r="1148" spans="1:14" x14ac:dyDescent="0.35">
      <c r="A1148" s="1">
        <v>3298</v>
      </c>
      <c r="B1148">
        <v>11</v>
      </c>
      <c r="C1148">
        <v>56</v>
      </c>
      <c r="D1148">
        <v>0</v>
      </c>
      <c r="E1148">
        <v>0</v>
      </c>
      <c r="F1148">
        <v>0</v>
      </c>
      <c r="G1148">
        <v>11</v>
      </c>
      <c r="H1148">
        <v>0</v>
      </c>
      <c r="I1148">
        <v>6000</v>
      </c>
      <c r="J1148">
        <v>1</v>
      </c>
      <c r="K1148">
        <v>0</v>
      </c>
      <c r="L1148" s="4">
        <v>0.67991857872383887</v>
      </c>
      <c r="M1148" s="4">
        <v>0.32008142127616118</v>
      </c>
      <c r="N1148">
        <v>3</v>
      </c>
    </row>
    <row r="1149" spans="1:14" x14ac:dyDescent="0.35">
      <c r="A1149" s="1">
        <v>652</v>
      </c>
      <c r="B1149">
        <v>10</v>
      </c>
      <c r="C1149">
        <v>49</v>
      </c>
      <c r="D1149">
        <v>3</v>
      </c>
      <c r="E1149">
        <v>0</v>
      </c>
      <c r="F1149">
        <v>1</v>
      </c>
      <c r="G1149">
        <v>7</v>
      </c>
      <c r="H1149">
        <v>2</v>
      </c>
      <c r="I1149">
        <v>600</v>
      </c>
      <c r="J1149">
        <v>4</v>
      </c>
      <c r="K1149">
        <v>0</v>
      </c>
      <c r="L1149" s="4">
        <v>0.68008036441355113</v>
      </c>
      <c r="M1149" s="4">
        <v>0.31991963558644892</v>
      </c>
      <c r="N1149">
        <v>3</v>
      </c>
    </row>
    <row r="1150" spans="1:14" x14ac:dyDescent="0.35">
      <c r="A1150" s="1">
        <v>3762</v>
      </c>
      <c r="B1150">
        <v>12</v>
      </c>
      <c r="C1150">
        <v>60</v>
      </c>
      <c r="D1150">
        <v>2</v>
      </c>
      <c r="E1150">
        <v>0</v>
      </c>
      <c r="F1150">
        <v>0</v>
      </c>
      <c r="G1150">
        <v>4</v>
      </c>
      <c r="H1150">
        <v>0</v>
      </c>
      <c r="I1150">
        <v>9604.34</v>
      </c>
      <c r="J1150">
        <v>4</v>
      </c>
      <c r="K1150">
        <v>0</v>
      </c>
      <c r="L1150" s="4">
        <v>0.68024371231806857</v>
      </c>
      <c r="M1150" s="4">
        <v>0.31975628768193137</v>
      </c>
      <c r="N1150">
        <v>3</v>
      </c>
    </row>
    <row r="1151" spans="1:14" x14ac:dyDescent="0.35">
      <c r="A1151" s="1">
        <v>1230</v>
      </c>
      <c r="B1151">
        <v>9</v>
      </c>
      <c r="C1151">
        <v>45</v>
      </c>
      <c r="D1151">
        <v>1</v>
      </c>
      <c r="E1151">
        <v>0</v>
      </c>
      <c r="F1151">
        <v>3</v>
      </c>
      <c r="G1151">
        <v>8</v>
      </c>
      <c r="H1151">
        <v>2</v>
      </c>
      <c r="I1151">
        <v>4800</v>
      </c>
      <c r="J1151">
        <v>8</v>
      </c>
      <c r="K1151">
        <v>0</v>
      </c>
      <c r="L1151" s="4">
        <v>0.68026488016985576</v>
      </c>
      <c r="M1151" s="4">
        <v>0.31973511983014419</v>
      </c>
      <c r="N1151">
        <v>3</v>
      </c>
    </row>
    <row r="1152" spans="1:14" x14ac:dyDescent="0.35">
      <c r="A1152" s="1">
        <v>443</v>
      </c>
      <c r="B1152">
        <v>7</v>
      </c>
      <c r="C1152">
        <v>34</v>
      </c>
      <c r="D1152">
        <v>1</v>
      </c>
      <c r="E1152">
        <v>1</v>
      </c>
      <c r="F1152">
        <v>3</v>
      </c>
      <c r="G1152">
        <v>3</v>
      </c>
      <c r="H1152">
        <v>0</v>
      </c>
      <c r="I1152">
        <v>13000</v>
      </c>
      <c r="J1152">
        <v>2</v>
      </c>
      <c r="K1152">
        <v>0</v>
      </c>
      <c r="L1152" s="4">
        <v>0.68027053910209934</v>
      </c>
      <c r="M1152" s="4">
        <v>0.31972946089790072</v>
      </c>
      <c r="N1152">
        <v>3</v>
      </c>
    </row>
    <row r="1153" spans="1:14" x14ac:dyDescent="0.35">
      <c r="A1153" s="1">
        <v>2329</v>
      </c>
      <c r="B1153">
        <v>6</v>
      </c>
      <c r="C1153">
        <v>32</v>
      </c>
      <c r="D1153">
        <v>1</v>
      </c>
      <c r="E1153">
        <v>0</v>
      </c>
      <c r="F1153">
        <v>3</v>
      </c>
      <c r="G1153">
        <v>8</v>
      </c>
      <c r="H1153">
        <v>3</v>
      </c>
      <c r="I1153">
        <v>0.01</v>
      </c>
      <c r="J1153">
        <v>8</v>
      </c>
      <c r="K1153">
        <v>1</v>
      </c>
      <c r="L1153" s="4">
        <v>0.68040339917898285</v>
      </c>
      <c r="M1153" s="4">
        <v>0.3195966008210171</v>
      </c>
      <c r="N1153">
        <v>3</v>
      </c>
    </row>
    <row r="1154" spans="1:14" x14ac:dyDescent="0.35">
      <c r="A1154" s="1">
        <v>4124</v>
      </c>
      <c r="B1154">
        <v>11</v>
      </c>
      <c r="C1154">
        <v>53</v>
      </c>
      <c r="D1154">
        <v>5</v>
      </c>
      <c r="E1154">
        <v>0</v>
      </c>
      <c r="F1154">
        <v>3</v>
      </c>
      <c r="G1154">
        <v>8</v>
      </c>
      <c r="H1154">
        <v>0</v>
      </c>
      <c r="I1154">
        <v>12053.35</v>
      </c>
      <c r="J1154">
        <v>7</v>
      </c>
      <c r="K1154">
        <v>0</v>
      </c>
      <c r="L1154" s="4">
        <v>0.68042621041510865</v>
      </c>
      <c r="M1154" s="4">
        <v>0.31957378958489141</v>
      </c>
      <c r="N1154">
        <v>3</v>
      </c>
    </row>
    <row r="1155" spans="1:14" x14ac:dyDescent="0.35">
      <c r="A1155" s="1">
        <v>4319</v>
      </c>
      <c r="B1155">
        <v>10</v>
      </c>
      <c r="C1155">
        <v>51</v>
      </c>
      <c r="D1155">
        <v>1</v>
      </c>
      <c r="E1155">
        <v>0</v>
      </c>
      <c r="F1155">
        <v>3</v>
      </c>
      <c r="G1155">
        <v>3</v>
      </c>
      <c r="H1155">
        <v>0</v>
      </c>
      <c r="I1155">
        <v>5350.99</v>
      </c>
      <c r="J1155">
        <v>8</v>
      </c>
      <c r="K1155">
        <v>0</v>
      </c>
      <c r="L1155" s="4">
        <v>0.68047531935472583</v>
      </c>
      <c r="M1155" s="4">
        <v>0.31952468064527417</v>
      </c>
      <c r="N1155">
        <v>3</v>
      </c>
    </row>
    <row r="1156" spans="1:14" x14ac:dyDescent="0.35">
      <c r="A1156" s="1">
        <v>3543</v>
      </c>
      <c r="B1156">
        <v>11</v>
      </c>
      <c r="C1156">
        <v>46</v>
      </c>
      <c r="D1156">
        <v>5</v>
      </c>
      <c r="E1156">
        <v>1</v>
      </c>
      <c r="F1156">
        <v>3</v>
      </c>
      <c r="G1156">
        <v>3</v>
      </c>
      <c r="H1156">
        <v>3</v>
      </c>
      <c r="I1156">
        <v>0.01</v>
      </c>
      <c r="J1156">
        <v>5</v>
      </c>
      <c r="K1156">
        <v>0</v>
      </c>
      <c r="L1156" s="4">
        <v>0.68060835154060118</v>
      </c>
      <c r="M1156" s="4">
        <v>0.31939164845939882</v>
      </c>
      <c r="N1156">
        <v>3</v>
      </c>
    </row>
    <row r="1157" spans="1:14" x14ac:dyDescent="0.35">
      <c r="A1157" s="1">
        <v>4365</v>
      </c>
      <c r="B1157">
        <v>7</v>
      </c>
      <c r="C1157">
        <v>36</v>
      </c>
      <c r="D1157">
        <v>2</v>
      </c>
      <c r="E1157">
        <v>0</v>
      </c>
      <c r="F1157">
        <v>3</v>
      </c>
      <c r="G1157">
        <v>3</v>
      </c>
      <c r="H1157">
        <v>3</v>
      </c>
      <c r="I1157">
        <v>0.01</v>
      </c>
      <c r="J1157">
        <v>4</v>
      </c>
      <c r="K1157">
        <v>0</v>
      </c>
      <c r="L1157" s="4">
        <v>0.68061509863383096</v>
      </c>
      <c r="M1157" s="4">
        <v>0.31938490136616898</v>
      </c>
      <c r="N1157">
        <v>3</v>
      </c>
    </row>
    <row r="1158" spans="1:14" x14ac:dyDescent="0.35">
      <c r="A1158" s="1">
        <v>2951</v>
      </c>
      <c r="B1158">
        <v>7</v>
      </c>
      <c r="C1158">
        <v>34</v>
      </c>
      <c r="D1158">
        <v>1</v>
      </c>
      <c r="E1158">
        <v>1</v>
      </c>
      <c r="F1158">
        <v>3</v>
      </c>
      <c r="G1158">
        <v>3</v>
      </c>
      <c r="H1158">
        <v>0</v>
      </c>
      <c r="I1158">
        <v>6950</v>
      </c>
      <c r="J1158">
        <v>8</v>
      </c>
      <c r="K1158">
        <v>0</v>
      </c>
      <c r="L1158" s="4">
        <v>0.68071357134219479</v>
      </c>
      <c r="M1158" s="4">
        <v>0.31928642865780532</v>
      </c>
      <c r="N1158">
        <v>3</v>
      </c>
    </row>
    <row r="1159" spans="1:14" x14ac:dyDescent="0.35">
      <c r="A1159" s="1">
        <v>3341</v>
      </c>
      <c r="B1159">
        <v>10</v>
      </c>
      <c r="C1159">
        <v>51</v>
      </c>
      <c r="D1159">
        <v>1</v>
      </c>
      <c r="E1159">
        <v>0</v>
      </c>
      <c r="F1159">
        <v>0</v>
      </c>
      <c r="G1159">
        <v>2</v>
      </c>
      <c r="H1159">
        <v>2</v>
      </c>
      <c r="I1159">
        <v>5000</v>
      </c>
      <c r="J1159">
        <v>5</v>
      </c>
      <c r="K1159">
        <v>0</v>
      </c>
      <c r="L1159" s="4">
        <v>0.68084046081628968</v>
      </c>
      <c r="M1159" s="4">
        <v>0.31915953918371032</v>
      </c>
      <c r="N1159">
        <v>3</v>
      </c>
    </row>
    <row r="1160" spans="1:14" x14ac:dyDescent="0.35">
      <c r="A1160" s="1">
        <v>453</v>
      </c>
      <c r="B1160">
        <v>11</v>
      </c>
      <c r="C1160">
        <v>51</v>
      </c>
      <c r="D1160">
        <v>5</v>
      </c>
      <c r="E1160">
        <v>0</v>
      </c>
      <c r="F1160">
        <v>3</v>
      </c>
      <c r="G1160">
        <v>3</v>
      </c>
      <c r="H1160">
        <v>3</v>
      </c>
      <c r="I1160">
        <v>0.01</v>
      </c>
      <c r="J1160">
        <v>8</v>
      </c>
      <c r="K1160">
        <v>0</v>
      </c>
      <c r="L1160" s="4">
        <v>0.68094251506070558</v>
      </c>
      <c r="M1160" s="4">
        <v>0.31905748493929442</v>
      </c>
      <c r="N1160">
        <v>3</v>
      </c>
    </row>
    <row r="1161" spans="1:14" x14ac:dyDescent="0.35">
      <c r="A1161" s="1">
        <v>3213</v>
      </c>
      <c r="B1161">
        <v>8</v>
      </c>
      <c r="C1161">
        <v>37</v>
      </c>
      <c r="D1161">
        <v>1</v>
      </c>
      <c r="E1161">
        <v>1</v>
      </c>
      <c r="F1161">
        <v>1</v>
      </c>
      <c r="G1161">
        <v>7</v>
      </c>
      <c r="H1161">
        <v>2</v>
      </c>
      <c r="I1161">
        <v>1000</v>
      </c>
      <c r="J1161">
        <v>5</v>
      </c>
      <c r="K1161">
        <v>0</v>
      </c>
      <c r="L1161" s="4">
        <v>0.68144727760203727</v>
      </c>
      <c r="M1161" s="4">
        <v>0.31855272239796267</v>
      </c>
      <c r="N1161">
        <v>3</v>
      </c>
    </row>
    <row r="1162" spans="1:14" x14ac:dyDescent="0.35">
      <c r="A1162" s="1">
        <v>4387</v>
      </c>
      <c r="B1162">
        <v>5</v>
      </c>
      <c r="C1162">
        <v>28</v>
      </c>
      <c r="D1162">
        <v>5</v>
      </c>
      <c r="E1162">
        <v>0</v>
      </c>
      <c r="F1162">
        <v>0</v>
      </c>
      <c r="G1162">
        <v>4</v>
      </c>
      <c r="H1162">
        <v>3</v>
      </c>
      <c r="I1162">
        <v>0.01</v>
      </c>
      <c r="J1162">
        <v>5</v>
      </c>
      <c r="K1162">
        <v>0</v>
      </c>
      <c r="L1162" s="4">
        <v>0.68145818806438374</v>
      </c>
      <c r="M1162" s="4">
        <v>0.31854181193561631</v>
      </c>
      <c r="N1162">
        <v>3</v>
      </c>
    </row>
    <row r="1163" spans="1:14" x14ac:dyDescent="0.35">
      <c r="A1163" s="1">
        <v>2054</v>
      </c>
      <c r="B1163">
        <v>11</v>
      </c>
      <c r="C1163">
        <v>52</v>
      </c>
      <c r="D1163">
        <v>4</v>
      </c>
      <c r="E1163">
        <v>0</v>
      </c>
      <c r="F1163">
        <v>1</v>
      </c>
      <c r="G1163">
        <v>7</v>
      </c>
      <c r="H1163">
        <v>3</v>
      </c>
      <c r="I1163">
        <v>0.01</v>
      </c>
      <c r="J1163">
        <v>5</v>
      </c>
      <c r="K1163">
        <v>0</v>
      </c>
      <c r="L1163" s="4">
        <v>0.68155806848724265</v>
      </c>
      <c r="M1163" s="4">
        <v>0.31844193151275729</v>
      </c>
      <c r="N1163">
        <v>3</v>
      </c>
    </row>
    <row r="1164" spans="1:14" x14ac:dyDescent="0.35">
      <c r="A1164" s="1">
        <v>340</v>
      </c>
      <c r="B1164">
        <v>11</v>
      </c>
      <c r="C1164">
        <v>51</v>
      </c>
      <c r="D1164">
        <v>2</v>
      </c>
      <c r="E1164">
        <v>1</v>
      </c>
      <c r="F1164">
        <v>2</v>
      </c>
      <c r="G1164">
        <v>1</v>
      </c>
      <c r="H1164">
        <v>0</v>
      </c>
      <c r="I1164">
        <v>6000</v>
      </c>
      <c r="J1164">
        <v>33</v>
      </c>
      <c r="K1164">
        <v>0</v>
      </c>
      <c r="L1164" s="4">
        <v>0.6816668772159491</v>
      </c>
      <c r="M1164" s="4">
        <v>0.3183331227840509</v>
      </c>
      <c r="N1164">
        <v>3</v>
      </c>
    </row>
    <row r="1165" spans="1:14" x14ac:dyDescent="0.35">
      <c r="A1165" s="1">
        <v>2991</v>
      </c>
      <c r="B1165">
        <v>7</v>
      </c>
      <c r="C1165">
        <v>37</v>
      </c>
      <c r="D1165">
        <v>3</v>
      </c>
      <c r="E1165">
        <v>0</v>
      </c>
      <c r="F1165">
        <v>1</v>
      </c>
      <c r="G1165">
        <v>7</v>
      </c>
      <c r="H1165">
        <v>2</v>
      </c>
      <c r="I1165">
        <v>720</v>
      </c>
      <c r="J1165">
        <v>5</v>
      </c>
      <c r="K1165">
        <v>0</v>
      </c>
      <c r="L1165" s="4">
        <v>0.68172877404652488</v>
      </c>
      <c r="M1165" s="4">
        <v>0.31827122595347512</v>
      </c>
      <c r="N1165">
        <v>3</v>
      </c>
    </row>
    <row r="1166" spans="1:14" x14ac:dyDescent="0.35">
      <c r="A1166" s="1">
        <v>3088</v>
      </c>
      <c r="B1166">
        <v>7</v>
      </c>
      <c r="C1166">
        <v>37</v>
      </c>
      <c r="D1166">
        <v>3</v>
      </c>
      <c r="E1166">
        <v>0</v>
      </c>
      <c r="F1166">
        <v>1</v>
      </c>
      <c r="G1166">
        <v>7</v>
      </c>
      <c r="H1166">
        <v>2</v>
      </c>
      <c r="I1166">
        <v>650</v>
      </c>
      <c r="J1166">
        <v>4</v>
      </c>
      <c r="K1166">
        <v>1</v>
      </c>
      <c r="L1166" s="4">
        <v>0.68203199439951179</v>
      </c>
      <c r="M1166" s="4">
        <v>0.31796800560048821</v>
      </c>
      <c r="N1166">
        <v>3</v>
      </c>
    </row>
    <row r="1167" spans="1:14" x14ac:dyDescent="0.35">
      <c r="A1167" s="1">
        <v>3673</v>
      </c>
      <c r="B1167">
        <v>8</v>
      </c>
      <c r="C1167">
        <v>41</v>
      </c>
      <c r="D1167">
        <v>2</v>
      </c>
      <c r="E1167">
        <v>0</v>
      </c>
      <c r="F1167">
        <v>3</v>
      </c>
      <c r="G1167">
        <v>3</v>
      </c>
      <c r="H1167">
        <v>2</v>
      </c>
      <c r="I1167">
        <v>3000</v>
      </c>
      <c r="J1167">
        <v>5</v>
      </c>
      <c r="K1167">
        <v>1</v>
      </c>
      <c r="L1167" s="4">
        <v>0.68213952887775331</v>
      </c>
      <c r="M1167" s="4">
        <v>0.31786047112224669</v>
      </c>
      <c r="N1167">
        <v>3</v>
      </c>
    </row>
    <row r="1168" spans="1:14" x14ac:dyDescent="0.35">
      <c r="A1168" s="1">
        <v>2774</v>
      </c>
      <c r="B1168">
        <v>9</v>
      </c>
      <c r="C1168">
        <v>47</v>
      </c>
      <c r="D1168">
        <v>1</v>
      </c>
      <c r="E1168">
        <v>0</v>
      </c>
      <c r="F1168">
        <v>3</v>
      </c>
      <c r="G1168">
        <v>3</v>
      </c>
      <c r="H1168">
        <v>0</v>
      </c>
      <c r="I1168">
        <v>7522.49</v>
      </c>
      <c r="J1168">
        <v>1</v>
      </c>
      <c r="K1168">
        <v>0</v>
      </c>
      <c r="L1168" s="4">
        <v>0.68232459815756374</v>
      </c>
      <c r="M1168" s="4">
        <v>0.31767540184243631</v>
      </c>
      <c r="N1168">
        <v>3</v>
      </c>
    </row>
    <row r="1169" spans="1:14" x14ac:dyDescent="0.35">
      <c r="A1169" s="1">
        <v>3623</v>
      </c>
      <c r="B1169">
        <v>10</v>
      </c>
      <c r="C1169">
        <v>46</v>
      </c>
      <c r="D1169">
        <v>1</v>
      </c>
      <c r="E1169">
        <v>1</v>
      </c>
      <c r="F1169">
        <v>0</v>
      </c>
      <c r="G1169">
        <v>4</v>
      </c>
      <c r="H1169">
        <v>2</v>
      </c>
      <c r="I1169">
        <v>5000</v>
      </c>
      <c r="J1169">
        <v>4</v>
      </c>
      <c r="K1169">
        <v>0</v>
      </c>
      <c r="L1169" s="4">
        <v>0.68233167645565396</v>
      </c>
      <c r="M1169" s="4">
        <v>0.3176683235443461</v>
      </c>
      <c r="N1169">
        <v>3</v>
      </c>
    </row>
    <row r="1170" spans="1:14" x14ac:dyDescent="0.35">
      <c r="A1170" s="1">
        <v>786</v>
      </c>
      <c r="B1170">
        <v>13</v>
      </c>
      <c r="C1170">
        <v>62</v>
      </c>
      <c r="D1170">
        <v>5</v>
      </c>
      <c r="E1170">
        <v>0</v>
      </c>
      <c r="F1170">
        <v>3</v>
      </c>
      <c r="G1170">
        <v>3</v>
      </c>
      <c r="H1170">
        <v>0</v>
      </c>
      <c r="I1170">
        <v>18000</v>
      </c>
      <c r="J1170">
        <v>12</v>
      </c>
      <c r="K1170">
        <v>0</v>
      </c>
      <c r="L1170" s="4">
        <v>0.68274319541946238</v>
      </c>
      <c r="M1170" s="4">
        <v>0.31725680458053762</v>
      </c>
      <c r="N1170">
        <v>3</v>
      </c>
    </row>
    <row r="1171" spans="1:14" x14ac:dyDescent="0.35">
      <c r="A1171" s="1">
        <v>685</v>
      </c>
      <c r="B1171">
        <v>12</v>
      </c>
      <c r="C1171">
        <v>59</v>
      </c>
      <c r="D1171">
        <v>2</v>
      </c>
      <c r="E1171">
        <v>0</v>
      </c>
      <c r="F1171">
        <v>3</v>
      </c>
      <c r="G1171">
        <v>3</v>
      </c>
      <c r="H1171">
        <v>0</v>
      </c>
      <c r="I1171">
        <v>12107.64</v>
      </c>
      <c r="J1171">
        <v>6</v>
      </c>
      <c r="K1171">
        <v>1</v>
      </c>
      <c r="L1171" s="4">
        <v>0.68306634855580373</v>
      </c>
      <c r="M1171" s="4">
        <v>0.31693365144419622</v>
      </c>
      <c r="N1171">
        <v>3</v>
      </c>
    </row>
    <row r="1172" spans="1:14" x14ac:dyDescent="0.35">
      <c r="A1172" s="1">
        <v>1844</v>
      </c>
      <c r="B1172">
        <v>10</v>
      </c>
      <c r="C1172">
        <v>52</v>
      </c>
      <c r="D1172">
        <v>2</v>
      </c>
      <c r="E1172">
        <v>0</v>
      </c>
      <c r="F1172">
        <v>0</v>
      </c>
      <c r="G1172">
        <v>4</v>
      </c>
      <c r="H1172">
        <v>0</v>
      </c>
      <c r="I1172">
        <v>6000</v>
      </c>
      <c r="J1172">
        <v>3</v>
      </c>
      <c r="K1172">
        <v>0</v>
      </c>
      <c r="L1172" s="4">
        <v>0.68309416345886476</v>
      </c>
      <c r="M1172" s="4">
        <v>0.3169058365411353</v>
      </c>
      <c r="N1172">
        <v>3</v>
      </c>
    </row>
    <row r="1173" spans="1:14" x14ac:dyDescent="0.35">
      <c r="A1173" s="1">
        <v>3659</v>
      </c>
      <c r="B1173">
        <v>7</v>
      </c>
      <c r="C1173">
        <v>36</v>
      </c>
      <c r="D1173">
        <v>4</v>
      </c>
      <c r="E1173">
        <v>0</v>
      </c>
      <c r="F1173">
        <v>3</v>
      </c>
      <c r="G1173">
        <v>3</v>
      </c>
      <c r="H1173">
        <v>2</v>
      </c>
      <c r="I1173">
        <v>500</v>
      </c>
      <c r="J1173">
        <v>1</v>
      </c>
      <c r="K1173">
        <v>1</v>
      </c>
      <c r="L1173" s="4">
        <v>0.68314072640165491</v>
      </c>
      <c r="M1173" s="4">
        <v>0.31685927359834509</v>
      </c>
      <c r="N1173">
        <v>3</v>
      </c>
    </row>
    <row r="1174" spans="1:14" x14ac:dyDescent="0.35">
      <c r="A1174" s="1">
        <v>3331</v>
      </c>
      <c r="B1174">
        <v>10</v>
      </c>
      <c r="C1174">
        <v>49</v>
      </c>
      <c r="D1174">
        <v>2</v>
      </c>
      <c r="E1174">
        <v>0</v>
      </c>
      <c r="F1174">
        <v>2</v>
      </c>
      <c r="G1174">
        <v>1</v>
      </c>
      <c r="H1174">
        <v>3</v>
      </c>
      <c r="I1174">
        <v>0.01</v>
      </c>
      <c r="J1174">
        <v>4</v>
      </c>
      <c r="K1174">
        <v>1</v>
      </c>
      <c r="L1174" s="4">
        <v>0.68315406408339885</v>
      </c>
      <c r="M1174" s="4">
        <v>0.3168459359166011</v>
      </c>
      <c r="N1174">
        <v>3</v>
      </c>
    </row>
    <row r="1175" spans="1:14" x14ac:dyDescent="0.35">
      <c r="A1175" s="1">
        <v>600</v>
      </c>
      <c r="B1175">
        <v>8</v>
      </c>
      <c r="C1175">
        <v>39</v>
      </c>
      <c r="D1175">
        <v>4</v>
      </c>
      <c r="E1175">
        <v>0</v>
      </c>
      <c r="F1175">
        <v>3</v>
      </c>
      <c r="G1175">
        <v>8</v>
      </c>
      <c r="H1175">
        <v>3</v>
      </c>
      <c r="I1175">
        <v>0.01</v>
      </c>
      <c r="J1175">
        <v>8</v>
      </c>
      <c r="K1175">
        <v>0</v>
      </c>
      <c r="L1175" s="4">
        <v>0.6831566310271141</v>
      </c>
      <c r="M1175" s="4">
        <v>0.3168433689728859</v>
      </c>
      <c r="N1175">
        <v>3</v>
      </c>
    </row>
    <row r="1176" spans="1:14" x14ac:dyDescent="0.35">
      <c r="A1176" s="1">
        <v>599</v>
      </c>
      <c r="B1176">
        <v>8</v>
      </c>
      <c r="C1176">
        <v>42</v>
      </c>
      <c r="D1176">
        <v>0</v>
      </c>
      <c r="E1176">
        <v>0</v>
      </c>
      <c r="F1176">
        <v>3</v>
      </c>
      <c r="G1176">
        <v>3</v>
      </c>
      <c r="H1176">
        <v>2</v>
      </c>
      <c r="I1176">
        <v>3052.66</v>
      </c>
      <c r="J1176">
        <v>7</v>
      </c>
      <c r="K1176">
        <v>0</v>
      </c>
      <c r="L1176" s="4">
        <v>0.6832039857079264</v>
      </c>
      <c r="M1176" s="4">
        <v>0.31679601429207371</v>
      </c>
      <c r="N1176">
        <v>3</v>
      </c>
    </row>
    <row r="1177" spans="1:14" x14ac:dyDescent="0.35">
      <c r="A1177" s="1">
        <v>3423</v>
      </c>
      <c r="B1177">
        <v>9</v>
      </c>
      <c r="C1177">
        <v>45</v>
      </c>
      <c r="D1177">
        <v>5</v>
      </c>
      <c r="E1177">
        <v>0</v>
      </c>
      <c r="F1177">
        <v>0</v>
      </c>
      <c r="G1177">
        <v>4</v>
      </c>
      <c r="H1177">
        <v>2</v>
      </c>
      <c r="I1177">
        <v>480</v>
      </c>
      <c r="J1177">
        <v>1</v>
      </c>
      <c r="K1177">
        <v>0</v>
      </c>
      <c r="L1177" s="4">
        <v>0.6832879344960352</v>
      </c>
      <c r="M1177" s="4">
        <v>0.31671206550396491</v>
      </c>
      <c r="N1177">
        <v>3</v>
      </c>
    </row>
    <row r="1178" spans="1:14" x14ac:dyDescent="0.35">
      <c r="A1178" s="1">
        <v>2496</v>
      </c>
      <c r="B1178">
        <v>9</v>
      </c>
      <c r="C1178">
        <v>45</v>
      </c>
      <c r="D1178">
        <v>2</v>
      </c>
      <c r="E1178">
        <v>0</v>
      </c>
      <c r="F1178">
        <v>3</v>
      </c>
      <c r="G1178">
        <v>3</v>
      </c>
      <c r="H1178">
        <v>2</v>
      </c>
      <c r="I1178">
        <v>1000</v>
      </c>
      <c r="J1178">
        <v>1</v>
      </c>
      <c r="K1178">
        <v>0</v>
      </c>
      <c r="L1178" s="4">
        <v>0.68329646127295884</v>
      </c>
      <c r="M1178" s="4">
        <v>0.31670353872704121</v>
      </c>
      <c r="N1178">
        <v>3</v>
      </c>
    </row>
    <row r="1179" spans="1:14" x14ac:dyDescent="0.35">
      <c r="A1179" s="1">
        <v>2212</v>
      </c>
      <c r="B1179">
        <v>15</v>
      </c>
      <c r="C1179">
        <v>70</v>
      </c>
      <c r="D1179">
        <v>2</v>
      </c>
      <c r="E1179">
        <v>0</v>
      </c>
      <c r="F1179">
        <v>0</v>
      </c>
      <c r="G1179">
        <v>4</v>
      </c>
      <c r="H1179">
        <v>3</v>
      </c>
      <c r="I1179">
        <v>0.01</v>
      </c>
      <c r="J1179">
        <v>7</v>
      </c>
      <c r="K1179">
        <v>1</v>
      </c>
      <c r="L1179" s="4">
        <v>0.68333340762110106</v>
      </c>
      <c r="M1179" s="4">
        <v>0.31666659237889899</v>
      </c>
      <c r="N1179">
        <v>3</v>
      </c>
    </row>
    <row r="1180" spans="1:14" x14ac:dyDescent="0.35">
      <c r="A1180" s="1">
        <v>2122</v>
      </c>
      <c r="B1180">
        <v>10</v>
      </c>
      <c r="C1180">
        <v>50</v>
      </c>
      <c r="D1180">
        <v>0</v>
      </c>
      <c r="E1180">
        <v>0</v>
      </c>
      <c r="F1180">
        <v>3</v>
      </c>
      <c r="G1180">
        <v>3</v>
      </c>
      <c r="H1180">
        <v>2</v>
      </c>
      <c r="I1180">
        <v>1000</v>
      </c>
      <c r="J1180">
        <v>4</v>
      </c>
      <c r="K1180">
        <v>0</v>
      </c>
      <c r="L1180" s="4">
        <v>0.68344613611548466</v>
      </c>
      <c r="M1180" s="4">
        <v>0.31655386388451529</v>
      </c>
      <c r="N1180">
        <v>3</v>
      </c>
    </row>
    <row r="1181" spans="1:14" x14ac:dyDescent="0.35">
      <c r="A1181" s="1">
        <v>2558</v>
      </c>
      <c r="B1181">
        <v>10</v>
      </c>
      <c r="C1181">
        <v>51</v>
      </c>
      <c r="D1181">
        <v>1</v>
      </c>
      <c r="E1181">
        <v>0</v>
      </c>
      <c r="F1181">
        <v>0</v>
      </c>
      <c r="G1181">
        <v>4</v>
      </c>
      <c r="H1181">
        <v>2</v>
      </c>
      <c r="I1181">
        <v>1000</v>
      </c>
      <c r="J1181">
        <v>9</v>
      </c>
      <c r="K1181">
        <v>0</v>
      </c>
      <c r="L1181" s="4">
        <v>0.68350370515893522</v>
      </c>
      <c r="M1181" s="4">
        <v>0.31649629484106478</v>
      </c>
      <c r="N1181">
        <v>3</v>
      </c>
    </row>
    <row r="1182" spans="1:14" x14ac:dyDescent="0.35">
      <c r="A1182" s="1">
        <v>2256</v>
      </c>
      <c r="B1182">
        <v>8</v>
      </c>
      <c r="C1182">
        <v>39</v>
      </c>
      <c r="D1182">
        <v>5</v>
      </c>
      <c r="E1182">
        <v>0</v>
      </c>
      <c r="F1182">
        <v>3</v>
      </c>
      <c r="G1182">
        <v>3</v>
      </c>
      <c r="H1182">
        <v>3</v>
      </c>
      <c r="I1182">
        <v>0.01</v>
      </c>
      <c r="J1182">
        <v>5</v>
      </c>
      <c r="K1182">
        <v>1</v>
      </c>
      <c r="L1182" s="4">
        <v>0.68374301198218002</v>
      </c>
      <c r="M1182" s="4">
        <v>0.31625698801781998</v>
      </c>
      <c r="N1182">
        <v>3</v>
      </c>
    </row>
    <row r="1183" spans="1:14" x14ac:dyDescent="0.35">
      <c r="A1183" s="1">
        <v>597</v>
      </c>
      <c r="B1183">
        <v>8</v>
      </c>
      <c r="C1183">
        <v>42</v>
      </c>
      <c r="D1183">
        <v>3</v>
      </c>
      <c r="E1183">
        <v>0</v>
      </c>
      <c r="F1183">
        <v>0</v>
      </c>
      <c r="G1183">
        <v>4</v>
      </c>
      <c r="H1183">
        <v>2</v>
      </c>
      <c r="I1183">
        <v>3000</v>
      </c>
      <c r="J1183">
        <v>3</v>
      </c>
      <c r="K1183">
        <v>1</v>
      </c>
      <c r="L1183" s="4">
        <v>0.68414426588625765</v>
      </c>
      <c r="M1183" s="4">
        <v>0.31585573411374229</v>
      </c>
      <c r="N1183">
        <v>3</v>
      </c>
    </row>
    <row r="1184" spans="1:14" x14ac:dyDescent="0.35">
      <c r="A1184" s="1">
        <v>3871</v>
      </c>
      <c r="B1184">
        <v>12</v>
      </c>
      <c r="C1184">
        <v>49</v>
      </c>
      <c r="D1184">
        <v>1</v>
      </c>
      <c r="E1184">
        <v>2</v>
      </c>
      <c r="F1184">
        <v>3</v>
      </c>
      <c r="G1184">
        <v>8</v>
      </c>
      <c r="H1184">
        <v>0</v>
      </c>
      <c r="I1184">
        <v>6000</v>
      </c>
      <c r="J1184">
        <v>1</v>
      </c>
      <c r="K1184">
        <v>0</v>
      </c>
      <c r="L1184" s="4">
        <v>0.68449889872271719</v>
      </c>
      <c r="M1184" s="4">
        <v>0.31550110127728292</v>
      </c>
      <c r="N1184">
        <v>3</v>
      </c>
    </row>
    <row r="1185" spans="1:14" x14ac:dyDescent="0.35">
      <c r="A1185" s="1">
        <v>43</v>
      </c>
      <c r="B1185">
        <v>10</v>
      </c>
      <c r="C1185">
        <v>49</v>
      </c>
      <c r="D1185">
        <v>4</v>
      </c>
      <c r="E1185">
        <v>0</v>
      </c>
      <c r="F1185">
        <v>1</v>
      </c>
      <c r="G1185">
        <v>7</v>
      </c>
      <c r="H1185">
        <v>2</v>
      </c>
      <c r="I1185">
        <v>840.01</v>
      </c>
      <c r="J1185">
        <v>8</v>
      </c>
      <c r="K1185">
        <v>0</v>
      </c>
      <c r="L1185" s="4">
        <v>0.68458350598438789</v>
      </c>
      <c r="M1185" s="4">
        <v>0.31541649401561211</v>
      </c>
      <c r="N1185">
        <v>3</v>
      </c>
    </row>
    <row r="1186" spans="1:14" x14ac:dyDescent="0.35">
      <c r="A1186" s="1">
        <v>3946</v>
      </c>
      <c r="B1186">
        <v>10</v>
      </c>
      <c r="C1186">
        <v>48</v>
      </c>
      <c r="D1186">
        <v>5</v>
      </c>
      <c r="E1186">
        <v>0</v>
      </c>
      <c r="F1186">
        <v>1</v>
      </c>
      <c r="G1186">
        <v>5</v>
      </c>
      <c r="H1186">
        <v>3</v>
      </c>
      <c r="I1186">
        <v>0.01</v>
      </c>
      <c r="J1186">
        <v>8</v>
      </c>
      <c r="K1186">
        <v>1</v>
      </c>
      <c r="L1186" s="4">
        <v>0.6846946495858911</v>
      </c>
      <c r="M1186" s="4">
        <v>0.3153053504141089</v>
      </c>
      <c r="N1186">
        <v>3</v>
      </c>
    </row>
    <row r="1187" spans="1:14" x14ac:dyDescent="0.35">
      <c r="A1187" s="1">
        <v>2249</v>
      </c>
      <c r="B1187">
        <v>13</v>
      </c>
      <c r="C1187">
        <v>61</v>
      </c>
      <c r="D1187">
        <v>3</v>
      </c>
      <c r="E1187">
        <v>0</v>
      </c>
      <c r="F1187">
        <v>3</v>
      </c>
      <c r="G1187">
        <v>3</v>
      </c>
      <c r="H1187">
        <v>2</v>
      </c>
      <c r="I1187">
        <v>4200</v>
      </c>
      <c r="J1187">
        <v>2</v>
      </c>
      <c r="K1187">
        <v>0</v>
      </c>
      <c r="L1187" s="4">
        <v>0.68497647484580448</v>
      </c>
      <c r="M1187" s="4">
        <v>0.31502352515419552</v>
      </c>
      <c r="N1187">
        <v>3</v>
      </c>
    </row>
    <row r="1188" spans="1:14" x14ac:dyDescent="0.35">
      <c r="A1188" s="1">
        <v>4122</v>
      </c>
      <c r="B1188">
        <v>6</v>
      </c>
      <c r="C1188">
        <v>32</v>
      </c>
      <c r="D1188">
        <v>3</v>
      </c>
      <c r="E1188">
        <v>0</v>
      </c>
      <c r="F1188">
        <v>1</v>
      </c>
      <c r="G1188">
        <v>12</v>
      </c>
      <c r="H1188">
        <v>3</v>
      </c>
      <c r="I1188">
        <v>0.01</v>
      </c>
      <c r="J1188">
        <v>5</v>
      </c>
      <c r="K1188">
        <v>0</v>
      </c>
      <c r="L1188" s="4">
        <v>0.6850752157307497</v>
      </c>
      <c r="M1188" s="4">
        <v>0.3149247842692503</v>
      </c>
      <c r="N1188">
        <v>3</v>
      </c>
    </row>
    <row r="1189" spans="1:14" x14ac:dyDescent="0.35">
      <c r="A1189" s="1">
        <v>4147</v>
      </c>
      <c r="B1189">
        <v>13</v>
      </c>
      <c r="C1189">
        <v>62</v>
      </c>
      <c r="D1189">
        <v>1</v>
      </c>
      <c r="E1189">
        <v>0</v>
      </c>
      <c r="F1189">
        <v>3</v>
      </c>
      <c r="G1189">
        <v>3</v>
      </c>
      <c r="H1189">
        <v>2</v>
      </c>
      <c r="I1189">
        <v>1530</v>
      </c>
      <c r="J1189">
        <v>9</v>
      </c>
      <c r="K1189">
        <v>1</v>
      </c>
      <c r="L1189" s="4">
        <v>0.68559657739834301</v>
      </c>
      <c r="M1189" s="4">
        <v>0.31440342260165699</v>
      </c>
      <c r="N1189">
        <v>3</v>
      </c>
    </row>
    <row r="1190" spans="1:14" x14ac:dyDescent="0.35">
      <c r="A1190" s="1">
        <v>526</v>
      </c>
      <c r="B1190">
        <v>12</v>
      </c>
      <c r="C1190">
        <v>61</v>
      </c>
      <c r="D1190">
        <v>1</v>
      </c>
      <c r="E1190">
        <v>0</v>
      </c>
      <c r="F1190">
        <v>0</v>
      </c>
      <c r="G1190">
        <v>4</v>
      </c>
      <c r="H1190">
        <v>0</v>
      </c>
      <c r="I1190">
        <v>12000</v>
      </c>
      <c r="J1190">
        <v>8</v>
      </c>
      <c r="K1190">
        <v>0</v>
      </c>
      <c r="L1190" s="4">
        <v>0.68562901734450532</v>
      </c>
      <c r="M1190" s="4">
        <v>0.31437098265549468</v>
      </c>
      <c r="N1190">
        <v>3</v>
      </c>
    </row>
    <row r="1191" spans="1:14" x14ac:dyDescent="0.35">
      <c r="A1191" s="1">
        <v>909</v>
      </c>
      <c r="B1191">
        <v>10</v>
      </c>
      <c r="C1191">
        <v>51</v>
      </c>
      <c r="D1191">
        <v>2</v>
      </c>
      <c r="E1191">
        <v>0</v>
      </c>
      <c r="F1191">
        <v>0</v>
      </c>
      <c r="G1191">
        <v>2</v>
      </c>
      <c r="H1191">
        <v>2</v>
      </c>
      <c r="I1191">
        <v>2500</v>
      </c>
      <c r="J1191">
        <v>11</v>
      </c>
      <c r="K1191">
        <v>0</v>
      </c>
      <c r="L1191" s="4">
        <v>0.68573552686349148</v>
      </c>
      <c r="M1191" s="4">
        <v>0.31426447313650863</v>
      </c>
      <c r="N1191">
        <v>3</v>
      </c>
    </row>
    <row r="1192" spans="1:14" x14ac:dyDescent="0.35">
      <c r="A1192" s="1">
        <v>1968</v>
      </c>
      <c r="B1192">
        <v>6</v>
      </c>
      <c r="C1192">
        <v>34</v>
      </c>
      <c r="D1192">
        <v>3</v>
      </c>
      <c r="E1192">
        <v>0</v>
      </c>
      <c r="F1192">
        <v>0</v>
      </c>
      <c r="G1192">
        <v>4</v>
      </c>
      <c r="H1192">
        <v>2</v>
      </c>
      <c r="I1192">
        <v>480</v>
      </c>
      <c r="J1192">
        <v>5</v>
      </c>
      <c r="K1192">
        <v>1</v>
      </c>
      <c r="L1192" s="4">
        <v>0.68576996422518977</v>
      </c>
      <c r="M1192" s="4">
        <v>0.31423003577481018</v>
      </c>
      <c r="N1192">
        <v>3</v>
      </c>
    </row>
    <row r="1193" spans="1:14" x14ac:dyDescent="0.35">
      <c r="A1193" s="1">
        <v>3066</v>
      </c>
      <c r="B1193">
        <v>11</v>
      </c>
      <c r="C1193">
        <v>54</v>
      </c>
      <c r="D1193">
        <v>5</v>
      </c>
      <c r="E1193">
        <v>0</v>
      </c>
      <c r="F1193">
        <v>3</v>
      </c>
      <c r="G1193">
        <v>3</v>
      </c>
      <c r="H1193">
        <v>0</v>
      </c>
      <c r="I1193">
        <v>16719.810000000001</v>
      </c>
      <c r="J1193">
        <v>5</v>
      </c>
      <c r="K1193">
        <v>0</v>
      </c>
      <c r="L1193" s="4">
        <v>0.68643585509038951</v>
      </c>
      <c r="M1193" s="4">
        <v>0.31356414490961049</v>
      </c>
      <c r="N1193">
        <v>3</v>
      </c>
    </row>
    <row r="1194" spans="1:14" x14ac:dyDescent="0.35">
      <c r="A1194" s="1">
        <v>188</v>
      </c>
      <c r="B1194">
        <v>9</v>
      </c>
      <c r="C1194">
        <v>42</v>
      </c>
      <c r="D1194">
        <v>2</v>
      </c>
      <c r="E1194">
        <v>1</v>
      </c>
      <c r="F1194">
        <v>0</v>
      </c>
      <c r="G1194">
        <v>2</v>
      </c>
      <c r="H1194">
        <v>2</v>
      </c>
      <c r="I1194">
        <v>600.01</v>
      </c>
      <c r="J1194">
        <v>9</v>
      </c>
      <c r="K1194">
        <v>0</v>
      </c>
      <c r="L1194" s="4">
        <v>0.6864377178935982</v>
      </c>
      <c r="M1194" s="4">
        <v>0.3135622821064018</v>
      </c>
      <c r="N1194">
        <v>3</v>
      </c>
    </row>
    <row r="1195" spans="1:14" x14ac:dyDescent="0.35">
      <c r="A1195" s="1">
        <v>84</v>
      </c>
      <c r="B1195">
        <v>11</v>
      </c>
      <c r="C1195">
        <v>51</v>
      </c>
      <c r="D1195">
        <v>5</v>
      </c>
      <c r="E1195">
        <v>0</v>
      </c>
      <c r="F1195">
        <v>3</v>
      </c>
      <c r="G1195">
        <v>8</v>
      </c>
      <c r="H1195">
        <v>3</v>
      </c>
      <c r="I1195">
        <v>0.01</v>
      </c>
      <c r="J1195">
        <v>9</v>
      </c>
      <c r="K1195">
        <v>1</v>
      </c>
      <c r="L1195" s="4">
        <v>0.68659940974660794</v>
      </c>
      <c r="M1195" s="4">
        <v>0.31340059025339201</v>
      </c>
      <c r="N1195">
        <v>3</v>
      </c>
    </row>
    <row r="1196" spans="1:14" x14ac:dyDescent="0.35">
      <c r="A1196" s="1">
        <v>449</v>
      </c>
      <c r="B1196">
        <v>11</v>
      </c>
      <c r="C1196">
        <v>55</v>
      </c>
      <c r="D1196">
        <v>4</v>
      </c>
      <c r="E1196">
        <v>0</v>
      </c>
      <c r="F1196">
        <v>2</v>
      </c>
      <c r="G1196">
        <v>0</v>
      </c>
      <c r="H1196">
        <v>1</v>
      </c>
      <c r="I1196">
        <v>33964.949999999997</v>
      </c>
      <c r="J1196">
        <v>8</v>
      </c>
      <c r="K1196">
        <v>0</v>
      </c>
      <c r="L1196" s="4">
        <v>0.68672595909040479</v>
      </c>
      <c r="M1196" s="4">
        <v>0.31327404090959521</v>
      </c>
      <c r="N1196">
        <v>3</v>
      </c>
    </row>
    <row r="1197" spans="1:14" x14ac:dyDescent="0.35">
      <c r="A1197" s="1">
        <v>551</v>
      </c>
      <c r="B1197">
        <v>10</v>
      </c>
      <c r="C1197">
        <v>52</v>
      </c>
      <c r="D1197">
        <v>0</v>
      </c>
      <c r="E1197">
        <v>0</v>
      </c>
      <c r="F1197">
        <v>3</v>
      </c>
      <c r="G1197">
        <v>3</v>
      </c>
      <c r="H1197">
        <v>0</v>
      </c>
      <c r="I1197">
        <v>6000</v>
      </c>
      <c r="J1197">
        <v>10</v>
      </c>
      <c r="K1197">
        <v>0</v>
      </c>
      <c r="L1197" s="4">
        <v>0.68701746643307915</v>
      </c>
      <c r="M1197" s="4">
        <v>0.31298253356692091</v>
      </c>
      <c r="N1197">
        <v>3</v>
      </c>
    </row>
    <row r="1198" spans="1:14" x14ac:dyDescent="0.35">
      <c r="A1198" s="1">
        <v>2902</v>
      </c>
      <c r="B1198">
        <v>12</v>
      </c>
      <c r="C1198">
        <v>51</v>
      </c>
      <c r="D1198">
        <v>4</v>
      </c>
      <c r="E1198">
        <v>1</v>
      </c>
      <c r="F1198">
        <v>3</v>
      </c>
      <c r="G1198">
        <v>3</v>
      </c>
      <c r="H1198">
        <v>3</v>
      </c>
      <c r="I1198">
        <v>0.01</v>
      </c>
      <c r="J1198">
        <v>5</v>
      </c>
      <c r="K1198">
        <v>0</v>
      </c>
      <c r="L1198" s="4">
        <v>0.68727672846830923</v>
      </c>
      <c r="M1198" s="4">
        <v>0.31272327153169083</v>
      </c>
      <c r="N1198">
        <v>3</v>
      </c>
    </row>
    <row r="1199" spans="1:14" x14ac:dyDescent="0.35">
      <c r="A1199" s="1">
        <v>4284</v>
      </c>
      <c r="B1199">
        <v>11</v>
      </c>
      <c r="C1199">
        <v>54</v>
      </c>
      <c r="D1199">
        <v>1</v>
      </c>
      <c r="E1199">
        <v>0</v>
      </c>
      <c r="F1199">
        <v>3</v>
      </c>
      <c r="G1199">
        <v>3</v>
      </c>
      <c r="H1199">
        <v>2</v>
      </c>
      <c r="I1199">
        <v>1017.55</v>
      </c>
      <c r="J1199">
        <v>8</v>
      </c>
      <c r="K1199">
        <v>1</v>
      </c>
      <c r="L1199" s="4">
        <v>0.68735158546831887</v>
      </c>
      <c r="M1199" s="4">
        <v>0.31264841453168107</v>
      </c>
      <c r="N1199">
        <v>3</v>
      </c>
    </row>
    <row r="1200" spans="1:14" x14ac:dyDescent="0.35">
      <c r="A1200" s="1">
        <v>3566</v>
      </c>
      <c r="B1200">
        <v>10</v>
      </c>
      <c r="C1200">
        <v>51</v>
      </c>
      <c r="D1200">
        <v>2</v>
      </c>
      <c r="E1200">
        <v>0</v>
      </c>
      <c r="F1200">
        <v>0</v>
      </c>
      <c r="G1200">
        <v>2</v>
      </c>
      <c r="H1200">
        <v>2</v>
      </c>
      <c r="I1200">
        <v>1800</v>
      </c>
      <c r="J1200">
        <v>5</v>
      </c>
      <c r="K1200">
        <v>0</v>
      </c>
      <c r="L1200" s="4">
        <v>0.68763705235335315</v>
      </c>
      <c r="M1200" s="4">
        <v>0.31236294764664679</v>
      </c>
      <c r="N1200">
        <v>3</v>
      </c>
    </row>
    <row r="1201" spans="1:14" x14ac:dyDescent="0.35">
      <c r="A1201" s="1">
        <v>4071</v>
      </c>
      <c r="B1201">
        <v>16</v>
      </c>
      <c r="C1201">
        <v>76</v>
      </c>
      <c r="D1201">
        <v>0</v>
      </c>
      <c r="E1201">
        <v>0</v>
      </c>
      <c r="F1201">
        <v>3</v>
      </c>
      <c r="G1201">
        <v>3</v>
      </c>
      <c r="H1201">
        <v>1</v>
      </c>
      <c r="I1201">
        <v>20664.939999999999</v>
      </c>
      <c r="J1201">
        <v>9</v>
      </c>
      <c r="K1201">
        <v>1</v>
      </c>
      <c r="L1201" s="4">
        <v>0.68777755128439655</v>
      </c>
      <c r="M1201" s="4">
        <v>0.31222244871560351</v>
      </c>
      <c r="N1201">
        <v>3</v>
      </c>
    </row>
    <row r="1202" spans="1:14" x14ac:dyDescent="0.35">
      <c r="A1202" s="1">
        <v>3033</v>
      </c>
      <c r="B1202">
        <v>10</v>
      </c>
      <c r="C1202">
        <v>51</v>
      </c>
      <c r="D1202">
        <v>2</v>
      </c>
      <c r="E1202">
        <v>0</v>
      </c>
      <c r="F1202">
        <v>3</v>
      </c>
      <c r="G1202">
        <v>3</v>
      </c>
      <c r="H1202">
        <v>0</v>
      </c>
      <c r="I1202">
        <v>5300</v>
      </c>
      <c r="J1202">
        <v>2</v>
      </c>
      <c r="K1202">
        <v>0</v>
      </c>
      <c r="L1202" s="4">
        <v>0.68784250117519652</v>
      </c>
      <c r="M1202" s="4">
        <v>0.31215749882480343</v>
      </c>
      <c r="N1202">
        <v>3</v>
      </c>
    </row>
    <row r="1203" spans="1:14" x14ac:dyDescent="0.35">
      <c r="A1203" s="1">
        <v>2269</v>
      </c>
      <c r="B1203">
        <v>10</v>
      </c>
      <c r="C1203">
        <v>50</v>
      </c>
      <c r="D1203">
        <v>5</v>
      </c>
      <c r="E1203">
        <v>0</v>
      </c>
      <c r="F1203">
        <v>3</v>
      </c>
      <c r="G1203">
        <v>3</v>
      </c>
      <c r="H1203">
        <v>0</v>
      </c>
      <c r="I1203">
        <v>10000</v>
      </c>
      <c r="J1203">
        <v>9</v>
      </c>
      <c r="K1203">
        <v>0</v>
      </c>
      <c r="L1203" s="4">
        <v>0.68830728868794788</v>
      </c>
      <c r="M1203" s="4">
        <v>0.31169271131205212</v>
      </c>
      <c r="N1203">
        <v>3</v>
      </c>
    </row>
    <row r="1204" spans="1:14" x14ac:dyDescent="0.35">
      <c r="A1204" s="1">
        <v>2382</v>
      </c>
      <c r="B1204">
        <v>13</v>
      </c>
      <c r="C1204">
        <v>58</v>
      </c>
      <c r="D1204">
        <v>1</v>
      </c>
      <c r="E1204">
        <v>1</v>
      </c>
      <c r="F1204">
        <v>0</v>
      </c>
      <c r="G1204">
        <v>2</v>
      </c>
      <c r="H1204">
        <v>3</v>
      </c>
      <c r="I1204">
        <v>0.01</v>
      </c>
      <c r="J1204">
        <v>7</v>
      </c>
      <c r="K1204">
        <v>0</v>
      </c>
      <c r="L1204" s="4">
        <v>0.68840569378170291</v>
      </c>
      <c r="M1204" s="4">
        <v>0.31159430621829709</v>
      </c>
      <c r="N1204">
        <v>3</v>
      </c>
    </row>
    <row r="1205" spans="1:14" x14ac:dyDescent="0.35">
      <c r="A1205" s="1">
        <v>1673</v>
      </c>
      <c r="B1205">
        <v>10</v>
      </c>
      <c r="C1205">
        <v>51</v>
      </c>
      <c r="D1205">
        <v>2</v>
      </c>
      <c r="E1205">
        <v>0</v>
      </c>
      <c r="F1205">
        <v>0</v>
      </c>
      <c r="G1205">
        <v>4</v>
      </c>
      <c r="H1205">
        <v>2</v>
      </c>
      <c r="I1205">
        <v>3000</v>
      </c>
      <c r="J1205">
        <v>9</v>
      </c>
      <c r="K1205">
        <v>1</v>
      </c>
      <c r="L1205" s="4">
        <v>0.68847523880046702</v>
      </c>
      <c r="M1205" s="4">
        <v>0.31152476119953298</v>
      </c>
      <c r="N1205">
        <v>3</v>
      </c>
    </row>
    <row r="1206" spans="1:14" x14ac:dyDescent="0.35">
      <c r="A1206" s="1">
        <v>1633</v>
      </c>
      <c r="B1206">
        <v>9</v>
      </c>
      <c r="C1206">
        <v>40</v>
      </c>
      <c r="D1206">
        <v>3</v>
      </c>
      <c r="E1206">
        <v>1</v>
      </c>
      <c r="F1206">
        <v>1</v>
      </c>
      <c r="G1206">
        <v>7</v>
      </c>
      <c r="H1206">
        <v>3</v>
      </c>
      <c r="I1206">
        <v>0.01</v>
      </c>
      <c r="J1206">
        <v>5</v>
      </c>
      <c r="K1206">
        <v>0</v>
      </c>
      <c r="L1206" s="4">
        <v>0.68900315558476799</v>
      </c>
      <c r="M1206" s="4">
        <v>0.31099684441523201</v>
      </c>
      <c r="N1206">
        <v>3</v>
      </c>
    </row>
    <row r="1207" spans="1:14" x14ac:dyDescent="0.35">
      <c r="A1207" s="1">
        <v>3508</v>
      </c>
      <c r="B1207">
        <v>15</v>
      </c>
      <c r="C1207">
        <v>58</v>
      </c>
      <c r="D1207">
        <v>5</v>
      </c>
      <c r="E1207">
        <v>2</v>
      </c>
      <c r="F1207">
        <v>3</v>
      </c>
      <c r="G1207">
        <v>3</v>
      </c>
      <c r="H1207">
        <v>3</v>
      </c>
      <c r="I1207">
        <v>0.01</v>
      </c>
      <c r="J1207">
        <v>7</v>
      </c>
      <c r="K1207">
        <v>0</v>
      </c>
      <c r="L1207" s="4">
        <v>0.68926655918777968</v>
      </c>
      <c r="M1207" s="4">
        <v>0.31073344081222032</v>
      </c>
      <c r="N1207">
        <v>3</v>
      </c>
    </row>
    <row r="1208" spans="1:14" x14ac:dyDescent="0.35">
      <c r="A1208" s="1">
        <v>1957</v>
      </c>
      <c r="B1208">
        <v>12</v>
      </c>
      <c r="C1208">
        <v>60</v>
      </c>
      <c r="D1208">
        <v>2</v>
      </c>
      <c r="E1208">
        <v>0</v>
      </c>
      <c r="F1208">
        <v>2</v>
      </c>
      <c r="G1208">
        <v>1</v>
      </c>
      <c r="H1208">
        <v>0</v>
      </c>
      <c r="I1208">
        <v>8400</v>
      </c>
      <c r="J1208">
        <v>3</v>
      </c>
      <c r="K1208">
        <v>0</v>
      </c>
      <c r="L1208" s="4">
        <v>0.68965323042035265</v>
      </c>
      <c r="M1208" s="4">
        <v>0.31034676957964741</v>
      </c>
      <c r="N1208">
        <v>3</v>
      </c>
    </row>
    <row r="1209" spans="1:14" x14ac:dyDescent="0.35">
      <c r="A1209" s="1">
        <v>3688</v>
      </c>
      <c r="B1209">
        <v>9</v>
      </c>
      <c r="C1209">
        <v>42</v>
      </c>
      <c r="D1209">
        <v>3</v>
      </c>
      <c r="E1209">
        <v>1</v>
      </c>
      <c r="F1209">
        <v>3</v>
      </c>
      <c r="G1209">
        <v>3</v>
      </c>
      <c r="H1209">
        <v>0</v>
      </c>
      <c r="I1209">
        <v>7200</v>
      </c>
      <c r="J1209">
        <v>11</v>
      </c>
      <c r="K1209">
        <v>1</v>
      </c>
      <c r="L1209" s="4">
        <v>0.68983681236954664</v>
      </c>
      <c r="M1209" s="4">
        <v>0.31016318763045342</v>
      </c>
      <c r="N1209">
        <v>3</v>
      </c>
    </row>
    <row r="1210" spans="1:14" x14ac:dyDescent="0.35">
      <c r="A1210" s="1">
        <v>2092</v>
      </c>
      <c r="B1210">
        <v>8</v>
      </c>
      <c r="C1210">
        <v>37</v>
      </c>
      <c r="D1210">
        <v>1</v>
      </c>
      <c r="E1210">
        <v>1</v>
      </c>
      <c r="F1210">
        <v>3</v>
      </c>
      <c r="G1210">
        <v>3</v>
      </c>
      <c r="H1210">
        <v>2</v>
      </c>
      <c r="I1210">
        <v>1500</v>
      </c>
      <c r="J1210">
        <v>1</v>
      </c>
      <c r="K1210">
        <v>0</v>
      </c>
      <c r="L1210" s="4">
        <v>0.68990112808345216</v>
      </c>
      <c r="M1210" s="4">
        <v>0.31009887191654789</v>
      </c>
      <c r="N1210">
        <v>3</v>
      </c>
    </row>
    <row r="1211" spans="1:14" x14ac:dyDescent="0.35">
      <c r="A1211" s="1">
        <v>2427</v>
      </c>
      <c r="B1211">
        <v>10</v>
      </c>
      <c r="C1211">
        <v>52</v>
      </c>
      <c r="D1211">
        <v>2</v>
      </c>
      <c r="E1211">
        <v>0</v>
      </c>
      <c r="F1211">
        <v>1</v>
      </c>
      <c r="G1211">
        <v>5</v>
      </c>
      <c r="H1211">
        <v>0</v>
      </c>
      <c r="I1211">
        <v>8000</v>
      </c>
      <c r="J1211">
        <v>2</v>
      </c>
      <c r="K1211">
        <v>0</v>
      </c>
      <c r="L1211" s="4">
        <v>0.68997550092768556</v>
      </c>
      <c r="M1211" s="4">
        <v>0.31002449907231439</v>
      </c>
      <c r="N1211">
        <v>3</v>
      </c>
    </row>
    <row r="1212" spans="1:14" x14ac:dyDescent="0.35">
      <c r="A1212" s="1">
        <v>1396</v>
      </c>
      <c r="B1212">
        <v>9</v>
      </c>
      <c r="C1212">
        <v>46</v>
      </c>
      <c r="D1212">
        <v>3</v>
      </c>
      <c r="E1212">
        <v>0</v>
      </c>
      <c r="F1212">
        <v>0</v>
      </c>
      <c r="G1212">
        <v>2</v>
      </c>
      <c r="H1212">
        <v>3</v>
      </c>
      <c r="I1212">
        <v>0.01</v>
      </c>
      <c r="J1212">
        <v>9</v>
      </c>
      <c r="K1212">
        <v>1</v>
      </c>
      <c r="L1212" s="4">
        <v>0.68997818317913606</v>
      </c>
      <c r="M1212" s="4">
        <v>0.31002181682086399</v>
      </c>
      <c r="N1212">
        <v>3</v>
      </c>
    </row>
    <row r="1213" spans="1:14" x14ac:dyDescent="0.35">
      <c r="A1213" s="1">
        <v>1142</v>
      </c>
      <c r="B1213">
        <v>9</v>
      </c>
      <c r="C1213">
        <v>46</v>
      </c>
      <c r="D1213">
        <v>1</v>
      </c>
      <c r="E1213">
        <v>0</v>
      </c>
      <c r="F1213">
        <v>1</v>
      </c>
      <c r="G1213">
        <v>7</v>
      </c>
      <c r="H1213">
        <v>3</v>
      </c>
      <c r="I1213">
        <v>0.01</v>
      </c>
      <c r="J1213">
        <v>11</v>
      </c>
      <c r="K1213">
        <v>0</v>
      </c>
      <c r="L1213" s="4">
        <v>0.69012723842066226</v>
      </c>
      <c r="M1213" s="4">
        <v>0.3098727615793378</v>
      </c>
      <c r="N1213">
        <v>3</v>
      </c>
    </row>
    <row r="1214" spans="1:14" x14ac:dyDescent="0.35">
      <c r="A1214" s="1">
        <v>648</v>
      </c>
      <c r="B1214">
        <v>8</v>
      </c>
      <c r="C1214">
        <v>42</v>
      </c>
      <c r="D1214">
        <v>1</v>
      </c>
      <c r="E1214">
        <v>0</v>
      </c>
      <c r="F1214">
        <v>3</v>
      </c>
      <c r="G1214">
        <v>3</v>
      </c>
      <c r="H1214">
        <v>2</v>
      </c>
      <c r="I1214">
        <v>1000</v>
      </c>
      <c r="J1214">
        <v>4</v>
      </c>
      <c r="K1214">
        <v>0</v>
      </c>
      <c r="L1214" s="4">
        <v>0.69040221966170612</v>
      </c>
      <c r="M1214" s="4">
        <v>0.30959778033829388</v>
      </c>
      <c r="N1214">
        <v>3</v>
      </c>
    </row>
    <row r="1215" spans="1:14" x14ac:dyDescent="0.35">
      <c r="A1215" s="1">
        <v>690</v>
      </c>
      <c r="B1215">
        <v>8</v>
      </c>
      <c r="C1215">
        <v>42</v>
      </c>
      <c r="D1215">
        <v>1</v>
      </c>
      <c r="E1215">
        <v>0</v>
      </c>
      <c r="F1215">
        <v>3</v>
      </c>
      <c r="G1215">
        <v>3</v>
      </c>
      <c r="H1215">
        <v>2</v>
      </c>
      <c r="I1215">
        <v>0.02</v>
      </c>
      <c r="J1215">
        <v>5</v>
      </c>
      <c r="K1215">
        <v>1</v>
      </c>
      <c r="L1215" s="4">
        <v>0.69047192889910525</v>
      </c>
      <c r="M1215" s="4">
        <v>0.30952807110089481</v>
      </c>
      <c r="N1215">
        <v>3</v>
      </c>
    </row>
    <row r="1216" spans="1:14" x14ac:dyDescent="0.35">
      <c r="A1216" s="1">
        <v>2178</v>
      </c>
      <c r="B1216">
        <v>9</v>
      </c>
      <c r="C1216">
        <v>48</v>
      </c>
      <c r="D1216">
        <v>2</v>
      </c>
      <c r="E1216">
        <v>0</v>
      </c>
      <c r="F1216">
        <v>0</v>
      </c>
      <c r="G1216">
        <v>10</v>
      </c>
      <c r="H1216">
        <v>0</v>
      </c>
      <c r="I1216">
        <v>6000</v>
      </c>
      <c r="J1216">
        <v>4</v>
      </c>
      <c r="K1216">
        <v>0</v>
      </c>
      <c r="L1216" s="4">
        <v>0.69055204728633235</v>
      </c>
      <c r="M1216" s="4">
        <v>0.30944795271366771</v>
      </c>
      <c r="N1216">
        <v>3</v>
      </c>
    </row>
    <row r="1217" spans="1:14" x14ac:dyDescent="0.35">
      <c r="A1217" s="1">
        <v>734</v>
      </c>
      <c r="B1217">
        <v>10</v>
      </c>
      <c r="C1217">
        <v>49</v>
      </c>
      <c r="D1217">
        <v>4</v>
      </c>
      <c r="E1217">
        <v>0</v>
      </c>
      <c r="F1217">
        <v>1</v>
      </c>
      <c r="G1217">
        <v>12</v>
      </c>
      <c r="H1217">
        <v>2</v>
      </c>
      <c r="I1217">
        <v>540</v>
      </c>
      <c r="J1217">
        <v>8</v>
      </c>
      <c r="K1217">
        <v>0</v>
      </c>
      <c r="L1217" s="4">
        <v>0.69058322110547821</v>
      </c>
      <c r="M1217" s="4">
        <v>0.30941677889452179</v>
      </c>
      <c r="N1217">
        <v>3</v>
      </c>
    </row>
    <row r="1218" spans="1:14" x14ac:dyDescent="0.35">
      <c r="A1218" s="1">
        <v>669</v>
      </c>
      <c r="B1218">
        <v>16</v>
      </c>
      <c r="C1218">
        <v>76</v>
      </c>
      <c r="D1218">
        <v>4</v>
      </c>
      <c r="E1218">
        <v>0</v>
      </c>
      <c r="F1218">
        <v>0</v>
      </c>
      <c r="G1218">
        <v>4</v>
      </c>
      <c r="H1218">
        <v>0</v>
      </c>
      <c r="I1218">
        <v>6000</v>
      </c>
      <c r="J1218">
        <v>2</v>
      </c>
      <c r="K1218">
        <v>1</v>
      </c>
      <c r="L1218" s="4">
        <v>0.69078410260186618</v>
      </c>
      <c r="M1218" s="4">
        <v>0.30921589739813388</v>
      </c>
      <c r="N1218">
        <v>3</v>
      </c>
    </row>
    <row r="1219" spans="1:14" x14ac:dyDescent="0.35">
      <c r="A1219" s="1">
        <v>3288</v>
      </c>
      <c r="B1219">
        <v>12</v>
      </c>
      <c r="C1219">
        <v>59</v>
      </c>
      <c r="D1219">
        <v>3</v>
      </c>
      <c r="E1219">
        <v>0</v>
      </c>
      <c r="F1219">
        <v>3</v>
      </c>
      <c r="G1219">
        <v>3</v>
      </c>
      <c r="H1219">
        <v>0</v>
      </c>
      <c r="I1219">
        <v>6000</v>
      </c>
      <c r="J1219">
        <v>6</v>
      </c>
      <c r="K1219">
        <v>0</v>
      </c>
      <c r="L1219" s="4">
        <v>0.69083863327500117</v>
      </c>
      <c r="M1219" s="4">
        <v>0.30916136672499878</v>
      </c>
      <c r="N1219">
        <v>3</v>
      </c>
    </row>
    <row r="1220" spans="1:14" x14ac:dyDescent="0.35">
      <c r="A1220" s="1">
        <v>3892</v>
      </c>
      <c r="B1220">
        <v>9</v>
      </c>
      <c r="C1220">
        <v>44</v>
      </c>
      <c r="D1220">
        <v>5</v>
      </c>
      <c r="E1220">
        <v>0</v>
      </c>
      <c r="F1220">
        <v>3</v>
      </c>
      <c r="G1220">
        <v>8</v>
      </c>
      <c r="H1220">
        <v>2</v>
      </c>
      <c r="I1220">
        <v>1200</v>
      </c>
      <c r="J1220">
        <v>9</v>
      </c>
      <c r="K1220">
        <v>0</v>
      </c>
      <c r="L1220" s="4">
        <v>0.69094501599694191</v>
      </c>
      <c r="M1220" s="4">
        <v>0.30905498400305809</v>
      </c>
      <c r="N1220">
        <v>3</v>
      </c>
    </row>
    <row r="1221" spans="1:14" x14ac:dyDescent="0.35">
      <c r="A1221" s="1">
        <v>1485</v>
      </c>
      <c r="B1221">
        <v>7</v>
      </c>
      <c r="C1221">
        <v>41</v>
      </c>
      <c r="D1221">
        <v>1</v>
      </c>
      <c r="E1221">
        <v>0</v>
      </c>
      <c r="F1221">
        <v>0</v>
      </c>
      <c r="G1221">
        <v>4</v>
      </c>
      <c r="H1221">
        <v>0</v>
      </c>
      <c r="I1221">
        <v>9000</v>
      </c>
      <c r="J1221">
        <v>1</v>
      </c>
      <c r="K1221">
        <v>0</v>
      </c>
      <c r="L1221" s="4">
        <v>0.69183257761506911</v>
      </c>
      <c r="M1221" s="4">
        <v>0.30816742238493089</v>
      </c>
      <c r="N1221">
        <v>3</v>
      </c>
    </row>
    <row r="1222" spans="1:14" x14ac:dyDescent="0.35">
      <c r="A1222" s="1">
        <v>2105</v>
      </c>
      <c r="B1222">
        <v>7</v>
      </c>
      <c r="C1222">
        <v>37</v>
      </c>
      <c r="D1222">
        <v>2</v>
      </c>
      <c r="E1222">
        <v>0</v>
      </c>
      <c r="F1222">
        <v>3</v>
      </c>
      <c r="G1222">
        <v>3</v>
      </c>
      <c r="H1222">
        <v>3</v>
      </c>
      <c r="I1222">
        <v>0.01</v>
      </c>
      <c r="J1222">
        <v>10</v>
      </c>
      <c r="K1222">
        <v>0</v>
      </c>
      <c r="L1222" s="4">
        <v>0.69190984657090127</v>
      </c>
      <c r="M1222" s="4">
        <v>0.30809015342909868</v>
      </c>
      <c r="N1222">
        <v>3</v>
      </c>
    </row>
    <row r="1223" spans="1:14" x14ac:dyDescent="0.35">
      <c r="A1223" s="1">
        <v>1</v>
      </c>
      <c r="B1223">
        <v>10</v>
      </c>
      <c r="C1223">
        <v>51</v>
      </c>
      <c r="D1223">
        <v>2</v>
      </c>
      <c r="E1223">
        <v>0</v>
      </c>
      <c r="F1223">
        <v>3</v>
      </c>
      <c r="G1223">
        <v>8</v>
      </c>
      <c r="H1223">
        <v>0</v>
      </c>
      <c r="I1223">
        <v>6000</v>
      </c>
      <c r="J1223">
        <v>6</v>
      </c>
      <c r="K1223">
        <v>0</v>
      </c>
      <c r="L1223" s="4">
        <v>0.69237179967344176</v>
      </c>
      <c r="M1223" s="4">
        <v>0.30762820032655819</v>
      </c>
      <c r="N1223">
        <v>3</v>
      </c>
    </row>
    <row r="1224" spans="1:14" x14ac:dyDescent="0.35">
      <c r="A1224" s="1">
        <v>3967</v>
      </c>
      <c r="B1224">
        <v>14</v>
      </c>
      <c r="C1224">
        <v>60</v>
      </c>
      <c r="D1224">
        <v>3</v>
      </c>
      <c r="E1224">
        <v>1</v>
      </c>
      <c r="F1224">
        <v>3</v>
      </c>
      <c r="G1224">
        <v>3</v>
      </c>
      <c r="H1224">
        <v>3</v>
      </c>
      <c r="I1224">
        <v>0.01</v>
      </c>
      <c r="J1224">
        <v>8</v>
      </c>
      <c r="K1224">
        <v>0</v>
      </c>
      <c r="L1224" s="4">
        <v>0.69240579736257579</v>
      </c>
      <c r="M1224" s="4">
        <v>0.30759420263742421</v>
      </c>
      <c r="N1224">
        <v>3</v>
      </c>
    </row>
    <row r="1225" spans="1:14" x14ac:dyDescent="0.35">
      <c r="A1225" s="1">
        <v>4060</v>
      </c>
      <c r="B1225">
        <v>11</v>
      </c>
      <c r="C1225">
        <v>49</v>
      </c>
      <c r="D1225">
        <v>1</v>
      </c>
      <c r="E1225">
        <v>1</v>
      </c>
      <c r="F1225">
        <v>3</v>
      </c>
      <c r="G1225">
        <v>8</v>
      </c>
      <c r="H1225">
        <v>2</v>
      </c>
      <c r="I1225">
        <v>0.02</v>
      </c>
      <c r="J1225">
        <v>8</v>
      </c>
      <c r="K1225">
        <v>0</v>
      </c>
      <c r="L1225" s="4">
        <v>0.69242065506907047</v>
      </c>
      <c r="M1225" s="4">
        <v>0.30757934493092948</v>
      </c>
      <c r="N1225">
        <v>3</v>
      </c>
    </row>
    <row r="1226" spans="1:14" x14ac:dyDescent="0.35">
      <c r="A1226" s="1">
        <v>114</v>
      </c>
      <c r="B1226">
        <v>6</v>
      </c>
      <c r="C1226">
        <v>32</v>
      </c>
      <c r="D1226">
        <v>0</v>
      </c>
      <c r="E1226">
        <v>1</v>
      </c>
      <c r="F1226">
        <v>2</v>
      </c>
      <c r="G1226">
        <v>1</v>
      </c>
      <c r="H1226">
        <v>0</v>
      </c>
      <c r="I1226">
        <v>5264</v>
      </c>
      <c r="J1226">
        <v>12</v>
      </c>
      <c r="K1226">
        <v>1</v>
      </c>
      <c r="L1226" s="4">
        <v>0.69259774115887018</v>
      </c>
      <c r="M1226" s="4">
        <v>0.30740225884112982</v>
      </c>
      <c r="N1226">
        <v>3</v>
      </c>
    </row>
    <row r="1227" spans="1:14" x14ac:dyDescent="0.35">
      <c r="A1227" s="1">
        <v>3547</v>
      </c>
      <c r="B1227">
        <v>11</v>
      </c>
      <c r="C1227">
        <v>49</v>
      </c>
      <c r="D1227">
        <v>2</v>
      </c>
      <c r="E1227">
        <v>1</v>
      </c>
      <c r="F1227">
        <v>0</v>
      </c>
      <c r="G1227">
        <v>11</v>
      </c>
      <c r="H1227">
        <v>3</v>
      </c>
      <c r="I1227">
        <v>0.01</v>
      </c>
      <c r="J1227">
        <v>8</v>
      </c>
      <c r="K1227">
        <v>0</v>
      </c>
      <c r="L1227" s="4">
        <v>0.69274174791764309</v>
      </c>
      <c r="M1227" s="4">
        <v>0.30725825208235691</v>
      </c>
      <c r="N1227">
        <v>3</v>
      </c>
    </row>
    <row r="1228" spans="1:14" x14ac:dyDescent="0.35">
      <c r="A1228" s="1">
        <v>4346</v>
      </c>
      <c r="B1228">
        <v>9</v>
      </c>
      <c r="C1228">
        <v>44</v>
      </c>
      <c r="D1228">
        <v>5</v>
      </c>
      <c r="E1228">
        <v>0</v>
      </c>
      <c r="F1228">
        <v>3</v>
      </c>
      <c r="G1228">
        <v>8</v>
      </c>
      <c r="H1228">
        <v>2</v>
      </c>
      <c r="I1228">
        <v>241.46</v>
      </c>
      <c r="J1228">
        <v>3</v>
      </c>
      <c r="K1228">
        <v>1</v>
      </c>
      <c r="L1228" s="4">
        <v>0.69291778619422417</v>
      </c>
      <c r="M1228" s="4">
        <v>0.30708221380577583</v>
      </c>
      <c r="N1228">
        <v>3</v>
      </c>
    </row>
    <row r="1229" spans="1:14" x14ac:dyDescent="0.35">
      <c r="A1229" s="1">
        <v>1701</v>
      </c>
      <c r="B1229">
        <v>8</v>
      </c>
      <c r="C1229">
        <v>42</v>
      </c>
      <c r="D1229">
        <v>3</v>
      </c>
      <c r="E1229">
        <v>0</v>
      </c>
      <c r="F1229">
        <v>0</v>
      </c>
      <c r="G1229">
        <v>4</v>
      </c>
      <c r="H1229">
        <v>3</v>
      </c>
      <c r="I1229">
        <v>0.01</v>
      </c>
      <c r="J1229">
        <v>8</v>
      </c>
      <c r="K1229">
        <v>1</v>
      </c>
      <c r="L1229" s="4">
        <v>0.69323839154831823</v>
      </c>
      <c r="M1229" s="4">
        <v>0.30676160845168182</v>
      </c>
      <c r="N1229">
        <v>3</v>
      </c>
    </row>
    <row r="1230" spans="1:14" x14ac:dyDescent="0.35">
      <c r="A1230" s="1">
        <v>4327</v>
      </c>
      <c r="B1230">
        <v>10</v>
      </c>
      <c r="C1230">
        <v>51</v>
      </c>
      <c r="D1230">
        <v>1</v>
      </c>
      <c r="E1230">
        <v>0</v>
      </c>
      <c r="F1230">
        <v>1</v>
      </c>
      <c r="G1230">
        <v>7</v>
      </c>
      <c r="H1230">
        <v>2</v>
      </c>
      <c r="I1230">
        <v>3000</v>
      </c>
      <c r="J1230">
        <v>6</v>
      </c>
      <c r="K1230">
        <v>0</v>
      </c>
      <c r="L1230" s="4">
        <v>0.69326886283150246</v>
      </c>
      <c r="M1230" s="4">
        <v>0.30673113716849748</v>
      </c>
      <c r="N1230">
        <v>3</v>
      </c>
    </row>
    <row r="1231" spans="1:14" x14ac:dyDescent="0.35">
      <c r="A1231" s="1">
        <v>503</v>
      </c>
      <c r="B1231">
        <v>10</v>
      </c>
      <c r="C1231">
        <v>52</v>
      </c>
      <c r="D1231">
        <v>1</v>
      </c>
      <c r="E1231">
        <v>0</v>
      </c>
      <c r="F1231">
        <v>1</v>
      </c>
      <c r="G1231">
        <v>12</v>
      </c>
      <c r="H1231">
        <v>0</v>
      </c>
      <c r="I1231">
        <v>6000</v>
      </c>
      <c r="J1231">
        <v>1</v>
      </c>
      <c r="K1231">
        <v>0</v>
      </c>
      <c r="L1231" s="4">
        <v>0.69352179376411371</v>
      </c>
      <c r="M1231" s="4">
        <v>0.30647820623588629</v>
      </c>
      <c r="N1231">
        <v>3</v>
      </c>
    </row>
    <row r="1232" spans="1:14" x14ac:dyDescent="0.35">
      <c r="A1232" s="1">
        <v>2647</v>
      </c>
      <c r="B1232">
        <v>10</v>
      </c>
      <c r="C1232">
        <v>52</v>
      </c>
      <c r="D1232">
        <v>3</v>
      </c>
      <c r="E1232">
        <v>0</v>
      </c>
      <c r="F1232">
        <v>0</v>
      </c>
      <c r="G1232">
        <v>11</v>
      </c>
      <c r="H1232">
        <v>0</v>
      </c>
      <c r="I1232">
        <v>12106.7</v>
      </c>
      <c r="J1232">
        <v>7</v>
      </c>
      <c r="K1232">
        <v>0</v>
      </c>
      <c r="L1232" s="4">
        <v>0.69376426898611898</v>
      </c>
      <c r="M1232" s="4">
        <v>0.30623573101388102</v>
      </c>
      <c r="N1232">
        <v>3</v>
      </c>
    </row>
    <row r="1233" spans="1:14" x14ac:dyDescent="0.35">
      <c r="A1233" s="1">
        <v>3029</v>
      </c>
      <c r="B1233">
        <v>10</v>
      </c>
      <c r="C1233">
        <v>50</v>
      </c>
      <c r="D1233">
        <v>5</v>
      </c>
      <c r="E1233">
        <v>0</v>
      </c>
      <c r="F1233">
        <v>0</v>
      </c>
      <c r="G1233">
        <v>4</v>
      </c>
      <c r="H1233">
        <v>2</v>
      </c>
      <c r="I1233">
        <v>1000</v>
      </c>
      <c r="J1233">
        <v>6</v>
      </c>
      <c r="K1233">
        <v>0</v>
      </c>
      <c r="L1233" s="4">
        <v>0.69398410403051858</v>
      </c>
      <c r="M1233" s="4">
        <v>0.30601589596948142</v>
      </c>
      <c r="N1233">
        <v>3</v>
      </c>
    </row>
    <row r="1234" spans="1:14" x14ac:dyDescent="0.35">
      <c r="A1234" s="1">
        <v>2417</v>
      </c>
      <c r="B1234">
        <v>11</v>
      </c>
      <c r="C1234">
        <v>56</v>
      </c>
      <c r="D1234">
        <v>1</v>
      </c>
      <c r="E1234">
        <v>0</v>
      </c>
      <c r="F1234">
        <v>3</v>
      </c>
      <c r="G1234">
        <v>3</v>
      </c>
      <c r="H1234">
        <v>0</v>
      </c>
      <c r="I1234">
        <v>6000</v>
      </c>
      <c r="J1234">
        <v>2</v>
      </c>
      <c r="K1234">
        <v>0</v>
      </c>
      <c r="L1234" s="4">
        <v>0.69418826791866473</v>
      </c>
      <c r="M1234" s="4">
        <v>0.30581173208133527</v>
      </c>
      <c r="N1234">
        <v>3</v>
      </c>
    </row>
    <row r="1235" spans="1:14" x14ac:dyDescent="0.35">
      <c r="A1235" s="1">
        <v>363</v>
      </c>
      <c r="B1235">
        <v>8</v>
      </c>
      <c r="C1235">
        <v>43</v>
      </c>
      <c r="D1235">
        <v>1</v>
      </c>
      <c r="E1235">
        <v>0</v>
      </c>
      <c r="F1235">
        <v>0</v>
      </c>
      <c r="G1235">
        <v>11</v>
      </c>
      <c r="H1235">
        <v>2</v>
      </c>
      <c r="I1235">
        <v>1200</v>
      </c>
      <c r="J1235">
        <v>4</v>
      </c>
      <c r="K1235">
        <v>0</v>
      </c>
      <c r="L1235" s="4">
        <v>0.69434103306670114</v>
      </c>
      <c r="M1235" s="4">
        <v>0.30565896693329891</v>
      </c>
      <c r="N1235">
        <v>3</v>
      </c>
    </row>
    <row r="1236" spans="1:14" x14ac:dyDescent="0.35">
      <c r="A1236" s="1">
        <v>3877</v>
      </c>
      <c r="B1236">
        <v>8</v>
      </c>
      <c r="C1236">
        <v>37</v>
      </c>
      <c r="D1236">
        <v>5</v>
      </c>
      <c r="E1236">
        <v>1</v>
      </c>
      <c r="F1236">
        <v>0</v>
      </c>
      <c r="G1236">
        <v>4</v>
      </c>
      <c r="H1236">
        <v>2</v>
      </c>
      <c r="I1236">
        <v>1000</v>
      </c>
      <c r="J1236">
        <v>5</v>
      </c>
      <c r="K1236">
        <v>0</v>
      </c>
      <c r="L1236" s="4">
        <v>0.69439503496490984</v>
      </c>
      <c r="M1236" s="4">
        <v>0.30560496503509021</v>
      </c>
      <c r="N1236">
        <v>3</v>
      </c>
    </row>
    <row r="1237" spans="1:14" x14ac:dyDescent="0.35">
      <c r="A1237" s="1">
        <v>605</v>
      </c>
      <c r="B1237">
        <v>10</v>
      </c>
      <c r="C1237">
        <v>51</v>
      </c>
      <c r="D1237">
        <v>0</v>
      </c>
      <c r="E1237">
        <v>0</v>
      </c>
      <c r="F1237">
        <v>3</v>
      </c>
      <c r="G1237">
        <v>3</v>
      </c>
      <c r="H1237">
        <v>2</v>
      </c>
      <c r="I1237">
        <v>3000</v>
      </c>
      <c r="J1237">
        <v>8</v>
      </c>
      <c r="K1237">
        <v>0</v>
      </c>
      <c r="L1237" s="4">
        <v>0.69454729573069907</v>
      </c>
      <c r="M1237" s="4">
        <v>0.30545270426930088</v>
      </c>
      <c r="N1237">
        <v>3</v>
      </c>
    </row>
    <row r="1238" spans="1:14" x14ac:dyDescent="0.35">
      <c r="A1238" s="1">
        <v>75</v>
      </c>
      <c r="B1238">
        <v>9</v>
      </c>
      <c r="C1238">
        <v>46</v>
      </c>
      <c r="D1238">
        <v>2</v>
      </c>
      <c r="E1238">
        <v>0</v>
      </c>
      <c r="F1238">
        <v>1</v>
      </c>
      <c r="G1238">
        <v>12</v>
      </c>
      <c r="H1238">
        <v>2</v>
      </c>
      <c r="I1238">
        <v>500</v>
      </c>
      <c r="J1238">
        <v>1</v>
      </c>
      <c r="K1238">
        <v>0</v>
      </c>
      <c r="L1238" s="4">
        <v>0.69476625182319285</v>
      </c>
      <c r="M1238" s="4">
        <v>0.30523374817680721</v>
      </c>
      <c r="N1238">
        <v>3</v>
      </c>
    </row>
    <row r="1239" spans="1:14" x14ac:dyDescent="0.35">
      <c r="A1239" s="1">
        <v>1353</v>
      </c>
      <c r="B1239">
        <v>10</v>
      </c>
      <c r="C1239">
        <v>49</v>
      </c>
      <c r="D1239">
        <v>2</v>
      </c>
      <c r="E1239">
        <v>0</v>
      </c>
      <c r="F1239">
        <v>4</v>
      </c>
      <c r="G1239">
        <v>9</v>
      </c>
      <c r="H1239">
        <v>2</v>
      </c>
      <c r="I1239">
        <v>1000</v>
      </c>
      <c r="J1239">
        <v>4</v>
      </c>
      <c r="K1239">
        <v>0</v>
      </c>
      <c r="L1239" s="4">
        <v>0.69496759528255903</v>
      </c>
      <c r="M1239" s="4">
        <v>0.30503240471744097</v>
      </c>
      <c r="N1239">
        <v>3</v>
      </c>
    </row>
    <row r="1240" spans="1:14" x14ac:dyDescent="0.35">
      <c r="A1240" s="1">
        <v>3163</v>
      </c>
      <c r="B1240">
        <v>11</v>
      </c>
      <c r="C1240">
        <v>50</v>
      </c>
      <c r="D1240">
        <v>5</v>
      </c>
      <c r="E1240">
        <v>1</v>
      </c>
      <c r="F1240">
        <v>1</v>
      </c>
      <c r="G1240">
        <v>7</v>
      </c>
      <c r="H1240">
        <v>0</v>
      </c>
      <c r="I1240">
        <v>6000</v>
      </c>
      <c r="J1240">
        <v>2</v>
      </c>
      <c r="K1240">
        <v>0</v>
      </c>
      <c r="L1240" s="4">
        <v>0.6951961112473185</v>
      </c>
      <c r="M1240" s="4">
        <v>0.3048038887526815</v>
      </c>
      <c r="N1240">
        <v>3</v>
      </c>
    </row>
    <row r="1241" spans="1:14" x14ac:dyDescent="0.35">
      <c r="A1241" s="1">
        <v>553</v>
      </c>
      <c r="B1241">
        <v>10</v>
      </c>
      <c r="C1241">
        <v>51</v>
      </c>
      <c r="D1241">
        <v>1</v>
      </c>
      <c r="E1241">
        <v>0</v>
      </c>
      <c r="F1241">
        <v>4</v>
      </c>
      <c r="G1241">
        <v>9</v>
      </c>
      <c r="H1241">
        <v>0</v>
      </c>
      <c r="I1241">
        <v>6000</v>
      </c>
      <c r="J1241">
        <v>1</v>
      </c>
      <c r="K1241">
        <v>0</v>
      </c>
      <c r="L1241" s="4">
        <v>0.69535348093527294</v>
      </c>
      <c r="M1241" s="4">
        <v>0.30464651906472712</v>
      </c>
      <c r="N1241">
        <v>3</v>
      </c>
    </row>
    <row r="1242" spans="1:14" x14ac:dyDescent="0.35">
      <c r="A1242" s="1">
        <v>2678</v>
      </c>
      <c r="B1242">
        <v>11</v>
      </c>
      <c r="C1242">
        <v>48</v>
      </c>
      <c r="D1242">
        <v>2</v>
      </c>
      <c r="E1242">
        <v>1</v>
      </c>
      <c r="F1242">
        <v>3</v>
      </c>
      <c r="G1242">
        <v>8</v>
      </c>
      <c r="H1242">
        <v>3</v>
      </c>
      <c r="I1242">
        <v>0.01</v>
      </c>
      <c r="J1242">
        <v>5</v>
      </c>
      <c r="K1242">
        <v>0</v>
      </c>
      <c r="L1242" s="4">
        <v>0.69539326864114348</v>
      </c>
      <c r="M1242" s="4">
        <v>0.30460673135885652</v>
      </c>
      <c r="N1242">
        <v>3</v>
      </c>
    </row>
    <row r="1243" spans="1:14" x14ac:dyDescent="0.35">
      <c r="A1243" s="1">
        <v>1480</v>
      </c>
      <c r="B1243">
        <v>11</v>
      </c>
      <c r="C1243">
        <v>50</v>
      </c>
      <c r="D1243">
        <v>0</v>
      </c>
      <c r="E1243">
        <v>1</v>
      </c>
      <c r="F1243">
        <v>2</v>
      </c>
      <c r="G1243">
        <v>1</v>
      </c>
      <c r="H1243">
        <v>3</v>
      </c>
      <c r="I1243">
        <v>0.01</v>
      </c>
      <c r="J1243">
        <v>5</v>
      </c>
      <c r="K1243">
        <v>0</v>
      </c>
      <c r="L1243" s="4">
        <v>0.69558204859466821</v>
      </c>
      <c r="M1243" s="4">
        <v>0.30441795140533168</v>
      </c>
      <c r="N1243">
        <v>3</v>
      </c>
    </row>
    <row r="1244" spans="1:14" x14ac:dyDescent="0.35">
      <c r="A1244" s="1">
        <v>1667</v>
      </c>
      <c r="B1244">
        <v>6</v>
      </c>
      <c r="C1244">
        <v>36</v>
      </c>
      <c r="D1244">
        <v>0</v>
      </c>
      <c r="E1244">
        <v>0</v>
      </c>
      <c r="F1244">
        <v>0</v>
      </c>
      <c r="G1244">
        <v>4</v>
      </c>
      <c r="H1244">
        <v>2</v>
      </c>
      <c r="I1244">
        <v>45</v>
      </c>
      <c r="J1244">
        <v>2</v>
      </c>
      <c r="K1244">
        <v>1</v>
      </c>
      <c r="L1244" s="4">
        <v>0.69559589827851154</v>
      </c>
      <c r="M1244" s="4">
        <v>0.30440410172148841</v>
      </c>
      <c r="N1244">
        <v>3</v>
      </c>
    </row>
    <row r="1245" spans="1:14" x14ac:dyDescent="0.35">
      <c r="A1245" s="1">
        <v>1373</v>
      </c>
      <c r="B1245">
        <v>12</v>
      </c>
      <c r="C1245">
        <v>60</v>
      </c>
      <c r="D1245">
        <v>1</v>
      </c>
      <c r="E1245">
        <v>0</v>
      </c>
      <c r="F1245">
        <v>3</v>
      </c>
      <c r="G1245">
        <v>3</v>
      </c>
      <c r="H1245">
        <v>1</v>
      </c>
      <c r="I1245">
        <v>22500</v>
      </c>
      <c r="J1245">
        <v>8</v>
      </c>
      <c r="K1245">
        <v>0</v>
      </c>
      <c r="L1245" s="4">
        <v>0.69560744306885702</v>
      </c>
      <c r="M1245" s="4">
        <v>0.30439255693114298</v>
      </c>
      <c r="N1245">
        <v>3</v>
      </c>
    </row>
    <row r="1246" spans="1:14" x14ac:dyDescent="0.35">
      <c r="A1246" s="1">
        <v>3989</v>
      </c>
      <c r="B1246">
        <v>12</v>
      </c>
      <c r="C1246">
        <v>60</v>
      </c>
      <c r="D1246">
        <v>2</v>
      </c>
      <c r="E1246">
        <v>0</v>
      </c>
      <c r="F1246">
        <v>3</v>
      </c>
      <c r="G1246">
        <v>3</v>
      </c>
      <c r="H1246">
        <v>0</v>
      </c>
      <c r="I1246">
        <v>10007.67</v>
      </c>
      <c r="J1246">
        <v>9</v>
      </c>
      <c r="K1246">
        <v>1</v>
      </c>
      <c r="L1246" s="4">
        <v>0.69584754663909987</v>
      </c>
      <c r="M1246" s="4">
        <v>0.30415245336090008</v>
      </c>
      <c r="N1246">
        <v>3</v>
      </c>
    </row>
    <row r="1247" spans="1:14" x14ac:dyDescent="0.35">
      <c r="A1247" s="1">
        <v>2225</v>
      </c>
      <c r="B1247">
        <v>5</v>
      </c>
      <c r="C1247">
        <v>29</v>
      </c>
      <c r="D1247">
        <v>4</v>
      </c>
      <c r="E1247">
        <v>0</v>
      </c>
      <c r="F1247">
        <v>3</v>
      </c>
      <c r="G1247">
        <v>3</v>
      </c>
      <c r="H1247">
        <v>2</v>
      </c>
      <c r="I1247">
        <v>1420</v>
      </c>
      <c r="J1247">
        <v>5</v>
      </c>
      <c r="K1247">
        <v>1</v>
      </c>
      <c r="L1247" s="4">
        <v>0.69589751398762667</v>
      </c>
      <c r="M1247" s="4">
        <v>0.30410248601237327</v>
      </c>
      <c r="N1247">
        <v>3</v>
      </c>
    </row>
    <row r="1248" spans="1:14" x14ac:dyDescent="0.35">
      <c r="A1248" s="1">
        <v>3984</v>
      </c>
      <c r="B1248">
        <v>10</v>
      </c>
      <c r="C1248">
        <v>52</v>
      </c>
      <c r="D1248">
        <v>1</v>
      </c>
      <c r="E1248">
        <v>0</v>
      </c>
      <c r="F1248">
        <v>0</v>
      </c>
      <c r="G1248">
        <v>4</v>
      </c>
      <c r="H1248">
        <v>2</v>
      </c>
      <c r="I1248">
        <v>5000</v>
      </c>
      <c r="J1248">
        <v>5</v>
      </c>
      <c r="K1248">
        <v>0</v>
      </c>
      <c r="L1248" s="4">
        <v>0.6960988968720192</v>
      </c>
      <c r="M1248" s="4">
        <v>0.30390110312798069</v>
      </c>
      <c r="N1248">
        <v>3</v>
      </c>
    </row>
    <row r="1249" spans="1:14" x14ac:dyDescent="0.35">
      <c r="A1249" s="1">
        <v>3107</v>
      </c>
      <c r="B1249">
        <v>13</v>
      </c>
      <c r="C1249">
        <v>64</v>
      </c>
      <c r="D1249">
        <v>1</v>
      </c>
      <c r="E1249">
        <v>0</v>
      </c>
      <c r="F1249">
        <v>3</v>
      </c>
      <c r="G1249">
        <v>8</v>
      </c>
      <c r="H1249">
        <v>0</v>
      </c>
      <c r="I1249">
        <v>12000</v>
      </c>
      <c r="J1249">
        <v>4</v>
      </c>
      <c r="K1249">
        <v>0</v>
      </c>
      <c r="L1249" s="4">
        <v>0.69613070111587705</v>
      </c>
      <c r="M1249" s="4">
        <v>0.30386929888412301</v>
      </c>
      <c r="N1249">
        <v>3</v>
      </c>
    </row>
    <row r="1250" spans="1:14" x14ac:dyDescent="0.35">
      <c r="A1250" s="1">
        <v>3442</v>
      </c>
      <c r="B1250">
        <v>12</v>
      </c>
      <c r="C1250">
        <v>59</v>
      </c>
      <c r="D1250">
        <v>4</v>
      </c>
      <c r="E1250">
        <v>0</v>
      </c>
      <c r="F1250">
        <v>3</v>
      </c>
      <c r="G1250">
        <v>3</v>
      </c>
      <c r="H1250">
        <v>0</v>
      </c>
      <c r="I1250">
        <v>6053.36</v>
      </c>
      <c r="J1250">
        <v>7</v>
      </c>
      <c r="K1250">
        <v>0</v>
      </c>
      <c r="L1250" s="4">
        <v>0.69613801615713533</v>
      </c>
      <c r="M1250" s="4">
        <v>0.30386198384286472</v>
      </c>
      <c r="N1250">
        <v>3</v>
      </c>
    </row>
    <row r="1251" spans="1:14" x14ac:dyDescent="0.35">
      <c r="A1251" s="1">
        <v>3835</v>
      </c>
      <c r="B1251">
        <v>8</v>
      </c>
      <c r="C1251">
        <v>41</v>
      </c>
      <c r="D1251">
        <v>5</v>
      </c>
      <c r="E1251">
        <v>0</v>
      </c>
      <c r="F1251">
        <v>2</v>
      </c>
      <c r="G1251">
        <v>6</v>
      </c>
      <c r="H1251">
        <v>2</v>
      </c>
      <c r="I1251">
        <v>50</v>
      </c>
      <c r="J1251">
        <v>9</v>
      </c>
      <c r="K1251">
        <v>0</v>
      </c>
      <c r="L1251" s="4">
        <v>0.69639419399166069</v>
      </c>
      <c r="M1251" s="4">
        <v>0.30360580600833942</v>
      </c>
      <c r="N1251">
        <v>3</v>
      </c>
    </row>
    <row r="1252" spans="1:14" x14ac:dyDescent="0.35">
      <c r="A1252" s="1">
        <v>1380</v>
      </c>
      <c r="B1252">
        <v>6</v>
      </c>
      <c r="C1252">
        <v>34</v>
      </c>
      <c r="D1252">
        <v>2</v>
      </c>
      <c r="E1252">
        <v>0</v>
      </c>
      <c r="F1252">
        <v>0</v>
      </c>
      <c r="G1252">
        <v>11</v>
      </c>
      <c r="H1252">
        <v>3</v>
      </c>
      <c r="I1252">
        <v>0.01</v>
      </c>
      <c r="J1252">
        <v>8</v>
      </c>
      <c r="K1252">
        <v>1</v>
      </c>
      <c r="L1252" s="4">
        <v>0.69708818404589534</v>
      </c>
      <c r="M1252" s="4">
        <v>0.30291181595410471</v>
      </c>
      <c r="N1252">
        <v>3</v>
      </c>
    </row>
    <row r="1253" spans="1:14" x14ac:dyDescent="0.35">
      <c r="A1253" s="1">
        <v>2778</v>
      </c>
      <c r="B1253">
        <v>11</v>
      </c>
      <c r="C1253">
        <v>49</v>
      </c>
      <c r="D1253">
        <v>3</v>
      </c>
      <c r="E1253">
        <v>1</v>
      </c>
      <c r="F1253">
        <v>3</v>
      </c>
      <c r="G1253">
        <v>3</v>
      </c>
      <c r="H1253">
        <v>2</v>
      </c>
      <c r="I1253">
        <v>4000</v>
      </c>
      <c r="J1253">
        <v>5</v>
      </c>
      <c r="K1253">
        <v>0</v>
      </c>
      <c r="L1253" s="4">
        <v>0.69720605732072349</v>
      </c>
      <c r="M1253" s="4">
        <v>0.30279394267927662</v>
      </c>
      <c r="N1253">
        <v>3</v>
      </c>
    </row>
    <row r="1254" spans="1:14" x14ac:dyDescent="0.35">
      <c r="A1254" s="1">
        <v>3140</v>
      </c>
      <c r="B1254">
        <v>10</v>
      </c>
      <c r="C1254">
        <v>50</v>
      </c>
      <c r="D1254">
        <v>1</v>
      </c>
      <c r="E1254">
        <v>0</v>
      </c>
      <c r="F1254">
        <v>1</v>
      </c>
      <c r="G1254">
        <v>12</v>
      </c>
      <c r="H1254">
        <v>3</v>
      </c>
      <c r="I1254">
        <v>0.01</v>
      </c>
      <c r="J1254">
        <v>4</v>
      </c>
      <c r="K1254">
        <v>0</v>
      </c>
      <c r="L1254" s="4">
        <v>0.6972285789951983</v>
      </c>
      <c r="M1254" s="4">
        <v>0.3027714210048017</v>
      </c>
      <c r="N1254">
        <v>3</v>
      </c>
    </row>
    <row r="1255" spans="1:14" x14ac:dyDescent="0.35">
      <c r="A1255" s="1">
        <v>2956</v>
      </c>
      <c r="B1255">
        <v>6</v>
      </c>
      <c r="C1255">
        <v>36</v>
      </c>
      <c r="D1255">
        <v>1</v>
      </c>
      <c r="E1255">
        <v>0</v>
      </c>
      <c r="F1255">
        <v>0</v>
      </c>
      <c r="G1255">
        <v>2</v>
      </c>
      <c r="H1255">
        <v>2</v>
      </c>
      <c r="I1255">
        <v>650</v>
      </c>
      <c r="J1255">
        <v>7</v>
      </c>
      <c r="K1255">
        <v>0</v>
      </c>
      <c r="L1255" s="4">
        <v>0.69727102470294633</v>
      </c>
      <c r="M1255" s="4">
        <v>0.30272897529705362</v>
      </c>
      <c r="N1255">
        <v>3</v>
      </c>
    </row>
    <row r="1256" spans="1:14" x14ac:dyDescent="0.35">
      <c r="A1256" s="1">
        <v>4347</v>
      </c>
      <c r="B1256">
        <v>8</v>
      </c>
      <c r="C1256">
        <v>45</v>
      </c>
      <c r="D1256">
        <v>2</v>
      </c>
      <c r="E1256">
        <v>0</v>
      </c>
      <c r="F1256">
        <v>0</v>
      </c>
      <c r="G1256">
        <v>4</v>
      </c>
      <c r="H1256">
        <v>0</v>
      </c>
      <c r="I1256">
        <v>6000</v>
      </c>
      <c r="J1256">
        <v>1</v>
      </c>
      <c r="K1256">
        <v>0</v>
      </c>
      <c r="L1256" s="4">
        <v>0.69779404332281469</v>
      </c>
      <c r="M1256" s="4">
        <v>0.30220595667718531</v>
      </c>
      <c r="N1256">
        <v>3</v>
      </c>
    </row>
    <row r="1257" spans="1:14" x14ac:dyDescent="0.35">
      <c r="A1257" s="1">
        <v>3182</v>
      </c>
      <c r="B1257">
        <v>6</v>
      </c>
      <c r="C1257">
        <v>35</v>
      </c>
      <c r="D1257">
        <v>5</v>
      </c>
      <c r="E1257">
        <v>0</v>
      </c>
      <c r="F1257">
        <v>0</v>
      </c>
      <c r="G1257">
        <v>11</v>
      </c>
      <c r="H1257">
        <v>0</v>
      </c>
      <c r="I1257">
        <v>6000</v>
      </c>
      <c r="J1257">
        <v>1</v>
      </c>
      <c r="K1257">
        <v>0</v>
      </c>
      <c r="L1257" s="4">
        <v>0.69843259085056408</v>
      </c>
      <c r="M1257" s="4">
        <v>0.30156740914943592</v>
      </c>
      <c r="N1257">
        <v>3</v>
      </c>
    </row>
    <row r="1258" spans="1:14" x14ac:dyDescent="0.35">
      <c r="A1258" s="1">
        <v>3048</v>
      </c>
      <c r="B1258">
        <v>11</v>
      </c>
      <c r="C1258">
        <v>49</v>
      </c>
      <c r="D1258">
        <v>5</v>
      </c>
      <c r="E1258">
        <v>1</v>
      </c>
      <c r="F1258">
        <v>0</v>
      </c>
      <c r="G1258">
        <v>2</v>
      </c>
      <c r="H1258">
        <v>3</v>
      </c>
      <c r="I1258">
        <v>0.01</v>
      </c>
      <c r="J1258">
        <v>10</v>
      </c>
      <c r="K1258">
        <v>0</v>
      </c>
      <c r="L1258" s="4">
        <v>0.69844433871497702</v>
      </c>
      <c r="M1258" s="4">
        <v>0.30155566128502298</v>
      </c>
      <c r="N1258">
        <v>3</v>
      </c>
    </row>
    <row r="1259" spans="1:14" x14ac:dyDescent="0.35">
      <c r="A1259" s="1">
        <v>2357</v>
      </c>
      <c r="B1259">
        <v>7</v>
      </c>
      <c r="C1259">
        <v>29</v>
      </c>
      <c r="D1259">
        <v>2</v>
      </c>
      <c r="E1259">
        <v>2</v>
      </c>
      <c r="F1259">
        <v>2</v>
      </c>
      <c r="G1259">
        <v>1</v>
      </c>
      <c r="H1259">
        <v>2</v>
      </c>
      <c r="I1259">
        <v>1000</v>
      </c>
      <c r="J1259">
        <v>5</v>
      </c>
      <c r="K1259">
        <v>0</v>
      </c>
      <c r="L1259" s="4">
        <v>0.6984702386538304</v>
      </c>
      <c r="M1259" s="4">
        <v>0.30152976134616949</v>
      </c>
      <c r="N1259">
        <v>3</v>
      </c>
    </row>
    <row r="1260" spans="1:14" x14ac:dyDescent="0.35">
      <c r="A1260" s="1">
        <v>342</v>
      </c>
      <c r="B1260">
        <v>15</v>
      </c>
      <c r="C1260">
        <v>66</v>
      </c>
      <c r="D1260">
        <v>5</v>
      </c>
      <c r="E1260">
        <v>1</v>
      </c>
      <c r="F1260">
        <v>3</v>
      </c>
      <c r="G1260">
        <v>3</v>
      </c>
      <c r="H1260">
        <v>0</v>
      </c>
      <c r="I1260">
        <v>10500</v>
      </c>
      <c r="J1260">
        <v>1</v>
      </c>
      <c r="K1260">
        <v>1</v>
      </c>
      <c r="L1260" s="4">
        <v>0.69875251918625669</v>
      </c>
      <c r="M1260" s="4">
        <v>0.30124748081374331</v>
      </c>
      <c r="N1260">
        <v>3</v>
      </c>
    </row>
    <row r="1261" spans="1:14" x14ac:dyDescent="0.35">
      <c r="A1261" s="1">
        <v>1507</v>
      </c>
      <c r="B1261">
        <v>7</v>
      </c>
      <c r="C1261">
        <v>37</v>
      </c>
      <c r="D1261">
        <v>2</v>
      </c>
      <c r="E1261">
        <v>0</v>
      </c>
      <c r="F1261">
        <v>3</v>
      </c>
      <c r="G1261">
        <v>8</v>
      </c>
      <c r="H1261">
        <v>3</v>
      </c>
      <c r="I1261">
        <v>0.01</v>
      </c>
      <c r="J1261">
        <v>5</v>
      </c>
      <c r="K1261">
        <v>0</v>
      </c>
      <c r="L1261" s="4">
        <v>0.69908316713309482</v>
      </c>
      <c r="M1261" s="4">
        <v>0.30091683286690513</v>
      </c>
      <c r="N1261">
        <v>3</v>
      </c>
    </row>
    <row r="1262" spans="1:14" x14ac:dyDescent="0.35">
      <c r="A1262" s="1">
        <v>1208</v>
      </c>
      <c r="B1262">
        <v>9</v>
      </c>
      <c r="C1262">
        <v>40</v>
      </c>
      <c r="D1262">
        <v>5</v>
      </c>
      <c r="E1262">
        <v>1</v>
      </c>
      <c r="F1262">
        <v>2</v>
      </c>
      <c r="G1262">
        <v>1</v>
      </c>
      <c r="H1262">
        <v>3</v>
      </c>
      <c r="I1262">
        <v>0.01</v>
      </c>
      <c r="J1262">
        <v>5</v>
      </c>
      <c r="K1262">
        <v>0</v>
      </c>
      <c r="L1262" s="4">
        <v>0.69921362391347097</v>
      </c>
      <c r="M1262" s="4">
        <v>0.30078637608652897</v>
      </c>
      <c r="N1262">
        <v>3</v>
      </c>
    </row>
    <row r="1263" spans="1:14" x14ac:dyDescent="0.35">
      <c r="A1263" s="1">
        <v>1148</v>
      </c>
      <c r="B1263">
        <v>13</v>
      </c>
      <c r="C1263">
        <v>58</v>
      </c>
      <c r="D1263">
        <v>3</v>
      </c>
      <c r="E1263">
        <v>1</v>
      </c>
      <c r="F1263">
        <v>0</v>
      </c>
      <c r="G1263">
        <v>2</v>
      </c>
      <c r="H1263">
        <v>3</v>
      </c>
      <c r="I1263">
        <v>0.01</v>
      </c>
      <c r="J1263">
        <v>8</v>
      </c>
      <c r="K1263">
        <v>0</v>
      </c>
      <c r="L1263" s="4">
        <v>0.69930618876051787</v>
      </c>
      <c r="M1263" s="4">
        <v>0.30069381123948208</v>
      </c>
      <c r="N1263">
        <v>3</v>
      </c>
    </row>
    <row r="1264" spans="1:14" x14ac:dyDescent="0.35">
      <c r="A1264" s="1">
        <v>3692</v>
      </c>
      <c r="B1264">
        <v>11</v>
      </c>
      <c r="C1264">
        <v>50</v>
      </c>
      <c r="D1264">
        <v>4</v>
      </c>
      <c r="E1264">
        <v>1</v>
      </c>
      <c r="F1264">
        <v>0</v>
      </c>
      <c r="G1264">
        <v>4</v>
      </c>
      <c r="H1264">
        <v>2</v>
      </c>
      <c r="I1264">
        <v>3000</v>
      </c>
      <c r="J1264">
        <v>3</v>
      </c>
      <c r="K1264">
        <v>0</v>
      </c>
      <c r="L1264" s="4">
        <v>0.6994964722950151</v>
      </c>
      <c r="M1264" s="4">
        <v>0.3005035277049849</v>
      </c>
      <c r="N1264">
        <v>3</v>
      </c>
    </row>
    <row r="1265" spans="1:14" x14ac:dyDescent="0.35">
      <c r="A1265" s="1">
        <v>630</v>
      </c>
      <c r="B1265">
        <v>12</v>
      </c>
      <c r="C1265">
        <v>49</v>
      </c>
      <c r="D1265">
        <v>3</v>
      </c>
      <c r="E1265">
        <v>2</v>
      </c>
      <c r="F1265">
        <v>0</v>
      </c>
      <c r="G1265">
        <v>2</v>
      </c>
      <c r="H1265">
        <v>3</v>
      </c>
      <c r="I1265">
        <v>0.01</v>
      </c>
      <c r="J1265">
        <v>5</v>
      </c>
      <c r="K1265">
        <v>0</v>
      </c>
      <c r="L1265" s="4">
        <v>0.69961816519139841</v>
      </c>
      <c r="M1265" s="4">
        <v>0.30038183480860159</v>
      </c>
      <c r="N1265">
        <v>3</v>
      </c>
    </row>
    <row r="1266" spans="1:14" x14ac:dyDescent="0.35">
      <c r="A1266" s="1">
        <v>747</v>
      </c>
      <c r="B1266">
        <v>7</v>
      </c>
      <c r="C1266">
        <v>39</v>
      </c>
      <c r="D1266">
        <v>2</v>
      </c>
      <c r="E1266">
        <v>0</v>
      </c>
      <c r="F1266">
        <v>1</v>
      </c>
      <c r="G1266">
        <v>7</v>
      </c>
      <c r="H1266">
        <v>2</v>
      </c>
      <c r="I1266">
        <v>1670</v>
      </c>
      <c r="J1266">
        <v>10</v>
      </c>
      <c r="K1266">
        <v>1</v>
      </c>
      <c r="L1266" s="4">
        <v>0.70010894561664094</v>
      </c>
      <c r="M1266" s="4">
        <v>0.29989105438335911</v>
      </c>
      <c r="N1266">
        <v>3</v>
      </c>
    </row>
    <row r="1267" spans="1:14" x14ac:dyDescent="0.35">
      <c r="A1267" s="1">
        <v>2379</v>
      </c>
      <c r="B1267">
        <v>9</v>
      </c>
      <c r="C1267">
        <v>48</v>
      </c>
      <c r="D1267">
        <v>4</v>
      </c>
      <c r="E1267">
        <v>0</v>
      </c>
      <c r="F1267">
        <v>1</v>
      </c>
      <c r="G1267">
        <v>5</v>
      </c>
      <c r="H1267">
        <v>0</v>
      </c>
      <c r="I1267">
        <v>12000</v>
      </c>
      <c r="J1267">
        <v>2</v>
      </c>
      <c r="K1267">
        <v>0</v>
      </c>
      <c r="L1267" s="4">
        <v>0.70039645992331789</v>
      </c>
      <c r="M1267" s="4">
        <v>0.29960354007668222</v>
      </c>
      <c r="N1267">
        <v>3</v>
      </c>
    </row>
    <row r="1268" spans="1:14" x14ac:dyDescent="0.35">
      <c r="A1268" s="1">
        <v>3824</v>
      </c>
      <c r="B1268">
        <v>10</v>
      </c>
      <c r="C1268">
        <v>52</v>
      </c>
      <c r="D1268">
        <v>2</v>
      </c>
      <c r="E1268">
        <v>0</v>
      </c>
      <c r="F1268">
        <v>3</v>
      </c>
      <c r="G1268">
        <v>3</v>
      </c>
      <c r="H1268">
        <v>0</v>
      </c>
      <c r="I1268">
        <v>6000</v>
      </c>
      <c r="J1268">
        <v>1</v>
      </c>
      <c r="K1268">
        <v>0</v>
      </c>
      <c r="L1268" s="4">
        <v>0.70064744055687589</v>
      </c>
      <c r="M1268" s="4">
        <v>0.29935255944312422</v>
      </c>
      <c r="N1268">
        <v>3</v>
      </c>
    </row>
    <row r="1269" spans="1:14" x14ac:dyDescent="0.35">
      <c r="A1269" s="1">
        <v>4196</v>
      </c>
      <c r="B1269">
        <v>7</v>
      </c>
      <c r="C1269">
        <v>37</v>
      </c>
      <c r="D1269">
        <v>5</v>
      </c>
      <c r="E1269">
        <v>0</v>
      </c>
      <c r="F1269">
        <v>0</v>
      </c>
      <c r="G1269">
        <v>11</v>
      </c>
      <c r="H1269">
        <v>3</v>
      </c>
      <c r="I1269">
        <v>0.01</v>
      </c>
      <c r="J1269">
        <v>5</v>
      </c>
      <c r="K1269">
        <v>1</v>
      </c>
      <c r="L1269" s="4">
        <v>0.70120392864427639</v>
      </c>
      <c r="M1269" s="4">
        <v>0.29879607135572361</v>
      </c>
      <c r="N1269">
        <v>3</v>
      </c>
    </row>
    <row r="1270" spans="1:14" x14ac:dyDescent="0.35">
      <c r="A1270" s="1">
        <v>4264</v>
      </c>
      <c r="B1270">
        <v>8</v>
      </c>
      <c r="C1270">
        <v>41</v>
      </c>
      <c r="D1270">
        <v>4</v>
      </c>
      <c r="E1270">
        <v>0</v>
      </c>
      <c r="F1270">
        <v>2</v>
      </c>
      <c r="G1270">
        <v>6</v>
      </c>
      <c r="H1270">
        <v>3</v>
      </c>
      <c r="I1270">
        <v>0.01</v>
      </c>
      <c r="J1270">
        <v>5</v>
      </c>
      <c r="K1270">
        <v>1</v>
      </c>
      <c r="L1270" s="4">
        <v>0.70122025641221053</v>
      </c>
      <c r="M1270" s="4">
        <v>0.29877974358778953</v>
      </c>
      <c r="N1270">
        <v>3</v>
      </c>
    </row>
    <row r="1271" spans="1:14" x14ac:dyDescent="0.35">
      <c r="A1271" s="1">
        <v>3742</v>
      </c>
      <c r="B1271">
        <v>10</v>
      </c>
      <c r="C1271">
        <v>53</v>
      </c>
      <c r="D1271">
        <v>3</v>
      </c>
      <c r="E1271">
        <v>0</v>
      </c>
      <c r="F1271">
        <v>0</v>
      </c>
      <c r="G1271">
        <v>4</v>
      </c>
      <c r="H1271">
        <v>0</v>
      </c>
      <c r="I1271">
        <v>6053.34</v>
      </c>
      <c r="J1271">
        <v>4</v>
      </c>
      <c r="K1271">
        <v>0</v>
      </c>
      <c r="L1271" s="4">
        <v>0.70122396852021374</v>
      </c>
      <c r="M1271" s="4">
        <v>0.29877603147978621</v>
      </c>
      <c r="N1271">
        <v>3</v>
      </c>
    </row>
    <row r="1272" spans="1:14" x14ac:dyDescent="0.35">
      <c r="A1272" s="1">
        <v>3395</v>
      </c>
      <c r="B1272">
        <v>14</v>
      </c>
      <c r="C1272">
        <v>69</v>
      </c>
      <c r="D1272">
        <v>2</v>
      </c>
      <c r="E1272">
        <v>0</v>
      </c>
      <c r="F1272">
        <v>2</v>
      </c>
      <c r="G1272">
        <v>1</v>
      </c>
      <c r="H1272">
        <v>1</v>
      </c>
      <c r="I1272">
        <v>31800</v>
      </c>
      <c r="J1272">
        <v>6</v>
      </c>
      <c r="K1272">
        <v>0</v>
      </c>
      <c r="L1272" s="4">
        <v>0.70163208987677095</v>
      </c>
      <c r="M1272" s="4">
        <v>0.298367910123229</v>
      </c>
      <c r="N1272">
        <v>3</v>
      </c>
    </row>
    <row r="1273" spans="1:14" x14ac:dyDescent="0.35">
      <c r="A1273" s="1">
        <v>3912</v>
      </c>
      <c r="B1273">
        <v>10</v>
      </c>
      <c r="C1273">
        <v>51</v>
      </c>
      <c r="D1273">
        <v>4</v>
      </c>
      <c r="E1273">
        <v>0</v>
      </c>
      <c r="F1273">
        <v>3</v>
      </c>
      <c r="G1273">
        <v>8</v>
      </c>
      <c r="H1273">
        <v>0</v>
      </c>
      <c r="I1273">
        <v>15000</v>
      </c>
      <c r="J1273">
        <v>1</v>
      </c>
      <c r="K1273">
        <v>0</v>
      </c>
      <c r="L1273" s="4">
        <v>0.70177408727741997</v>
      </c>
      <c r="M1273" s="4">
        <v>0.29822591272257998</v>
      </c>
      <c r="N1273">
        <v>3</v>
      </c>
    </row>
    <row r="1274" spans="1:14" x14ac:dyDescent="0.35">
      <c r="A1274" s="1">
        <v>1418</v>
      </c>
      <c r="B1274">
        <v>12</v>
      </c>
      <c r="C1274">
        <v>60</v>
      </c>
      <c r="D1274">
        <v>2</v>
      </c>
      <c r="E1274">
        <v>0</v>
      </c>
      <c r="F1274">
        <v>0</v>
      </c>
      <c r="G1274">
        <v>4</v>
      </c>
      <c r="H1274">
        <v>2</v>
      </c>
      <c r="I1274">
        <v>3000</v>
      </c>
      <c r="J1274">
        <v>2</v>
      </c>
      <c r="K1274">
        <v>1</v>
      </c>
      <c r="L1274" s="4">
        <v>0.701850645039092</v>
      </c>
      <c r="M1274" s="4">
        <v>0.29814935496090789</v>
      </c>
      <c r="N1274">
        <v>3</v>
      </c>
    </row>
    <row r="1275" spans="1:14" x14ac:dyDescent="0.35">
      <c r="A1275" s="1">
        <v>3672</v>
      </c>
      <c r="B1275">
        <v>7</v>
      </c>
      <c r="C1275">
        <v>36</v>
      </c>
      <c r="D1275">
        <v>5</v>
      </c>
      <c r="E1275">
        <v>0</v>
      </c>
      <c r="F1275">
        <v>3</v>
      </c>
      <c r="G1275">
        <v>8</v>
      </c>
      <c r="H1275">
        <v>3</v>
      </c>
      <c r="I1275">
        <v>0.01</v>
      </c>
      <c r="J1275">
        <v>8</v>
      </c>
      <c r="K1275">
        <v>0</v>
      </c>
      <c r="L1275" s="4">
        <v>0.70220382263876124</v>
      </c>
      <c r="M1275" s="4">
        <v>0.2977961773612387</v>
      </c>
      <c r="N1275">
        <v>3</v>
      </c>
    </row>
    <row r="1276" spans="1:14" x14ac:dyDescent="0.35">
      <c r="A1276" s="1">
        <v>2307</v>
      </c>
      <c r="B1276">
        <v>11</v>
      </c>
      <c r="C1276">
        <v>53</v>
      </c>
      <c r="D1276">
        <v>0</v>
      </c>
      <c r="E1276">
        <v>1</v>
      </c>
      <c r="F1276">
        <v>1</v>
      </c>
      <c r="G1276">
        <v>7</v>
      </c>
      <c r="H1276">
        <v>0</v>
      </c>
      <c r="I1276">
        <v>10937.59</v>
      </c>
      <c r="J1276">
        <v>8</v>
      </c>
      <c r="K1276">
        <v>0</v>
      </c>
      <c r="L1276" s="4">
        <v>0.70221498980787067</v>
      </c>
      <c r="M1276" s="4">
        <v>0.29778501019212938</v>
      </c>
      <c r="N1276">
        <v>3</v>
      </c>
    </row>
    <row r="1277" spans="1:14" x14ac:dyDescent="0.35">
      <c r="A1277" s="1">
        <v>271</v>
      </c>
      <c r="B1277">
        <v>11</v>
      </c>
      <c r="C1277">
        <v>51</v>
      </c>
      <c r="D1277">
        <v>3</v>
      </c>
      <c r="E1277">
        <v>1</v>
      </c>
      <c r="F1277">
        <v>3</v>
      </c>
      <c r="G1277">
        <v>3</v>
      </c>
      <c r="H1277">
        <v>0</v>
      </c>
      <c r="I1277">
        <v>6053.36</v>
      </c>
      <c r="J1277">
        <v>8</v>
      </c>
      <c r="K1277">
        <v>0</v>
      </c>
      <c r="L1277" s="4">
        <v>0.70249125090090092</v>
      </c>
      <c r="M1277" s="4">
        <v>0.29750874909909908</v>
      </c>
      <c r="N1277">
        <v>3</v>
      </c>
    </row>
    <row r="1278" spans="1:14" x14ac:dyDescent="0.35">
      <c r="A1278" s="1">
        <v>446</v>
      </c>
      <c r="B1278">
        <v>6</v>
      </c>
      <c r="C1278">
        <v>33</v>
      </c>
      <c r="D1278">
        <v>5</v>
      </c>
      <c r="E1278">
        <v>0</v>
      </c>
      <c r="F1278">
        <v>2</v>
      </c>
      <c r="G1278">
        <v>1</v>
      </c>
      <c r="H1278">
        <v>3</v>
      </c>
      <c r="I1278">
        <v>0.01</v>
      </c>
      <c r="J1278">
        <v>4</v>
      </c>
      <c r="K1278">
        <v>0</v>
      </c>
      <c r="L1278" s="4">
        <v>0.70251420024382938</v>
      </c>
      <c r="M1278" s="4">
        <v>0.29748579975617062</v>
      </c>
      <c r="N1278">
        <v>3</v>
      </c>
    </row>
    <row r="1279" spans="1:14" x14ac:dyDescent="0.35">
      <c r="A1279" s="1">
        <v>1206</v>
      </c>
      <c r="B1279">
        <v>12</v>
      </c>
      <c r="C1279">
        <v>55</v>
      </c>
      <c r="D1279">
        <v>0</v>
      </c>
      <c r="E1279">
        <v>1</v>
      </c>
      <c r="F1279">
        <v>3</v>
      </c>
      <c r="G1279">
        <v>3</v>
      </c>
      <c r="H1279">
        <v>2</v>
      </c>
      <c r="I1279">
        <v>2500</v>
      </c>
      <c r="J1279">
        <v>16</v>
      </c>
      <c r="K1279">
        <v>0</v>
      </c>
      <c r="L1279" s="4">
        <v>0.70281267623498955</v>
      </c>
      <c r="M1279" s="4">
        <v>0.2971873237650105</v>
      </c>
      <c r="N1279">
        <v>3</v>
      </c>
    </row>
    <row r="1280" spans="1:14" x14ac:dyDescent="0.35">
      <c r="A1280" s="1">
        <v>3116</v>
      </c>
      <c r="B1280">
        <v>9</v>
      </c>
      <c r="C1280">
        <v>44</v>
      </c>
      <c r="D1280">
        <v>0</v>
      </c>
      <c r="E1280">
        <v>1</v>
      </c>
      <c r="F1280">
        <v>0</v>
      </c>
      <c r="G1280">
        <v>4</v>
      </c>
      <c r="H1280">
        <v>2</v>
      </c>
      <c r="I1280">
        <v>3000</v>
      </c>
      <c r="J1280">
        <v>7</v>
      </c>
      <c r="K1280">
        <v>0</v>
      </c>
      <c r="L1280" s="4">
        <v>0.70285738785952911</v>
      </c>
      <c r="M1280" s="4">
        <v>0.29714261214047089</v>
      </c>
      <c r="N1280">
        <v>3</v>
      </c>
    </row>
    <row r="1281" spans="1:14" x14ac:dyDescent="0.35">
      <c r="A1281" s="1">
        <v>2833</v>
      </c>
      <c r="B1281">
        <v>10</v>
      </c>
      <c r="C1281">
        <v>50</v>
      </c>
      <c r="D1281">
        <v>4</v>
      </c>
      <c r="E1281">
        <v>0</v>
      </c>
      <c r="F1281">
        <v>3</v>
      </c>
      <c r="G1281">
        <v>3</v>
      </c>
      <c r="H1281">
        <v>2</v>
      </c>
      <c r="I1281">
        <v>4200.01</v>
      </c>
      <c r="J1281">
        <v>10</v>
      </c>
      <c r="K1281">
        <v>0</v>
      </c>
      <c r="L1281" s="4">
        <v>0.7030779172363486</v>
      </c>
      <c r="M1281" s="4">
        <v>0.29692208276365128</v>
      </c>
      <c r="N1281">
        <v>3</v>
      </c>
    </row>
    <row r="1282" spans="1:14" x14ac:dyDescent="0.35">
      <c r="A1282" s="1">
        <v>2701</v>
      </c>
      <c r="B1282">
        <v>9</v>
      </c>
      <c r="C1282">
        <v>45</v>
      </c>
      <c r="D1282">
        <v>3</v>
      </c>
      <c r="E1282">
        <v>0</v>
      </c>
      <c r="F1282">
        <v>3</v>
      </c>
      <c r="G1282">
        <v>8</v>
      </c>
      <c r="H1282">
        <v>3</v>
      </c>
      <c r="I1282">
        <v>0.01</v>
      </c>
      <c r="J1282">
        <v>5</v>
      </c>
      <c r="K1282">
        <v>0</v>
      </c>
      <c r="L1282" s="4">
        <v>0.70332770402976108</v>
      </c>
      <c r="M1282" s="4">
        <v>0.29667229597023892</v>
      </c>
      <c r="N1282">
        <v>3</v>
      </c>
    </row>
    <row r="1283" spans="1:14" x14ac:dyDescent="0.35">
      <c r="A1283" s="1">
        <v>2635</v>
      </c>
      <c r="B1283">
        <v>11</v>
      </c>
      <c r="C1283">
        <v>50</v>
      </c>
      <c r="D1283">
        <v>3</v>
      </c>
      <c r="E1283">
        <v>1</v>
      </c>
      <c r="F1283">
        <v>0</v>
      </c>
      <c r="G1283">
        <v>4</v>
      </c>
      <c r="H1283">
        <v>3</v>
      </c>
      <c r="I1283">
        <v>0.01</v>
      </c>
      <c r="J1283">
        <v>5</v>
      </c>
      <c r="K1283">
        <v>1</v>
      </c>
      <c r="L1283" s="4">
        <v>0.70367791193098328</v>
      </c>
      <c r="M1283" s="4">
        <v>0.29632208806901672</v>
      </c>
      <c r="N1283">
        <v>3</v>
      </c>
    </row>
    <row r="1284" spans="1:14" x14ac:dyDescent="0.35">
      <c r="A1284" s="1">
        <v>2523</v>
      </c>
      <c r="B1284">
        <v>7</v>
      </c>
      <c r="C1284">
        <v>39</v>
      </c>
      <c r="D1284">
        <v>3</v>
      </c>
      <c r="E1284">
        <v>0</v>
      </c>
      <c r="F1284">
        <v>2</v>
      </c>
      <c r="G1284">
        <v>0</v>
      </c>
      <c r="H1284">
        <v>2</v>
      </c>
      <c r="I1284">
        <v>120</v>
      </c>
      <c r="J1284">
        <v>11</v>
      </c>
      <c r="K1284">
        <v>0</v>
      </c>
      <c r="L1284" s="4">
        <v>0.70377305419594371</v>
      </c>
      <c r="M1284" s="4">
        <v>0.29622694580405629</v>
      </c>
      <c r="N1284">
        <v>3</v>
      </c>
    </row>
    <row r="1285" spans="1:14" x14ac:dyDescent="0.35">
      <c r="A1285" s="1">
        <v>4416</v>
      </c>
      <c r="B1285">
        <v>10</v>
      </c>
      <c r="C1285">
        <v>50</v>
      </c>
      <c r="D1285">
        <v>5</v>
      </c>
      <c r="E1285">
        <v>0</v>
      </c>
      <c r="F1285">
        <v>0</v>
      </c>
      <c r="G1285">
        <v>4</v>
      </c>
      <c r="H1285">
        <v>3</v>
      </c>
      <c r="I1285">
        <v>0.01</v>
      </c>
      <c r="J1285">
        <v>5</v>
      </c>
      <c r="K1285">
        <v>1</v>
      </c>
      <c r="L1285" s="4">
        <v>0.70385426810930174</v>
      </c>
      <c r="M1285" s="4">
        <v>0.29614573189069832</v>
      </c>
      <c r="N1285">
        <v>3</v>
      </c>
    </row>
    <row r="1286" spans="1:14" x14ac:dyDescent="0.35">
      <c r="A1286" s="1">
        <v>3111</v>
      </c>
      <c r="B1286">
        <v>11</v>
      </c>
      <c r="C1286">
        <v>56</v>
      </c>
      <c r="D1286">
        <v>1</v>
      </c>
      <c r="E1286">
        <v>0</v>
      </c>
      <c r="F1286">
        <v>0</v>
      </c>
      <c r="G1286">
        <v>11</v>
      </c>
      <c r="H1286">
        <v>2</v>
      </c>
      <c r="I1286">
        <v>4000</v>
      </c>
      <c r="J1286">
        <v>5</v>
      </c>
      <c r="K1286">
        <v>0</v>
      </c>
      <c r="L1286" s="4">
        <v>0.70387207606517843</v>
      </c>
      <c r="M1286" s="4">
        <v>0.29612792393482151</v>
      </c>
      <c r="N1286">
        <v>3</v>
      </c>
    </row>
    <row r="1287" spans="1:14" x14ac:dyDescent="0.35">
      <c r="A1287" s="1">
        <v>4123</v>
      </c>
      <c r="B1287">
        <v>7</v>
      </c>
      <c r="C1287">
        <v>41</v>
      </c>
      <c r="D1287">
        <v>2</v>
      </c>
      <c r="E1287">
        <v>0</v>
      </c>
      <c r="F1287">
        <v>2</v>
      </c>
      <c r="G1287">
        <v>1</v>
      </c>
      <c r="H1287">
        <v>0</v>
      </c>
      <c r="I1287">
        <v>6053.35</v>
      </c>
      <c r="J1287">
        <v>11</v>
      </c>
      <c r="K1287">
        <v>0</v>
      </c>
      <c r="L1287" s="4">
        <v>0.70417971095847509</v>
      </c>
      <c r="M1287" s="4">
        <v>0.29582028904152491</v>
      </c>
      <c r="N1287">
        <v>3</v>
      </c>
    </row>
    <row r="1288" spans="1:14" x14ac:dyDescent="0.35">
      <c r="A1288" s="1">
        <v>3993</v>
      </c>
      <c r="B1288">
        <v>10</v>
      </c>
      <c r="C1288">
        <v>53</v>
      </c>
      <c r="D1288">
        <v>1</v>
      </c>
      <c r="E1288">
        <v>0</v>
      </c>
      <c r="F1288">
        <v>3</v>
      </c>
      <c r="G1288">
        <v>3</v>
      </c>
      <c r="H1288">
        <v>0</v>
      </c>
      <c r="I1288">
        <v>9901</v>
      </c>
      <c r="J1288">
        <v>9</v>
      </c>
      <c r="K1288">
        <v>0</v>
      </c>
      <c r="L1288" s="4">
        <v>0.70426439230867477</v>
      </c>
      <c r="M1288" s="4">
        <v>0.29573560769132518</v>
      </c>
      <c r="N1288">
        <v>3</v>
      </c>
    </row>
    <row r="1289" spans="1:14" x14ac:dyDescent="0.35">
      <c r="A1289" s="1">
        <v>2464</v>
      </c>
      <c r="B1289">
        <v>13</v>
      </c>
      <c r="C1289">
        <v>66</v>
      </c>
      <c r="D1289">
        <v>0</v>
      </c>
      <c r="E1289">
        <v>0</v>
      </c>
      <c r="F1289">
        <v>0</v>
      </c>
      <c r="G1289">
        <v>11</v>
      </c>
      <c r="H1289">
        <v>0</v>
      </c>
      <c r="I1289">
        <v>6000</v>
      </c>
      <c r="J1289">
        <v>1</v>
      </c>
      <c r="K1289">
        <v>0</v>
      </c>
      <c r="L1289" s="4">
        <v>0.70426717621817292</v>
      </c>
      <c r="M1289" s="4">
        <v>0.29573282378182703</v>
      </c>
      <c r="N1289">
        <v>3</v>
      </c>
    </row>
    <row r="1290" spans="1:14" x14ac:dyDescent="0.35">
      <c r="A1290" s="1">
        <v>2149</v>
      </c>
      <c r="B1290">
        <v>7</v>
      </c>
      <c r="C1290">
        <v>38</v>
      </c>
      <c r="D1290">
        <v>3</v>
      </c>
      <c r="E1290">
        <v>0</v>
      </c>
      <c r="F1290">
        <v>1</v>
      </c>
      <c r="G1290">
        <v>7</v>
      </c>
      <c r="H1290">
        <v>3</v>
      </c>
      <c r="I1290">
        <v>0.01</v>
      </c>
      <c r="J1290">
        <v>4</v>
      </c>
      <c r="K1290">
        <v>0</v>
      </c>
      <c r="L1290" s="4">
        <v>0.70440392946313712</v>
      </c>
      <c r="M1290" s="4">
        <v>0.29559607053686288</v>
      </c>
      <c r="N1290">
        <v>3</v>
      </c>
    </row>
    <row r="1291" spans="1:14" x14ac:dyDescent="0.35">
      <c r="A1291" s="1">
        <v>2533</v>
      </c>
      <c r="B1291">
        <v>10</v>
      </c>
      <c r="C1291">
        <v>52</v>
      </c>
      <c r="D1291">
        <v>3</v>
      </c>
      <c r="E1291">
        <v>0</v>
      </c>
      <c r="F1291">
        <v>3</v>
      </c>
      <c r="G1291">
        <v>3</v>
      </c>
      <c r="H1291">
        <v>0</v>
      </c>
      <c r="I1291">
        <v>6053.35</v>
      </c>
      <c r="J1291">
        <v>7</v>
      </c>
      <c r="K1291">
        <v>1</v>
      </c>
      <c r="L1291" s="4">
        <v>0.70451446208433555</v>
      </c>
      <c r="M1291" s="4">
        <v>0.29548553791566451</v>
      </c>
      <c r="N1291">
        <v>3</v>
      </c>
    </row>
    <row r="1292" spans="1:14" x14ac:dyDescent="0.35">
      <c r="A1292" s="1">
        <v>994</v>
      </c>
      <c r="B1292">
        <v>10</v>
      </c>
      <c r="C1292">
        <v>46</v>
      </c>
      <c r="D1292">
        <v>2</v>
      </c>
      <c r="E1292">
        <v>1</v>
      </c>
      <c r="F1292">
        <v>3</v>
      </c>
      <c r="G1292">
        <v>3</v>
      </c>
      <c r="H1292">
        <v>2</v>
      </c>
      <c r="I1292">
        <v>420</v>
      </c>
      <c r="J1292">
        <v>11</v>
      </c>
      <c r="K1292">
        <v>0</v>
      </c>
      <c r="L1292" s="4">
        <v>0.7045332544147348</v>
      </c>
      <c r="M1292" s="4">
        <v>0.2954667455852652</v>
      </c>
      <c r="N1292">
        <v>3</v>
      </c>
    </row>
    <row r="1293" spans="1:14" x14ac:dyDescent="0.35">
      <c r="A1293" s="1">
        <v>497</v>
      </c>
      <c r="B1293">
        <v>13</v>
      </c>
      <c r="C1293">
        <v>62</v>
      </c>
      <c r="D1293">
        <v>3</v>
      </c>
      <c r="E1293">
        <v>0</v>
      </c>
      <c r="F1293">
        <v>3</v>
      </c>
      <c r="G1293">
        <v>8</v>
      </c>
      <c r="H1293">
        <v>2</v>
      </c>
      <c r="I1293">
        <v>1000</v>
      </c>
      <c r="J1293">
        <v>2</v>
      </c>
      <c r="K1293">
        <v>0</v>
      </c>
      <c r="L1293" s="4">
        <v>0.70464456554768062</v>
      </c>
      <c r="M1293" s="4">
        <v>0.29535543445231938</v>
      </c>
      <c r="N1293">
        <v>3</v>
      </c>
    </row>
    <row r="1294" spans="1:14" x14ac:dyDescent="0.35">
      <c r="A1294" s="1">
        <v>1166</v>
      </c>
      <c r="B1294">
        <v>11</v>
      </c>
      <c r="C1294">
        <v>55</v>
      </c>
      <c r="D1294">
        <v>3</v>
      </c>
      <c r="E1294">
        <v>0</v>
      </c>
      <c r="F1294">
        <v>1</v>
      </c>
      <c r="G1294">
        <v>7</v>
      </c>
      <c r="H1294">
        <v>2</v>
      </c>
      <c r="I1294">
        <v>4000</v>
      </c>
      <c r="J1294">
        <v>1</v>
      </c>
      <c r="K1294">
        <v>0</v>
      </c>
      <c r="L1294" s="4">
        <v>0.70471314641995453</v>
      </c>
      <c r="M1294" s="4">
        <v>0.29528685358004542</v>
      </c>
      <c r="N1294">
        <v>3</v>
      </c>
    </row>
    <row r="1295" spans="1:14" x14ac:dyDescent="0.35">
      <c r="A1295" s="1">
        <v>697</v>
      </c>
      <c r="B1295">
        <v>10</v>
      </c>
      <c r="C1295">
        <v>51</v>
      </c>
      <c r="D1295">
        <v>2</v>
      </c>
      <c r="E1295">
        <v>0</v>
      </c>
      <c r="F1295">
        <v>1</v>
      </c>
      <c r="G1295">
        <v>5</v>
      </c>
      <c r="H1295">
        <v>3</v>
      </c>
      <c r="I1295">
        <v>0.01</v>
      </c>
      <c r="J1295">
        <v>13</v>
      </c>
      <c r="K1295">
        <v>0</v>
      </c>
      <c r="L1295" s="4">
        <v>0.70487459122814</v>
      </c>
      <c r="M1295" s="4">
        <v>0.29512540877186</v>
      </c>
      <c r="N1295">
        <v>3</v>
      </c>
    </row>
    <row r="1296" spans="1:14" x14ac:dyDescent="0.35">
      <c r="A1296" s="1">
        <v>1217</v>
      </c>
      <c r="B1296">
        <v>11</v>
      </c>
      <c r="C1296">
        <v>55</v>
      </c>
      <c r="D1296">
        <v>2</v>
      </c>
      <c r="E1296">
        <v>0</v>
      </c>
      <c r="F1296">
        <v>3</v>
      </c>
      <c r="G1296">
        <v>3</v>
      </c>
      <c r="H1296">
        <v>2</v>
      </c>
      <c r="I1296">
        <v>4000</v>
      </c>
      <c r="J1296">
        <v>7</v>
      </c>
      <c r="K1296">
        <v>0</v>
      </c>
      <c r="L1296" s="4">
        <v>0.70489597739734022</v>
      </c>
      <c r="M1296" s="4">
        <v>0.29510402260265978</v>
      </c>
      <c r="N1296">
        <v>3</v>
      </c>
    </row>
    <row r="1297" spans="1:14" x14ac:dyDescent="0.35">
      <c r="A1297" s="1">
        <v>1372</v>
      </c>
      <c r="B1297">
        <v>14</v>
      </c>
      <c r="C1297">
        <v>67</v>
      </c>
      <c r="D1297">
        <v>4</v>
      </c>
      <c r="E1297">
        <v>0</v>
      </c>
      <c r="F1297">
        <v>4</v>
      </c>
      <c r="G1297">
        <v>9</v>
      </c>
      <c r="H1297">
        <v>0</v>
      </c>
      <c r="I1297">
        <v>15000</v>
      </c>
      <c r="J1297">
        <v>6</v>
      </c>
      <c r="K1297">
        <v>0</v>
      </c>
      <c r="L1297" s="4">
        <v>0.70498745875036661</v>
      </c>
      <c r="M1297" s="4">
        <v>0.29501254124963339</v>
      </c>
      <c r="N1297">
        <v>3</v>
      </c>
    </row>
    <row r="1298" spans="1:14" x14ac:dyDescent="0.35">
      <c r="A1298" s="1">
        <v>4074</v>
      </c>
      <c r="B1298">
        <v>8</v>
      </c>
      <c r="C1298">
        <v>44</v>
      </c>
      <c r="D1298">
        <v>1</v>
      </c>
      <c r="E1298">
        <v>0</v>
      </c>
      <c r="F1298">
        <v>0</v>
      </c>
      <c r="G1298">
        <v>2</v>
      </c>
      <c r="H1298">
        <v>3</v>
      </c>
      <c r="I1298">
        <v>0.01</v>
      </c>
      <c r="J1298">
        <v>8</v>
      </c>
      <c r="K1298">
        <v>1</v>
      </c>
      <c r="L1298" s="4">
        <v>0.70517548334793545</v>
      </c>
      <c r="M1298" s="4">
        <v>0.29482451665206449</v>
      </c>
      <c r="N1298">
        <v>3</v>
      </c>
    </row>
    <row r="1299" spans="1:14" x14ac:dyDescent="0.35">
      <c r="A1299" s="1">
        <v>876</v>
      </c>
      <c r="B1299">
        <v>9</v>
      </c>
      <c r="C1299">
        <v>49</v>
      </c>
      <c r="D1299">
        <v>3</v>
      </c>
      <c r="E1299">
        <v>0</v>
      </c>
      <c r="F1299">
        <v>0</v>
      </c>
      <c r="G1299">
        <v>11</v>
      </c>
      <c r="H1299">
        <v>0</v>
      </c>
      <c r="I1299">
        <v>20000</v>
      </c>
      <c r="J1299">
        <v>4</v>
      </c>
      <c r="K1299">
        <v>0</v>
      </c>
      <c r="L1299" s="4">
        <v>0.7051844647618265</v>
      </c>
      <c r="M1299" s="4">
        <v>0.2948155352381735</v>
      </c>
      <c r="N1299">
        <v>3</v>
      </c>
    </row>
    <row r="1300" spans="1:14" x14ac:dyDescent="0.35">
      <c r="A1300" s="1">
        <v>3975</v>
      </c>
      <c r="B1300">
        <v>8</v>
      </c>
      <c r="C1300">
        <v>38</v>
      </c>
      <c r="D1300">
        <v>3</v>
      </c>
      <c r="E1300">
        <v>1</v>
      </c>
      <c r="F1300">
        <v>0</v>
      </c>
      <c r="G1300">
        <v>4</v>
      </c>
      <c r="H1300">
        <v>3</v>
      </c>
      <c r="I1300">
        <v>0.01</v>
      </c>
      <c r="J1300">
        <v>5</v>
      </c>
      <c r="K1300">
        <v>0</v>
      </c>
      <c r="L1300" s="4">
        <v>0.70556465175255423</v>
      </c>
      <c r="M1300" s="4">
        <v>0.29443534824744583</v>
      </c>
      <c r="N1300">
        <v>3</v>
      </c>
    </row>
    <row r="1301" spans="1:14" x14ac:dyDescent="0.35">
      <c r="A1301" s="1">
        <v>3256</v>
      </c>
      <c r="B1301">
        <v>11</v>
      </c>
      <c r="C1301">
        <v>54</v>
      </c>
      <c r="D1301">
        <v>3</v>
      </c>
      <c r="E1301">
        <v>0</v>
      </c>
      <c r="F1301">
        <v>2</v>
      </c>
      <c r="G1301">
        <v>6</v>
      </c>
      <c r="H1301">
        <v>3</v>
      </c>
      <c r="I1301">
        <v>0.01</v>
      </c>
      <c r="J1301">
        <v>7</v>
      </c>
      <c r="K1301">
        <v>0</v>
      </c>
      <c r="L1301" s="4">
        <v>0.70585794482685627</v>
      </c>
      <c r="M1301" s="4">
        <v>0.29414205517314368</v>
      </c>
      <c r="N1301">
        <v>3</v>
      </c>
    </row>
    <row r="1302" spans="1:14" x14ac:dyDescent="0.35">
      <c r="A1302" s="1">
        <v>2607</v>
      </c>
      <c r="B1302">
        <v>6</v>
      </c>
      <c r="C1302">
        <v>36</v>
      </c>
      <c r="D1302">
        <v>1</v>
      </c>
      <c r="E1302">
        <v>0</v>
      </c>
      <c r="F1302">
        <v>2</v>
      </c>
      <c r="G1302">
        <v>0</v>
      </c>
      <c r="H1302">
        <v>2</v>
      </c>
      <c r="I1302">
        <v>600</v>
      </c>
      <c r="J1302">
        <v>10</v>
      </c>
      <c r="K1302">
        <v>1</v>
      </c>
      <c r="L1302" s="4">
        <v>0.70608232544398108</v>
      </c>
      <c r="M1302" s="4">
        <v>0.29391767455601892</v>
      </c>
      <c r="N1302">
        <v>3</v>
      </c>
    </row>
    <row r="1303" spans="1:14" x14ac:dyDescent="0.35">
      <c r="A1303" s="1">
        <v>3750</v>
      </c>
      <c r="B1303">
        <v>12</v>
      </c>
      <c r="C1303">
        <v>54</v>
      </c>
      <c r="D1303">
        <v>4</v>
      </c>
      <c r="E1303">
        <v>1</v>
      </c>
      <c r="F1303">
        <v>0</v>
      </c>
      <c r="G1303">
        <v>11</v>
      </c>
      <c r="H1303">
        <v>2</v>
      </c>
      <c r="I1303">
        <v>420</v>
      </c>
      <c r="J1303">
        <v>9</v>
      </c>
      <c r="K1303">
        <v>0</v>
      </c>
      <c r="L1303" s="4">
        <v>0.70614877403129883</v>
      </c>
      <c r="M1303" s="4">
        <v>0.29385122596870111</v>
      </c>
      <c r="N1303">
        <v>3</v>
      </c>
    </row>
    <row r="1304" spans="1:14" x14ac:dyDescent="0.35">
      <c r="A1304" s="1">
        <v>1768</v>
      </c>
      <c r="B1304">
        <v>10</v>
      </c>
      <c r="C1304">
        <v>51</v>
      </c>
      <c r="D1304">
        <v>2</v>
      </c>
      <c r="E1304">
        <v>0</v>
      </c>
      <c r="F1304">
        <v>3</v>
      </c>
      <c r="G1304">
        <v>3</v>
      </c>
      <c r="H1304">
        <v>2</v>
      </c>
      <c r="I1304">
        <v>500</v>
      </c>
      <c r="J1304">
        <v>9</v>
      </c>
      <c r="K1304">
        <v>0</v>
      </c>
      <c r="L1304" s="4">
        <v>0.70616142272030169</v>
      </c>
      <c r="M1304" s="4">
        <v>0.29383857727969831</v>
      </c>
      <c r="N1304">
        <v>3</v>
      </c>
    </row>
    <row r="1305" spans="1:14" x14ac:dyDescent="0.35">
      <c r="A1305" s="1">
        <v>1182</v>
      </c>
      <c r="B1305">
        <v>11</v>
      </c>
      <c r="C1305">
        <v>44</v>
      </c>
      <c r="D1305">
        <v>5</v>
      </c>
      <c r="E1305">
        <v>2</v>
      </c>
      <c r="F1305">
        <v>1</v>
      </c>
      <c r="G1305">
        <v>12</v>
      </c>
      <c r="H1305">
        <v>2</v>
      </c>
      <c r="I1305">
        <v>50</v>
      </c>
      <c r="J1305">
        <v>7</v>
      </c>
      <c r="K1305">
        <v>0</v>
      </c>
      <c r="L1305" s="4">
        <v>0.70632267540013371</v>
      </c>
      <c r="M1305" s="4">
        <v>0.29367732459986629</v>
      </c>
      <c r="N1305">
        <v>3</v>
      </c>
    </row>
    <row r="1306" spans="1:14" x14ac:dyDescent="0.35">
      <c r="A1306" s="1">
        <v>2505</v>
      </c>
      <c r="B1306">
        <v>13</v>
      </c>
      <c r="C1306">
        <v>57</v>
      </c>
      <c r="D1306">
        <v>3</v>
      </c>
      <c r="E1306">
        <v>1</v>
      </c>
      <c r="F1306">
        <v>3</v>
      </c>
      <c r="G1306">
        <v>3</v>
      </c>
      <c r="H1306">
        <v>3</v>
      </c>
      <c r="I1306">
        <v>0.01</v>
      </c>
      <c r="J1306">
        <v>5</v>
      </c>
      <c r="K1306">
        <v>1</v>
      </c>
      <c r="L1306" s="4">
        <v>0.70649912136293214</v>
      </c>
      <c r="M1306" s="4">
        <v>0.29350087863706781</v>
      </c>
      <c r="N1306">
        <v>3</v>
      </c>
    </row>
    <row r="1307" spans="1:14" x14ac:dyDescent="0.35">
      <c r="A1307" s="1">
        <v>3414</v>
      </c>
      <c r="B1307">
        <v>6</v>
      </c>
      <c r="C1307">
        <v>37</v>
      </c>
      <c r="D1307">
        <v>1</v>
      </c>
      <c r="E1307">
        <v>0</v>
      </c>
      <c r="F1307">
        <v>3</v>
      </c>
      <c r="G1307">
        <v>3</v>
      </c>
      <c r="H1307">
        <v>0</v>
      </c>
      <c r="I1307">
        <v>13000</v>
      </c>
      <c r="J1307">
        <v>6</v>
      </c>
      <c r="K1307">
        <v>1</v>
      </c>
      <c r="L1307" s="4">
        <v>0.70653967382216498</v>
      </c>
      <c r="M1307" s="4">
        <v>0.29346032617783502</v>
      </c>
      <c r="N1307">
        <v>3</v>
      </c>
    </row>
    <row r="1308" spans="1:14" x14ac:dyDescent="0.35">
      <c r="A1308" s="1">
        <v>2998</v>
      </c>
      <c r="B1308">
        <v>6</v>
      </c>
      <c r="C1308">
        <v>34</v>
      </c>
      <c r="D1308">
        <v>2</v>
      </c>
      <c r="E1308">
        <v>0</v>
      </c>
      <c r="F1308">
        <v>3</v>
      </c>
      <c r="G1308">
        <v>3</v>
      </c>
      <c r="H1308">
        <v>3</v>
      </c>
      <c r="I1308">
        <v>0.01</v>
      </c>
      <c r="J1308">
        <v>5</v>
      </c>
      <c r="K1308">
        <v>0</v>
      </c>
      <c r="L1308" s="4">
        <v>0.70654941073501809</v>
      </c>
      <c r="M1308" s="4">
        <v>0.29345058926498191</v>
      </c>
      <c r="N1308">
        <v>3</v>
      </c>
    </row>
    <row r="1309" spans="1:14" x14ac:dyDescent="0.35">
      <c r="A1309" s="1">
        <v>4292</v>
      </c>
      <c r="B1309">
        <v>7</v>
      </c>
      <c r="C1309">
        <v>34</v>
      </c>
      <c r="D1309">
        <v>5</v>
      </c>
      <c r="E1309">
        <v>1</v>
      </c>
      <c r="F1309">
        <v>0</v>
      </c>
      <c r="G1309">
        <v>4</v>
      </c>
      <c r="H1309">
        <v>2</v>
      </c>
      <c r="I1309">
        <v>900</v>
      </c>
      <c r="J1309">
        <v>9</v>
      </c>
      <c r="K1309">
        <v>0</v>
      </c>
      <c r="L1309" s="4">
        <v>0.70660747616194253</v>
      </c>
      <c r="M1309" s="4">
        <v>0.29339252383805747</v>
      </c>
      <c r="N1309">
        <v>3</v>
      </c>
    </row>
    <row r="1310" spans="1:14" x14ac:dyDescent="0.35">
      <c r="A1310" s="1">
        <v>1643</v>
      </c>
      <c r="B1310">
        <v>10</v>
      </c>
      <c r="C1310">
        <v>47</v>
      </c>
      <c r="D1310">
        <v>0</v>
      </c>
      <c r="E1310">
        <v>1</v>
      </c>
      <c r="F1310">
        <v>3</v>
      </c>
      <c r="G1310">
        <v>3</v>
      </c>
      <c r="H1310">
        <v>2</v>
      </c>
      <c r="I1310">
        <v>50.01</v>
      </c>
      <c r="J1310">
        <v>8</v>
      </c>
      <c r="K1310">
        <v>0</v>
      </c>
      <c r="L1310" s="4">
        <v>0.70702924147538715</v>
      </c>
      <c r="M1310" s="4">
        <v>0.29297075852461291</v>
      </c>
      <c r="N1310">
        <v>3</v>
      </c>
    </row>
    <row r="1311" spans="1:14" x14ac:dyDescent="0.35">
      <c r="A1311" s="1">
        <v>668</v>
      </c>
      <c r="B1311">
        <v>6</v>
      </c>
      <c r="C1311">
        <v>35</v>
      </c>
      <c r="D1311">
        <v>0</v>
      </c>
      <c r="E1311">
        <v>0</v>
      </c>
      <c r="F1311">
        <v>3</v>
      </c>
      <c r="G1311">
        <v>3</v>
      </c>
      <c r="H1311">
        <v>3</v>
      </c>
      <c r="I1311">
        <v>0.01</v>
      </c>
      <c r="J1311">
        <v>8</v>
      </c>
      <c r="K1311">
        <v>0</v>
      </c>
      <c r="L1311" s="4">
        <v>0.70731876220558143</v>
      </c>
      <c r="M1311" s="4">
        <v>0.29268123779441862</v>
      </c>
      <c r="N1311">
        <v>3</v>
      </c>
    </row>
    <row r="1312" spans="1:14" x14ac:dyDescent="0.35">
      <c r="A1312" s="1">
        <v>1789</v>
      </c>
      <c r="B1312">
        <v>8</v>
      </c>
      <c r="C1312">
        <v>41</v>
      </c>
      <c r="D1312">
        <v>5</v>
      </c>
      <c r="E1312">
        <v>0</v>
      </c>
      <c r="F1312">
        <v>1</v>
      </c>
      <c r="G1312">
        <v>12</v>
      </c>
      <c r="H1312">
        <v>3</v>
      </c>
      <c r="I1312">
        <v>0.01</v>
      </c>
      <c r="J1312">
        <v>5</v>
      </c>
      <c r="K1312">
        <v>0</v>
      </c>
      <c r="L1312" s="4">
        <v>0.70763592441542156</v>
      </c>
      <c r="M1312" s="4">
        <v>0.29236407558457839</v>
      </c>
      <c r="N1312">
        <v>3</v>
      </c>
    </row>
    <row r="1313" spans="1:14" x14ac:dyDescent="0.35">
      <c r="A1313" s="1">
        <v>3906</v>
      </c>
      <c r="B1313">
        <v>12</v>
      </c>
      <c r="C1313">
        <v>57</v>
      </c>
      <c r="D1313">
        <v>1</v>
      </c>
      <c r="E1313">
        <v>1</v>
      </c>
      <c r="F1313">
        <v>0</v>
      </c>
      <c r="G1313">
        <v>11</v>
      </c>
      <c r="H1313">
        <v>0</v>
      </c>
      <c r="I1313">
        <v>6000</v>
      </c>
      <c r="J1313">
        <v>5</v>
      </c>
      <c r="K1313">
        <v>0</v>
      </c>
      <c r="L1313" s="4">
        <v>0.70816581858190353</v>
      </c>
      <c r="M1313" s="4">
        <v>0.29183418141809653</v>
      </c>
      <c r="N1313">
        <v>3</v>
      </c>
    </row>
    <row r="1314" spans="1:14" x14ac:dyDescent="0.35">
      <c r="A1314" s="1">
        <v>816</v>
      </c>
      <c r="B1314">
        <v>11</v>
      </c>
      <c r="C1314">
        <v>50</v>
      </c>
      <c r="D1314">
        <v>1</v>
      </c>
      <c r="E1314">
        <v>1</v>
      </c>
      <c r="F1314">
        <v>3</v>
      </c>
      <c r="G1314">
        <v>3</v>
      </c>
      <c r="H1314">
        <v>3</v>
      </c>
      <c r="I1314">
        <v>0.01</v>
      </c>
      <c r="J1314">
        <v>8</v>
      </c>
      <c r="K1314">
        <v>0</v>
      </c>
      <c r="L1314" s="4">
        <v>0.70851822096294625</v>
      </c>
      <c r="M1314" s="4">
        <v>0.29148177903705369</v>
      </c>
      <c r="N1314">
        <v>3</v>
      </c>
    </row>
    <row r="1315" spans="1:14" x14ac:dyDescent="0.35">
      <c r="A1315" s="1">
        <v>4420</v>
      </c>
      <c r="B1315">
        <v>13</v>
      </c>
      <c r="C1315">
        <v>59</v>
      </c>
      <c r="D1315">
        <v>2</v>
      </c>
      <c r="E1315">
        <v>1</v>
      </c>
      <c r="F1315">
        <v>0</v>
      </c>
      <c r="G1315">
        <v>4</v>
      </c>
      <c r="H1315">
        <v>3</v>
      </c>
      <c r="I1315">
        <v>0.01</v>
      </c>
      <c r="J1315">
        <v>8</v>
      </c>
      <c r="K1315">
        <v>0</v>
      </c>
      <c r="L1315" s="4">
        <v>0.70865201393781296</v>
      </c>
      <c r="M1315" s="4">
        <v>0.29134798606218698</v>
      </c>
      <c r="N1315">
        <v>3</v>
      </c>
    </row>
    <row r="1316" spans="1:14" x14ac:dyDescent="0.35">
      <c r="A1316" s="1">
        <v>369</v>
      </c>
      <c r="B1316">
        <v>8</v>
      </c>
      <c r="C1316">
        <v>46</v>
      </c>
      <c r="D1316">
        <v>1</v>
      </c>
      <c r="E1316">
        <v>0</v>
      </c>
      <c r="F1316">
        <v>2</v>
      </c>
      <c r="G1316">
        <v>0</v>
      </c>
      <c r="H1316">
        <v>0</v>
      </c>
      <c r="I1316">
        <v>12053.35</v>
      </c>
      <c r="J1316">
        <v>6</v>
      </c>
      <c r="K1316">
        <v>0</v>
      </c>
      <c r="L1316" s="4">
        <v>0.70876618119993573</v>
      </c>
      <c r="M1316" s="4">
        <v>0.29123381880006421</v>
      </c>
      <c r="N1316">
        <v>3</v>
      </c>
    </row>
    <row r="1317" spans="1:14" x14ac:dyDescent="0.35">
      <c r="A1317" s="1">
        <v>1100</v>
      </c>
      <c r="B1317">
        <v>11</v>
      </c>
      <c r="C1317">
        <v>54</v>
      </c>
      <c r="D1317">
        <v>3</v>
      </c>
      <c r="E1317">
        <v>0</v>
      </c>
      <c r="F1317">
        <v>3</v>
      </c>
      <c r="G1317">
        <v>3</v>
      </c>
      <c r="H1317">
        <v>3</v>
      </c>
      <c r="I1317">
        <v>0.01</v>
      </c>
      <c r="J1317">
        <v>5</v>
      </c>
      <c r="K1317">
        <v>0</v>
      </c>
      <c r="L1317" s="4">
        <v>0.708864920910108</v>
      </c>
      <c r="M1317" s="4">
        <v>0.291135079089892</v>
      </c>
      <c r="N1317">
        <v>3</v>
      </c>
    </row>
    <row r="1318" spans="1:14" x14ac:dyDescent="0.35">
      <c r="A1318" s="1">
        <v>1961</v>
      </c>
      <c r="B1318">
        <v>10</v>
      </c>
      <c r="C1318">
        <v>52</v>
      </c>
      <c r="D1318">
        <v>4</v>
      </c>
      <c r="E1318">
        <v>0</v>
      </c>
      <c r="F1318">
        <v>3</v>
      </c>
      <c r="G1318">
        <v>3</v>
      </c>
      <c r="H1318">
        <v>0</v>
      </c>
      <c r="I1318">
        <v>5044.0600000000004</v>
      </c>
      <c r="J1318">
        <v>11</v>
      </c>
      <c r="K1318">
        <v>0</v>
      </c>
      <c r="L1318" s="4">
        <v>0.70923620882560212</v>
      </c>
      <c r="M1318" s="4">
        <v>0.29076379117439788</v>
      </c>
      <c r="N1318">
        <v>3</v>
      </c>
    </row>
    <row r="1319" spans="1:14" x14ac:dyDescent="0.35">
      <c r="A1319" s="1">
        <v>1541</v>
      </c>
      <c r="B1319">
        <v>7</v>
      </c>
      <c r="C1319">
        <v>41</v>
      </c>
      <c r="D1319">
        <v>1</v>
      </c>
      <c r="E1319">
        <v>0</v>
      </c>
      <c r="F1319">
        <v>3</v>
      </c>
      <c r="G1319">
        <v>3</v>
      </c>
      <c r="H1319">
        <v>0</v>
      </c>
      <c r="I1319">
        <v>6000</v>
      </c>
      <c r="J1319">
        <v>2</v>
      </c>
      <c r="K1319">
        <v>0</v>
      </c>
      <c r="L1319" s="4">
        <v>0.70930976106085775</v>
      </c>
      <c r="M1319" s="4">
        <v>0.29069023893914231</v>
      </c>
      <c r="N1319">
        <v>3</v>
      </c>
    </row>
    <row r="1320" spans="1:14" x14ac:dyDescent="0.35">
      <c r="A1320" s="1">
        <v>2843</v>
      </c>
      <c r="B1320">
        <v>5</v>
      </c>
      <c r="C1320">
        <v>31</v>
      </c>
      <c r="D1320">
        <v>2</v>
      </c>
      <c r="E1320">
        <v>0</v>
      </c>
      <c r="F1320">
        <v>0</v>
      </c>
      <c r="G1320">
        <v>10</v>
      </c>
      <c r="H1320">
        <v>3</v>
      </c>
      <c r="I1320">
        <v>0.01</v>
      </c>
      <c r="J1320">
        <v>6</v>
      </c>
      <c r="K1320">
        <v>0</v>
      </c>
      <c r="L1320" s="4">
        <v>0.70966265160675335</v>
      </c>
      <c r="M1320" s="4">
        <v>0.29033734839324671</v>
      </c>
      <c r="N1320">
        <v>3</v>
      </c>
    </row>
    <row r="1321" spans="1:14" x14ac:dyDescent="0.35">
      <c r="A1321" s="1">
        <v>2331</v>
      </c>
      <c r="B1321">
        <v>6</v>
      </c>
      <c r="C1321">
        <v>35</v>
      </c>
      <c r="D1321">
        <v>5</v>
      </c>
      <c r="E1321">
        <v>0</v>
      </c>
      <c r="F1321">
        <v>0</v>
      </c>
      <c r="G1321">
        <v>4</v>
      </c>
      <c r="H1321">
        <v>2</v>
      </c>
      <c r="I1321">
        <v>600</v>
      </c>
      <c r="J1321">
        <v>4</v>
      </c>
      <c r="K1321">
        <v>0</v>
      </c>
      <c r="L1321" s="4">
        <v>0.70977410307247601</v>
      </c>
      <c r="M1321" s="4">
        <v>0.29022589692752399</v>
      </c>
      <c r="N1321">
        <v>3</v>
      </c>
    </row>
    <row r="1322" spans="1:14" x14ac:dyDescent="0.35">
      <c r="A1322" s="1">
        <v>3380</v>
      </c>
      <c r="B1322">
        <v>11</v>
      </c>
      <c r="C1322">
        <v>52</v>
      </c>
      <c r="D1322">
        <v>2</v>
      </c>
      <c r="E1322">
        <v>1</v>
      </c>
      <c r="F1322">
        <v>3</v>
      </c>
      <c r="G1322">
        <v>3</v>
      </c>
      <c r="H1322">
        <v>0</v>
      </c>
      <c r="I1322">
        <v>6000.01</v>
      </c>
      <c r="J1322">
        <v>7</v>
      </c>
      <c r="K1322">
        <v>1</v>
      </c>
      <c r="L1322" s="4">
        <v>0.70980382366173067</v>
      </c>
      <c r="M1322" s="4">
        <v>0.29019617633826927</v>
      </c>
      <c r="N1322">
        <v>3</v>
      </c>
    </row>
    <row r="1323" spans="1:14" x14ac:dyDescent="0.35">
      <c r="A1323" s="1">
        <v>2415</v>
      </c>
      <c r="B1323">
        <v>10</v>
      </c>
      <c r="C1323">
        <v>51</v>
      </c>
      <c r="D1323">
        <v>4</v>
      </c>
      <c r="E1323">
        <v>0</v>
      </c>
      <c r="F1323">
        <v>0</v>
      </c>
      <c r="G1323">
        <v>11</v>
      </c>
      <c r="H1323">
        <v>2</v>
      </c>
      <c r="I1323">
        <v>2400</v>
      </c>
      <c r="J1323">
        <v>1</v>
      </c>
      <c r="K1323">
        <v>0</v>
      </c>
      <c r="L1323" s="4">
        <v>0.7099783444148583</v>
      </c>
      <c r="M1323" s="4">
        <v>0.2900216555851417</v>
      </c>
      <c r="N1323">
        <v>3</v>
      </c>
    </row>
    <row r="1324" spans="1:14" x14ac:dyDescent="0.35">
      <c r="A1324" s="1">
        <v>612</v>
      </c>
      <c r="B1324">
        <v>8</v>
      </c>
      <c r="C1324">
        <v>43</v>
      </c>
      <c r="D1324">
        <v>2</v>
      </c>
      <c r="E1324">
        <v>0</v>
      </c>
      <c r="F1324">
        <v>1</v>
      </c>
      <c r="G1324">
        <v>7</v>
      </c>
      <c r="H1324">
        <v>3</v>
      </c>
      <c r="I1324">
        <v>0.01</v>
      </c>
      <c r="J1324">
        <v>7</v>
      </c>
      <c r="K1324">
        <v>0</v>
      </c>
      <c r="L1324" s="4">
        <v>0.70999345676394587</v>
      </c>
      <c r="M1324" s="4">
        <v>0.29000654323605418</v>
      </c>
      <c r="N1324">
        <v>3</v>
      </c>
    </row>
    <row r="1325" spans="1:14" x14ac:dyDescent="0.35">
      <c r="A1325" s="1">
        <v>4001</v>
      </c>
      <c r="B1325">
        <v>12</v>
      </c>
      <c r="C1325">
        <v>58</v>
      </c>
      <c r="D1325">
        <v>3</v>
      </c>
      <c r="E1325">
        <v>0</v>
      </c>
      <c r="F1325">
        <v>4</v>
      </c>
      <c r="G1325">
        <v>9</v>
      </c>
      <c r="H1325">
        <v>2</v>
      </c>
      <c r="I1325">
        <v>250</v>
      </c>
      <c r="J1325">
        <v>10</v>
      </c>
      <c r="K1325">
        <v>0</v>
      </c>
      <c r="L1325" s="4">
        <v>0.71041035548070219</v>
      </c>
      <c r="M1325" s="4">
        <v>0.28958964451929792</v>
      </c>
      <c r="N1325">
        <v>3</v>
      </c>
    </row>
    <row r="1326" spans="1:14" x14ac:dyDescent="0.35">
      <c r="A1326" s="1">
        <v>2200</v>
      </c>
      <c r="B1326">
        <v>11</v>
      </c>
      <c r="C1326">
        <v>57</v>
      </c>
      <c r="D1326">
        <v>5</v>
      </c>
      <c r="E1326">
        <v>0</v>
      </c>
      <c r="F1326">
        <v>0</v>
      </c>
      <c r="G1326">
        <v>4</v>
      </c>
      <c r="H1326">
        <v>0</v>
      </c>
      <c r="I1326">
        <v>10000</v>
      </c>
      <c r="J1326">
        <v>3</v>
      </c>
      <c r="K1326">
        <v>0</v>
      </c>
      <c r="L1326" s="4">
        <v>0.71046476147954907</v>
      </c>
      <c r="M1326" s="4">
        <v>0.28953523852045088</v>
      </c>
      <c r="N1326">
        <v>3</v>
      </c>
    </row>
    <row r="1327" spans="1:14" x14ac:dyDescent="0.35">
      <c r="A1327" s="1">
        <v>4262</v>
      </c>
      <c r="B1327">
        <v>10</v>
      </c>
      <c r="C1327">
        <v>51</v>
      </c>
      <c r="D1327">
        <v>5</v>
      </c>
      <c r="E1327">
        <v>0</v>
      </c>
      <c r="F1327">
        <v>3</v>
      </c>
      <c r="G1327">
        <v>8</v>
      </c>
      <c r="H1327">
        <v>1</v>
      </c>
      <c r="I1327">
        <v>25000</v>
      </c>
      <c r="J1327">
        <v>10</v>
      </c>
      <c r="K1327">
        <v>0</v>
      </c>
      <c r="L1327" s="4">
        <v>0.71061979163668387</v>
      </c>
      <c r="M1327" s="4">
        <v>0.28938020836331613</v>
      </c>
      <c r="N1327">
        <v>3</v>
      </c>
    </row>
    <row r="1328" spans="1:14" x14ac:dyDescent="0.35">
      <c r="A1328" s="1">
        <v>52</v>
      </c>
      <c r="B1328">
        <v>12</v>
      </c>
      <c r="C1328">
        <v>49</v>
      </c>
      <c r="D1328">
        <v>5</v>
      </c>
      <c r="E1328">
        <v>2</v>
      </c>
      <c r="F1328">
        <v>0</v>
      </c>
      <c r="G1328">
        <v>2</v>
      </c>
      <c r="H1328">
        <v>3</v>
      </c>
      <c r="I1328">
        <v>0.01</v>
      </c>
      <c r="J1328">
        <v>4</v>
      </c>
      <c r="K1328">
        <v>0</v>
      </c>
      <c r="L1328" s="4">
        <v>0.71082007413621429</v>
      </c>
      <c r="M1328" s="4">
        <v>0.28917992586378582</v>
      </c>
      <c r="N1328">
        <v>3</v>
      </c>
    </row>
    <row r="1329" spans="1:14" x14ac:dyDescent="0.35">
      <c r="A1329" s="1">
        <v>1122</v>
      </c>
      <c r="B1329">
        <v>9</v>
      </c>
      <c r="C1329">
        <v>46</v>
      </c>
      <c r="D1329">
        <v>5</v>
      </c>
      <c r="E1329">
        <v>0</v>
      </c>
      <c r="F1329">
        <v>3</v>
      </c>
      <c r="G1329">
        <v>3</v>
      </c>
      <c r="H1329">
        <v>2</v>
      </c>
      <c r="I1329">
        <v>5000</v>
      </c>
      <c r="J1329">
        <v>2</v>
      </c>
      <c r="K1329">
        <v>0</v>
      </c>
      <c r="L1329" s="4">
        <v>0.71101395942575318</v>
      </c>
      <c r="M1329" s="4">
        <v>0.28898604057424693</v>
      </c>
      <c r="N1329">
        <v>3</v>
      </c>
    </row>
    <row r="1330" spans="1:14" x14ac:dyDescent="0.35">
      <c r="A1330" s="1">
        <v>2804</v>
      </c>
      <c r="B1330">
        <v>12</v>
      </c>
      <c r="C1330">
        <v>59</v>
      </c>
      <c r="D1330">
        <v>3</v>
      </c>
      <c r="E1330">
        <v>0</v>
      </c>
      <c r="F1330">
        <v>3</v>
      </c>
      <c r="G1330">
        <v>3</v>
      </c>
      <c r="H1330">
        <v>2</v>
      </c>
      <c r="I1330">
        <v>3000</v>
      </c>
      <c r="J1330">
        <v>3</v>
      </c>
      <c r="K1330">
        <v>0</v>
      </c>
      <c r="L1330" s="4">
        <v>0.71110453715275634</v>
      </c>
      <c r="M1330" s="4">
        <v>0.28889546284724371</v>
      </c>
      <c r="N1330">
        <v>3</v>
      </c>
    </row>
    <row r="1331" spans="1:14" x14ac:dyDescent="0.35">
      <c r="A1331" s="1">
        <v>3449</v>
      </c>
      <c r="B1331">
        <v>8</v>
      </c>
      <c r="C1331">
        <v>44</v>
      </c>
      <c r="D1331">
        <v>2</v>
      </c>
      <c r="E1331">
        <v>0</v>
      </c>
      <c r="F1331">
        <v>0</v>
      </c>
      <c r="G1331">
        <v>2</v>
      </c>
      <c r="H1331">
        <v>3</v>
      </c>
      <c r="I1331">
        <v>0.01</v>
      </c>
      <c r="J1331">
        <v>5</v>
      </c>
      <c r="K1331">
        <v>1</v>
      </c>
      <c r="L1331" s="4">
        <v>0.71140632405336701</v>
      </c>
      <c r="M1331" s="4">
        <v>0.28859367594663299</v>
      </c>
      <c r="N1331">
        <v>3</v>
      </c>
    </row>
    <row r="1332" spans="1:14" x14ac:dyDescent="0.35">
      <c r="A1332" s="1">
        <v>1422</v>
      </c>
      <c r="B1332">
        <v>10</v>
      </c>
      <c r="C1332">
        <v>51</v>
      </c>
      <c r="D1332">
        <v>3</v>
      </c>
      <c r="E1332">
        <v>0</v>
      </c>
      <c r="F1332">
        <v>1</v>
      </c>
      <c r="G1332">
        <v>12</v>
      </c>
      <c r="H1332">
        <v>2</v>
      </c>
      <c r="I1332">
        <v>2400</v>
      </c>
      <c r="J1332">
        <v>1</v>
      </c>
      <c r="K1332">
        <v>1</v>
      </c>
      <c r="L1332" s="4">
        <v>0.71154315155941439</v>
      </c>
      <c r="M1332" s="4">
        <v>0.28845684844058561</v>
      </c>
      <c r="N1332">
        <v>3</v>
      </c>
    </row>
    <row r="1333" spans="1:14" x14ac:dyDescent="0.35">
      <c r="A1333" s="1">
        <v>4302</v>
      </c>
      <c r="B1333">
        <v>10</v>
      </c>
      <c r="C1333">
        <v>50</v>
      </c>
      <c r="D1333">
        <v>5</v>
      </c>
      <c r="E1333">
        <v>0</v>
      </c>
      <c r="F1333">
        <v>1</v>
      </c>
      <c r="G1333">
        <v>7</v>
      </c>
      <c r="H1333">
        <v>3</v>
      </c>
      <c r="I1333">
        <v>0.01</v>
      </c>
      <c r="J1333">
        <v>9</v>
      </c>
      <c r="K1333">
        <v>0</v>
      </c>
      <c r="L1333" s="4">
        <v>0.71207280008371288</v>
      </c>
      <c r="M1333" s="4">
        <v>0.28792719991628712</v>
      </c>
      <c r="N1333">
        <v>3</v>
      </c>
    </row>
    <row r="1334" spans="1:14" x14ac:dyDescent="0.35">
      <c r="A1334" s="1">
        <v>2062</v>
      </c>
      <c r="B1334">
        <v>13</v>
      </c>
      <c r="C1334">
        <v>64</v>
      </c>
      <c r="D1334">
        <v>1</v>
      </c>
      <c r="E1334">
        <v>0</v>
      </c>
      <c r="F1334">
        <v>1</v>
      </c>
      <c r="G1334">
        <v>5</v>
      </c>
      <c r="H1334">
        <v>3</v>
      </c>
      <c r="I1334">
        <v>0.01</v>
      </c>
      <c r="J1334">
        <v>5</v>
      </c>
      <c r="K1334">
        <v>1</v>
      </c>
      <c r="L1334" s="4">
        <v>0.71212065744550246</v>
      </c>
      <c r="M1334" s="4">
        <v>0.28787934255449749</v>
      </c>
      <c r="N1334">
        <v>3</v>
      </c>
    </row>
    <row r="1335" spans="1:14" x14ac:dyDescent="0.35">
      <c r="A1335" s="1">
        <v>4041</v>
      </c>
      <c r="B1335">
        <v>11</v>
      </c>
      <c r="C1335">
        <v>57</v>
      </c>
      <c r="D1335">
        <v>2</v>
      </c>
      <c r="E1335">
        <v>0</v>
      </c>
      <c r="F1335">
        <v>3</v>
      </c>
      <c r="G1335">
        <v>8</v>
      </c>
      <c r="H1335">
        <v>0</v>
      </c>
      <c r="I1335">
        <v>15000</v>
      </c>
      <c r="J1335">
        <v>11</v>
      </c>
      <c r="K1335">
        <v>0</v>
      </c>
      <c r="L1335" s="4">
        <v>0.71251497544576969</v>
      </c>
      <c r="M1335" s="4">
        <v>0.28748502455423031</v>
      </c>
      <c r="N1335">
        <v>3</v>
      </c>
    </row>
    <row r="1336" spans="1:14" x14ac:dyDescent="0.35">
      <c r="A1336" s="1">
        <v>1614</v>
      </c>
      <c r="B1336">
        <v>9</v>
      </c>
      <c r="C1336">
        <v>41</v>
      </c>
      <c r="D1336">
        <v>5</v>
      </c>
      <c r="E1336">
        <v>1</v>
      </c>
      <c r="F1336">
        <v>1</v>
      </c>
      <c r="G1336">
        <v>7</v>
      </c>
      <c r="H1336">
        <v>3</v>
      </c>
      <c r="I1336">
        <v>0.01</v>
      </c>
      <c r="J1336">
        <v>5</v>
      </c>
      <c r="K1336">
        <v>0</v>
      </c>
      <c r="L1336" s="4">
        <v>0.71264021064131389</v>
      </c>
      <c r="M1336" s="4">
        <v>0.28735978935868611</v>
      </c>
      <c r="N1336">
        <v>3</v>
      </c>
    </row>
    <row r="1337" spans="1:14" x14ac:dyDescent="0.35">
      <c r="A1337" s="1">
        <v>666</v>
      </c>
      <c r="B1337">
        <v>10</v>
      </c>
      <c r="C1337">
        <v>45</v>
      </c>
      <c r="D1337">
        <v>3</v>
      </c>
      <c r="E1337">
        <v>1</v>
      </c>
      <c r="F1337">
        <v>3</v>
      </c>
      <c r="G1337">
        <v>8</v>
      </c>
      <c r="H1337">
        <v>3</v>
      </c>
      <c r="I1337">
        <v>0.01</v>
      </c>
      <c r="J1337">
        <v>10</v>
      </c>
      <c r="K1337">
        <v>0</v>
      </c>
      <c r="L1337" s="4">
        <v>0.71269895578917453</v>
      </c>
      <c r="M1337" s="4">
        <v>0.28730104421082547</v>
      </c>
      <c r="N1337">
        <v>4</v>
      </c>
    </row>
    <row r="1338" spans="1:14" x14ac:dyDescent="0.35">
      <c r="A1338" s="1">
        <v>3509</v>
      </c>
      <c r="B1338">
        <v>8</v>
      </c>
      <c r="C1338">
        <v>43</v>
      </c>
      <c r="D1338">
        <v>3</v>
      </c>
      <c r="E1338">
        <v>0</v>
      </c>
      <c r="F1338">
        <v>3</v>
      </c>
      <c r="G1338">
        <v>3</v>
      </c>
      <c r="H1338">
        <v>2</v>
      </c>
      <c r="I1338">
        <v>50</v>
      </c>
      <c r="J1338">
        <v>10</v>
      </c>
      <c r="K1338">
        <v>0</v>
      </c>
      <c r="L1338" s="4">
        <v>0.71271343908154594</v>
      </c>
      <c r="M1338" s="4">
        <v>0.28728656091845411</v>
      </c>
      <c r="N1338">
        <v>4</v>
      </c>
    </row>
    <row r="1339" spans="1:14" x14ac:dyDescent="0.35">
      <c r="A1339" s="1">
        <v>3527</v>
      </c>
      <c r="B1339">
        <v>12</v>
      </c>
      <c r="C1339">
        <v>56</v>
      </c>
      <c r="D1339">
        <v>4</v>
      </c>
      <c r="E1339">
        <v>1</v>
      </c>
      <c r="F1339">
        <v>0</v>
      </c>
      <c r="G1339">
        <v>11</v>
      </c>
      <c r="H1339">
        <v>0</v>
      </c>
      <c r="I1339">
        <v>6000</v>
      </c>
      <c r="J1339">
        <v>2</v>
      </c>
      <c r="K1339">
        <v>0</v>
      </c>
      <c r="L1339" s="4">
        <v>0.71281217210285863</v>
      </c>
      <c r="M1339" s="4">
        <v>0.28718782789714142</v>
      </c>
      <c r="N1339">
        <v>4</v>
      </c>
    </row>
    <row r="1340" spans="1:14" x14ac:dyDescent="0.35">
      <c r="A1340" s="1">
        <v>377</v>
      </c>
      <c r="B1340">
        <v>7</v>
      </c>
      <c r="C1340">
        <v>40</v>
      </c>
      <c r="D1340">
        <v>3</v>
      </c>
      <c r="E1340">
        <v>0</v>
      </c>
      <c r="F1340">
        <v>3</v>
      </c>
      <c r="G1340">
        <v>8</v>
      </c>
      <c r="H1340">
        <v>0</v>
      </c>
      <c r="I1340">
        <v>6000</v>
      </c>
      <c r="J1340">
        <v>4</v>
      </c>
      <c r="K1340">
        <v>0</v>
      </c>
      <c r="L1340" s="4">
        <v>0.71286561754509936</v>
      </c>
      <c r="M1340" s="4">
        <v>0.28713438245490058</v>
      </c>
      <c r="N1340">
        <v>4</v>
      </c>
    </row>
    <row r="1341" spans="1:14" x14ac:dyDescent="0.35">
      <c r="A1341" s="1">
        <v>1775</v>
      </c>
      <c r="B1341">
        <v>13</v>
      </c>
      <c r="C1341">
        <v>59</v>
      </c>
      <c r="D1341">
        <v>4</v>
      </c>
      <c r="E1341">
        <v>1</v>
      </c>
      <c r="F1341">
        <v>3</v>
      </c>
      <c r="G1341">
        <v>8</v>
      </c>
      <c r="H1341">
        <v>0</v>
      </c>
      <c r="I1341">
        <v>9000</v>
      </c>
      <c r="J1341">
        <v>2</v>
      </c>
      <c r="K1341">
        <v>0</v>
      </c>
      <c r="L1341" s="4">
        <v>0.71297114231576619</v>
      </c>
      <c r="M1341" s="4">
        <v>0.28702885768423381</v>
      </c>
      <c r="N1341">
        <v>4</v>
      </c>
    </row>
    <row r="1342" spans="1:14" x14ac:dyDescent="0.35">
      <c r="A1342" s="1">
        <v>1656</v>
      </c>
      <c r="B1342">
        <v>8</v>
      </c>
      <c r="C1342">
        <v>44</v>
      </c>
      <c r="D1342">
        <v>1</v>
      </c>
      <c r="E1342">
        <v>0</v>
      </c>
      <c r="F1342">
        <v>3</v>
      </c>
      <c r="G1342">
        <v>3</v>
      </c>
      <c r="H1342">
        <v>2</v>
      </c>
      <c r="I1342">
        <v>1000</v>
      </c>
      <c r="J1342">
        <v>11</v>
      </c>
      <c r="K1342">
        <v>1</v>
      </c>
      <c r="L1342" s="4">
        <v>0.71368562841019423</v>
      </c>
      <c r="M1342" s="4">
        <v>0.28631437158980572</v>
      </c>
      <c r="N1342">
        <v>4</v>
      </c>
    </row>
    <row r="1343" spans="1:14" x14ac:dyDescent="0.35">
      <c r="A1343" s="1">
        <v>532</v>
      </c>
      <c r="B1343">
        <v>9</v>
      </c>
      <c r="C1343">
        <v>46</v>
      </c>
      <c r="D1343">
        <v>5</v>
      </c>
      <c r="E1343">
        <v>0</v>
      </c>
      <c r="F1343">
        <v>1</v>
      </c>
      <c r="G1343">
        <v>7</v>
      </c>
      <c r="H1343">
        <v>3</v>
      </c>
      <c r="I1343">
        <v>0.01</v>
      </c>
      <c r="J1343">
        <v>5</v>
      </c>
      <c r="K1343">
        <v>0</v>
      </c>
      <c r="L1343" s="4">
        <v>0.7137433102663141</v>
      </c>
      <c r="M1343" s="4">
        <v>0.2862566897336859</v>
      </c>
      <c r="N1343">
        <v>4</v>
      </c>
    </row>
    <row r="1344" spans="1:14" x14ac:dyDescent="0.35">
      <c r="A1344" s="1">
        <v>1823</v>
      </c>
      <c r="B1344">
        <v>9</v>
      </c>
      <c r="C1344">
        <v>37</v>
      </c>
      <c r="D1344">
        <v>4</v>
      </c>
      <c r="E1344">
        <v>2</v>
      </c>
      <c r="F1344">
        <v>1</v>
      </c>
      <c r="G1344">
        <v>12</v>
      </c>
      <c r="H1344">
        <v>2</v>
      </c>
      <c r="I1344">
        <v>840</v>
      </c>
      <c r="J1344">
        <v>9</v>
      </c>
      <c r="K1344">
        <v>0</v>
      </c>
      <c r="L1344" s="4">
        <v>0.7137489681296294</v>
      </c>
      <c r="M1344" s="4">
        <v>0.2862510318703706</v>
      </c>
      <c r="N1344">
        <v>4</v>
      </c>
    </row>
    <row r="1345" spans="1:14" x14ac:dyDescent="0.35">
      <c r="A1345" s="1">
        <v>3304</v>
      </c>
      <c r="B1345">
        <v>6</v>
      </c>
      <c r="C1345">
        <v>36</v>
      </c>
      <c r="D1345">
        <v>4</v>
      </c>
      <c r="E1345">
        <v>0</v>
      </c>
      <c r="F1345">
        <v>3</v>
      </c>
      <c r="G1345">
        <v>3</v>
      </c>
      <c r="H1345">
        <v>0</v>
      </c>
      <c r="I1345">
        <v>6000</v>
      </c>
      <c r="J1345">
        <v>1</v>
      </c>
      <c r="K1345">
        <v>0</v>
      </c>
      <c r="L1345" s="4">
        <v>0.71403748243047649</v>
      </c>
      <c r="M1345" s="4">
        <v>0.28596251756952351</v>
      </c>
      <c r="N1345">
        <v>4</v>
      </c>
    </row>
    <row r="1346" spans="1:14" x14ac:dyDescent="0.35">
      <c r="A1346" s="1">
        <v>3769</v>
      </c>
      <c r="B1346">
        <v>8</v>
      </c>
      <c r="C1346">
        <v>45</v>
      </c>
      <c r="D1346">
        <v>2</v>
      </c>
      <c r="E1346">
        <v>0</v>
      </c>
      <c r="F1346">
        <v>3</v>
      </c>
      <c r="G1346">
        <v>3</v>
      </c>
      <c r="H1346">
        <v>0</v>
      </c>
      <c r="I1346">
        <v>6000</v>
      </c>
      <c r="J1346">
        <v>1</v>
      </c>
      <c r="K1346">
        <v>0</v>
      </c>
      <c r="L1346" s="4">
        <v>0.71434880421065616</v>
      </c>
      <c r="M1346" s="4">
        <v>0.28565119578934378</v>
      </c>
      <c r="N1346">
        <v>4</v>
      </c>
    </row>
    <row r="1347" spans="1:14" x14ac:dyDescent="0.35">
      <c r="A1347" s="1">
        <v>156</v>
      </c>
      <c r="B1347">
        <v>9</v>
      </c>
      <c r="C1347">
        <v>51</v>
      </c>
      <c r="D1347">
        <v>1</v>
      </c>
      <c r="E1347">
        <v>0</v>
      </c>
      <c r="F1347">
        <v>0</v>
      </c>
      <c r="G1347">
        <v>4</v>
      </c>
      <c r="H1347">
        <v>0</v>
      </c>
      <c r="I1347">
        <v>6026.67</v>
      </c>
      <c r="J1347">
        <v>9</v>
      </c>
      <c r="K1347">
        <v>1</v>
      </c>
      <c r="L1347" s="4">
        <v>0.71453545196930035</v>
      </c>
      <c r="M1347" s="4">
        <v>0.28546454803069971</v>
      </c>
      <c r="N1347">
        <v>4</v>
      </c>
    </row>
    <row r="1348" spans="1:14" x14ac:dyDescent="0.35">
      <c r="A1348" s="1">
        <v>3950</v>
      </c>
      <c r="B1348">
        <v>11</v>
      </c>
      <c r="C1348">
        <v>56</v>
      </c>
      <c r="D1348">
        <v>1</v>
      </c>
      <c r="E1348">
        <v>0</v>
      </c>
      <c r="F1348">
        <v>0</v>
      </c>
      <c r="G1348">
        <v>11</v>
      </c>
      <c r="H1348">
        <v>3</v>
      </c>
      <c r="I1348">
        <v>0.01</v>
      </c>
      <c r="J1348">
        <v>4</v>
      </c>
      <c r="K1348">
        <v>1</v>
      </c>
      <c r="L1348" s="4">
        <v>0.71454191878209927</v>
      </c>
      <c r="M1348" s="4">
        <v>0.28545808121790073</v>
      </c>
      <c r="N1348">
        <v>4</v>
      </c>
    </row>
    <row r="1349" spans="1:14" x14ac:dyDescent="0.35">
      <c r="A1349" s="1">
        <v>2570</v>
      </c>
      <c r="B1349">
        <v>12</v>
      </c>
      <c r="C1349">
        <v>62</v>
      </c>
      <c r="D1349">
        <v>2</v>
      </c>
      <c r="E1349">
        <v>0</v>
      </c>
      <c r="F1349">
        <v>0</v>
      </c>
      <c r="G1349">
        <v>11</v>
      </c>
      <c r="H1349">
        <v>0</v>
      </c>
      <c r="I1349">
        <v>6053.34</v>
      </c>
      <c r="J1349">
        <v>4</v>
      </c>
      <c r="K1349">
        <v>0</v>
      </c>
      <c r="L1349" s="4">
        <v>0.71491717153598888</v>
      </c>
      <c r="M1349" s="4">
        <v>0.28508282846401112</v>
      </c>
      <c r="N1349">
        <v>4</v>
      </c>
    </row>
    <row r="1350" spans="1:14" x14ac:dyDescent="0.35">
      <c r="A1350" s="1">
        <v>2058</v>
      </c>
      <c r="B1350">
        <v>10</v>
      </c>
      <c r="C1350">
        <v>47</v>
      </c>
      <c r="D1350">
        <v>3</v>
      </c>
      <c r="E1350">
        <v>1</v>
      </c>
      <c r="F1350">
        <v>2</v>
      </c>
      <c r="G1350">
        <v>1</v>
      </c>
      <c r="H1350">
        <v>2</v>
      </c>
      <c r="I1350">
        <v>3000</v>
      </c>
      <c r="J1350">
        <v>5</v>
      </c>
      <c r="K1350">
        <v>0</v>
      </c>
      <c r="L1350" s="4">
        <v>0.71496162583974621</v>
      </c>
      <c r="M1350" s="4">
        <v>0.28503837416025368</v>
      </c>
      <c r="N1350">
        <v>4</v>
      </c>
    </row>
    <row r="1351" spans="1:14" x14ac:dyDescent="0.35">
      <c r="A1351" s="1">
        <v>2247</v>
      </c>
      <c r="B1351">
        <v>11</v>
      </c>
      <c r="C1351">
        <v>46</v>
      </c>
      <c r="D1351">
        <v>3</v>
      </c>
      <c r="E1351">
        <v>2</v>
      </c>
      <c r="F1351">
        <v>0</v>
      </c>
      <c r="G1351">
        <v>4</v>
      </c>
      <c r="H1351">
        <v>3</v>
      </c>
      <c r="I1351">
        <v>0.01</v>
      </c>
      <c r="J1351">
        <v>5</v>
      </c>
      <c r="K1351">
        <v>0</v>
      </c>
      <c r="L1351" s="4">
        <v>0.71497170371043528</v>
      </c>
      <c r="M1351" s="4">
        <v>0.28502829628956478</v>
      </c>
      <c r="N1351">
        <v>4</v>
      </c>
    </row>
    <row r="1352" spans="1:14" x14ac:dyDescent="0.35">
      <c r="A1352" s="1">
        <v>2834</v>
      </c>
      <c r="B1352">
        <v>8</v>
      </c>
      <c r="C1352">
        <v>42</v>
      </c>
      <c r="D1352">
        <v>0</v>
      </c>
      <c r="E1352">
        <v>1</v>
      </c>
      <c r="F1352">
        <v>0</v>
      </c>
      <c r="G1352">
        <v>11</v>
      </c>
      <c r="H1352">
        <v>0</v>
      </c>
      <c r="I1352">
        <v>12034.35</v>
      </c>
      <c r="J1352">
        <v>7</v>
      </c>
      <c r="K1352">
        <v>1</v>
      </c>
      <c r="L1352" s="4">
        <v>0.71507423031445227</v>
      </c>
      <c r="M1352" s="4">
        <v>0.28492576968554773</v>
      </c>
      <c r="N1352">
        <v>4</v>
      </c>
    </row>
    <row r="1353" spans="1:14" x14ac:dyDescent="0.35">
      <c r="A1353" s="1">
        <v>1299</v>
      </c>
      <c r="B1353">
        <v>10</v>
      </c>
      <c r="C1353">
        <v>53</v>
      </c>
      <c r="D1353">
        <v>3</v>
      </c>
      <c r="E1353">
        <v>0</v>
      </c>
      <c r="F1353">
        <v>3</v>
      </c>
      <c r="G1353">
        <v>3</v>
      </c>
      <c r="H1353">
        <v>0</v>
      </c>
      <c r="I1353">
        <v>11053.35</v>
      </c>
      <c r="J1353">
        <v>7</v>
      </c>
      <c r="K1353">
        <v>0</v>
      </c>
      <c r="L1353" s="4">
        <v>0.71524711256685869</v>
      </c>
      <c r="M1353" s="4">
        <v>0.28475288743314131</v>
      </c>
      <c r="N1353">
        <v>4</v>
      </c>
    </row>
    <row r="1354" spans="1:14" x14ac:dyDescent="0.35">
      <c r="A1354" s="1">
        <v>3141</v>
      </c>
      <c r="B1354">
        <v>10</v>
      </c>
      <c r="C1354">
        <v>52</v>
      </c>
      <c r="D1354">
        <v>3</v>
      </c>
      <c r="E1354">
        <v>0</v>
      </c>
      <c r="F1354">
        <v>0</v>
      </c>
      <c r="G1354">
        <v>11</v>
      </c>
      <c r="H1354">
        <v>2</v>
      </c>
      <c r="I1354">
        <v>4000</v>
      </c>
      <c r="J1354">
        <v>5</v>
      </c>
      <c r="K1354">
        <v>0</v>
      </c>
      <c r="L1354" s="4">
        <v>0.71533374967133678</v>
      </c>
      <c r="M1354" s="4">
        <v>0.28466625032866322</v>
      </c>
      <c r="N1354">
        <v>4</v>
      </c>
    </row>
    <row r="1355" spans="1:14" x14ac:dyDescent="0.35">
      <c r="A1355" s="1">
        <v>1303</v>
      </c>
      <c r="B1355">
        <v>5</v>
      </c>
      <c r="C1355">
        <v>32</v>
      </c>
      <c r="D1355">
        <v>2</v>
      </c>
      <c r="E1355">
        <v>0</v>
      </c>
      <c r="F1355">
        <v>1</v>
      </c>
      <c r="G1355">
        <v>7</v>
      </c>
      <c r="H1355">
        <v>2</v>
      </c>
      <c r="I1355">
        <v>840</v>
      </c>
      <c r="J1355">
        <v>5</v>
      </c>
      <c r="K1355">
        <v>0</v>
      </c>
      <c r="L1355" s="4">
        <v>0.71540799586253112</v>
      </c>
      <c r="M1355" s="4">
        <v>0.28459200413746888</v>
      </c>
      <c r="N1355">
        <v>4</v>
      </c>
    </row>
    <row r="1356" spans="1:14" x14ac:dyDescent="0.35">
      <c r="A1356" s="1">
        <v>1441</v>
      </c>
      <c r="B1356">
        <v>10</v>
      </c>
      <c r="C1356">
        <v>51</v>
      </c>
      <c r="D1356">
        <v>2</v>
      </c>
      <c r="E1356">
        <v>0</v>
      </c>
      <c r="F1356">
        <v>3</v>
      </c>
      <c r="G1356">
        <v>3</v>
      </c>
      <c r="H1356">
        <v>3</v>
      </c>
      <c r="I1356">
        <v>0.01</v>
      </c>
      <c r="J1356">
        <v>8</v>
      </c>
      <c r="K1356">
        <v>0</v>
      </c>
      <c r="L1356" s="4">
        <v>0.7156357508647766</v>
      </c>
      <c r="M1356" s="4">
        <v>0.2843642491352234</v>
      </c>
      <c r="N1356">
        <v>4</v>
      </c>
    </row>
    <row r="1357" spans="1:14" x14ac:dyDescent="0.35">
      <c r="A1357" s="1">
        <v>4312</v>
      </c>
      <c r="B1357">
        <v>9</v>
      </c>
      <c r="C1357">
        <v>41</v>
      </c>
      <c r="D1357">
        <v>2</v>
      </c>
      <c r="E1357">
        <v>1</v>
      </c>
      <c r="F1357">
        <v>4</v>
      </c>
      <c r="G1357">
        <v>9</v>
      </c>
      <c r="H1357">
        <v>3</v>
      </c>
      <c r="I1357">
        <v>0.01</v>
      </c>
      <c r="J1357">
        <v>5</v>
      </c>
      <c r="K1357">
        <v>0</v>
      </c>
      <c r="L1357" s="4">
        <v>0.71617917457898739</v>
      </c>
      <c r="M1357" s="4">
        <v>0.28382082542101261</v>
      </c>
      <c r="N1357">
        <v>4</v>
      </c>
    </row>
    <row r="1358" spans="1:14" x14ac:dyDescent="0.35">
      <c r="A1358" s="1">
        <v>3225</v>
      </c>
      <c r="B1358">
        <v>4</v>
      </c>
      <c r="C1358">
        <v>28</v>
      </c>
      <c r="D1358">
        <v>4</v>
      </c>
      <c r="E1358">
        <v>0</v>
      </c>
      <c r="F1358">
        <v>0</v>
      </c>
      <c r="G1358">
        <v>4</v>
      </c>
      <c r="H1358">
        <v>2</v>
      </c>
      <c r="I1358">
        <v>3000</v>
      </c>
      <c r="J1358">
        <v>7</v>
      </c>
      <c r="K1358">
        <v>0</v>
      </c>
      <c r="L1358" s="4">
        <v>0.71636053202092387</v>
      </c>
      <c r="M1358" s="4">
        <v>0.28363946797907608</v>
      </c>
      <c r="N1358">
        <v>4</v>
      </c>
    </row>
    <row r="1359" spans="1:14" x14ac:dyDescent="0.35">
      <c r="A1359" s="1">
        <v>3434</v>
      </c>
      <c r="B1359">
        <v>12</v>
      </c>
      <c r="C1359">
        <v>62</v>
      </c>
      <c r="D1359">
        <v>4</v>
      </c>
      <c r="E1359">
        <v>0</v>
      </c>
      <c r="F1359">
        <v>0</v>
      </c>
      <c r="G1359">
        <v>2</v>
      </c>
      <c r="H1359">
        <v>0</v>
      </c>
      <c r="I1359">
        <v>6000</v>
      </c>
      <c r="J1359">
        <v>1</v>
      </c>
      <c r="K1359">
        <v>0</v>
      </c>
      <c r="L1359" s="4">
        <v>0.71637034335163241</v>
      </c>
      <c r="M1359" s="4">
        <v>0.28362965664836759</v>
      </c>
      <c r="N1359">
        <v>4</v>
      </c>
    </row>
    <row r="1360" spans="1:14" x14ac:dyDescent="0.35">
      <c r="A1360" s="1">
        <v>1805</v>
      </c>
      <c r="B1360">
        <v>10</v>
      </c>
      <c r="C1360">
        <v>51</v>
      </c>
      <c r="D1360">
        <v>2</v>
      </c>
      <c r="E1360">
        <v>0</v>
      </c>
      <c r="F1360">
        <v>3</v>
      </c>
      <c r="G1360">
        <v>3</v>
      </c>
      <c r="H1360">
        <v>3</v>
      </c>
      <c r="I1360">
        <v>0.01</v>
      </c>
      <c r="J1360">
        <v>5</v>
      </c>
      <c r="K1360">
        <v>1</v>
      </c>
      <c r="L1360" s="4">
        <v>0.71641963227703809</v>
      </c>
      <c r="M1360" s="4">
        <v>0.28358036772296191</v>
      </c>
      <c r="N1360">
        <v>4</v>
      </c>
    </row>
    <row r="1361" spans="1:14" x14ac:dyDescent="0.35">
      <c r="A1361" s="1">
        <v>3803</v>
      </c>
      <c r="B1361">
        <v>9</v>
      </c>
      <c r="C1361">
        <v>50</v>
      </c>
      <c r="D1361">
        <v>3</v>
      </c>
      <c r="E1361">
        <v>0</v>
      </c>
      <c r="F1361">
        <v>1</v>
      </c>
      <c r="G1361">
        <v>5</v>
      </c>
      <c r="H1361">
        <v>0</v>
      </c>
      <c r="I1361">
        <v>20000</v>
      </c>
      <c r="J1361">
        <v>4</v>
      </c>
      <c r="K1361">
        <v>0</v>
      </c>
      <c r="L1361" s="4">
        <v>0.71662288088622439</v>
      </c>
      <c r="M1361" s="4">
        <v>0.28337711911377561</v>
      </c>
      <c r="N1361">
        <v>4</v>
      </c>
    </row>
    <row r="1362" spans="1:14" x14ac:dyDescent="0.35">
      <c r="A1362" s="1">
        <v>2999</v>
      </c>
      <c r="B1362">
        <v>12</v>
      </c>
      <c r="C1362">
        <v>59</v>
      </c>
      <c r="D1362">
        <v>4</v>
      </c>
      <c r="E1362">
        <v>0</v>
      </c>
      <c r="F1362">
        <v>3</v>
      </c>
      <c r="G1362">
        <v>3</v>
      </c>
      <c r="H1362">
        <v>2</v>
      </c>
      <c r="I1362">
        <v>3000</v>
      </c>
      <c r="J1362">
        <v>2</v>
      </c>
      <c r="K1362">
        <v>1</v>
      </c>
      <c r="L1362" s="4">
        <v>0.71673880769133169</v>
      </c>
      <c r="M1362" s="4">
        <v>0.28326119230866842</v>
      </c>
      <c r="N1362">
        <v>4</v>
      </c>
    </row>
    <row r="1363" spans="1:14" x14ac:dyDescent="0.35">
      <c r="A1363" s="1">
        <v>104</v>
      </c>
      <c r="B1363">
        <v>14</v>
      </c>
      <c r="C1363">
        <v>70</v>
      </c>
      <c r="D1363">
        <v>1</v>
      </c>
      <c r="E1363">
        <v>0</v>
      </c>
      <c r="F1363">
        <v>3</v>
      </c>
      <c r="G1363">
        <v>3</v>
      </c>
      <c r="H1363">
        <v>0</v>
      </c>
      <c r="I1363">
        <v>6000</v>
      </c>
      <c r="J1363">
        <v>2</v>
      </c>
      <c r="K1363">
        <v>0</v>
      </c>
      <c r="L1363" s="4">
        <v>0.71728938035594392</v>
      </c>
      <c r="M1363" s="4">
        <v>0.28271061964405608</v>
      </c>
      <c r="N1363">
        <v>4</v>
      </c>
    </row>
    <row r="1364" spans="1:14" x14ac:dyDescent="0.35">
      <c r="A1364" s="1">
        <v>3775</v>
      </c>
      <c r="B1364">
        <v>11</v>
      </c>
      <c r="C1364">
        <v>59</v>
      </c>
      <c r="D1364">
        <v>0</v>
      </c>
      <c r="E1364">
        <v>0</v>
      </c>
      <c r="F1364">
        <v>1</v>
      </c>
      <c r="G1364">
        <v>7</v>
      </c>
      <c r="H1364">
        <v>0</v>
      </c>
      <c r="I1364">
        <v>8500</v>
      </c>
      <c r="J1364">
        <v>5</v>
      </c>
      <c r="K1364">
        <v>0</v>
      </c>
      <c r="L1364" s="4">
        <v>0.71732212154670549</v>
      </c>
      <c r="M1364" s="4">
        <v>0.28267787845329451</v>
      </c>
      <c r="N1364">
        <v>4</v>
      </c>
    </row>
    <row r="1365" spans="1:14" x14ac:dyDescent="0.35">
      <c r="A1365" s="1">
        <v>3448</v>
      </c>
      <c r="B1365">
        <v>14</v>
      </c>
      <c r="C1365">
        <v>65</v>
      </c>
      <c r="D1365">
        <v>2</v>
      </c>
      <c r="E1365">
        <v>1</v>
      </c>
      <c r="F1365">
        <v>3</v>
      </c>
      <c r="G1365">
        <v>3</v>
      </c>
      <c r="H1365">
        <v>0</v>
      </c>
      <c r="I1365">
        <v>11693.35</v>
      </c>
      <c r="J1365">
        <v>11</v>
      </c>
      <c r="K1365">
        <v>0</v>
      </c>
      <c r="L1365" s="4">
        <v>0.71732399961049387</v>
      </c>
      <c r="M1365" s="4">
        <v>0.28267600038950619</v>
      </c>
      <c r="N1365">
        <v>4</v>
      </c>
    </row>
    <row r="1366" spans="1:14" x14ac:dyDescent="0.35">
      <c r="A1366" s="1">
        <v>3655</v>
      </c>
      <c r="B1366">
        <v>8</v>
      </c>
      <c r="C1366">
        <v>43</v>
      </c>
      <c r="D1366">
        <v>5</v>
      </c>
      <c r="E1366">
        <v>0</v>
      </c>
      <c r="F1366">
        <v>0</v>
      </c>
      <c r="G1366">
        <v>4</v>
      </c>
      <c r="H1366">
        <v>3</v>
      </c>
      <c r="I1366">
        <v>0.01</v>
      </c>
      <c r="J1366">
        <v>5</v>
      </c>
      <c r="K1366">
        <v>0</v>
      </c>
      <c r="L1366" s="4">
        <v>0.71746804204398029</v>
      </c>
      <c r="M1366" s="4">
        <v>0.28253195795601971</v>
      </c>
      <c r="N1366">
        <v>4</v>
      </c>
    </row>
    <row r="1367" spans="1:14" x14ac:dyDescent="0.35">
      <c r="A1367" s="1">
        <v>3897</v>
      </c>
      <c r="B1367">
        <v>6</v>
      </c>
      <c r="C1367">
        <v>30</v>
      </c>
      <c r="D1367">
        <v>5</v>
      </c>
      <c r="E1367">
        <v>1</v>
      </c>
      <c r="F1367">
        <v>2</v>
      </c>
      <c r="G1367">
        <v>1</v>
      </c>
      <c r="H1367">
        <v>2</v>
      </c>
      <c r="I1367">
        <v>600</v>
      </c>
      <c r="J1367">
        <v>1</v>
      </c>
      <c r="K1367">
        <v>0</v>
      </c>
      <c r="L1367" s="4">
        <v>0.71770997926467017</v>
      </c>
      <c r="M1367" s="4">
        <v>0.28229002073532988</v>
      </c>
      <c r="N1367">
        <v>4</v>
      </c>
    </row>
    <row r="1368" spans="1:14" x14ac:dyDescent="0.35">
      <c r="A1368" s="1">
        <v>1022</v>
      </c>
      <c r="B1368">
        <v>10</v>
      </c>
      <c r="C1368">
        <v>52</v>
      </c>
      <c r="D1368">
        <v>3</v>
      </c>
      <c r="E1368">
        <v>0</v>
      </c>
      <c r="F1368">
        <v>0</v>
      </c>
      <c r="G1368">
        <v>4</v>
      </c>
      <c r="H1368">
        <v>3</v>
      </c>
      <c r="I1368">
        <v>0.01</v>
      </c>
      <c r="J1368">
        <v>5</v>
      </c>
      <c r="K1368">
        <v>1</v>
      </c>
      <c r="L1368" s="4">
        <v>0.71777710521199267</v>
      </c>
      <c r="M1368" s="4">
        <v>0.28222289478800727</v>
      </c>
      <c r="N1368">
        <v>4</v>
      </c>
    </row>
    <row r="1369" spans="1:14" x14ac:dyDescent="0.35">
      <c r="A1369" s="1">
        <v>4003</v>
      </c>
      <c r="B1369">
        <v>9</v>
      </c>
      <c r="C1369">
        <v>43</v>
      </c>
      <c r="D1369">
        <v>2</v>
      </c>
      <c r="E1369">
        <v>1</v>
      </c>
      <c r="F1369">
        <v>3</v>
      </c>
      <c r="G1369">
        <v>3</v>
      </c>
      <c r="H1369">
        <v>2</v>
      </c>
      <c r="I1369">
        <v>1100</v>
      </c>
      <c r="J1369">
        <v>8</v>
      </c>
      <c r="K1369">
        <v>1</v>
      </c>
      <c r="L1369" s="4">
        <v>0.71807523712145338</v>
      </c>
      <c r="M1369" s="4">
        <v>0.28192476287854662</v>
      </c>
      <c r="N1369">
        <v>4</v>
      </c>
    </row>
    <row r="1370" spans="1:14" x14ac:dyDescent="0.35">
      <c r="A1370" s="1">
        <v>718</v>
      </c>
      <c r="B1370">
        <v>10</v>
      </c>
      <c r="C1370">
        <v>53</v>
      </c>
      <c r="D1370">
        <v>1</v>
      </c>
      <c r="E1370">
        <v>0</v>
      </c>
      <c r="F1370">
        <v>1</v>
      </c>
      <c r="G1370">
        <v>7</v>
      </c>
      <c r="H1370">
        <v>2</v>
      </c>
      <c r="I1370">
        <v>4000</v>
      </c>
      <c r="J1370">
        <v>5</v>
      </c>
      <c r="K1370">
        <v>0</v>
      </c>
      <c r="L1370" s="4">
        <v>0.71818316902587243</v>
      </c>
      <c r="M1370" s="4">
        <v>0.28181683097412757</v>
      </c>
      <c r="N1370">
        <v>4</v>
      </c>
    </row>
    <row r="1371" spans="1:14" x14ac:dyDescent="0.35">
      <c r="A1371" s="1">
        <v>1513</v>
      </c>
      <c r="B1371">
        <v>12</v>
      </c>
      <c r="C1371">
        <v>62</v>
      </c>
      <c r="D1371">
        <v>1</v>
      </c>
      <c r="E1371">
        <v>0</v>
      </c>
      <c r="F1371">
        <v>3</v>
      </c>
      <c r="G1371">
        <v>3</v>
      </c>
      <c r="H1371">
        <v>0</v>
      </c>
      <c r="I1371">
        <v>6000</v>
      </c>
      <c r="J1371">
        <v>3</v>
      </c>
      <c r="K1371">
        <v>1</v>
      </c>
      <c r="L1371" s="4">
        <v>0.71825331906480983</v>
      </c>
      <c r="M1371" s="4">
        <v>0.28174668093519017</v>
      </c>
      <c r="N1371">
        <v>4</v>
      </c>
    </row>
    <row r="1372" spans="1:14" x14ac:dyDescent="0.35">
      <c r="A1372" s="1">
        <v>1922</v>
      </c>
      <c r="B1372">
        <v>7</v>
      </c>
      <c r="C1372">
        <v>39</v>
      </c>
      <c r="D1372">
        <v>5</v>
      </c>
      <c r="E1372">
        <v>0</v>
      </c>
      <c r="F1372">
        <v>0</v>
      </c>
      <c r="G1372">
        <v>4</v>
      </c>
      <c r="H1372">
        <v>3</v>
      </c>
      <c r="I1372">
        <v>0.01</v>
      </c>
      <c r="J1372">
        <v>4</v>
      </c>
      <c r="K1372">
        <v>1</v>
      </c>
      <c r="L1372" s="4">
        <v>0.71834024492759441</v>
      </c>
      <c r="M1372" s="4">
        <v>0.28165975507240559</v>
      </c>
      <c r="N1372">
        <v>4</v>
      </c>
    </row>
    <row r="1373" spans="1:14" x14ac:dyDescent="0.35">
      <c r="A1373" s="1">
        <v>1847</v>
      </c>
      <c r="B1373">
        <v>8</v>
      </c>
      <c r="C1373">
        <v>43</v>
      </c>
      <c r="D1373">
        <v>4</v>
      </c>
      <c r="E1373">
        <v>0</v>
      </c>
      <c r="F1373">
        <v>3</v>
      </c>
      <c r="G1373">
        <v>3</v>
      </c>
      <c r="H1373">
        <v>2</v>
      </c>
      <c r="I1373">
        <v>100.01</v>
      </c>
      <c r="J1373">
        <v>8</v>
      </c>
      <c r="K1373">
        <v>0</v>
      </c>
      <c r="L1373" s="4">
        <v>0.71857240234236119</v>
      </c>
      <c r="M1373" s="4">
        <v>0.28142759765763881</v>
      </c>
      <c r="N1373">
        <v>4</v>
      </c>
    </row>
    <row r="1374" spans="1:14" x14ac:dyDescent="0.35">
      <c r="A1374" s="1">
        <v>80</v>
      </c>
      <c r="B1374">
        <v>11</v>
      </c>
      <c r="C1374">
        <v>49</v>
      </c>
      <c r="D1374">
        <v>5</v>
      </c>
      <c r="E1374">
        <v>1</v>
      </c>
      <c r="F1374">
        <v>3</v>
      </c>
      <c r="G1374">
        <v>3</v>
      </c>
      <c r="H1374">
        <v>3</v>
      </c>
      <c r="I1374">
        <v>0.01</v>
      </c>
      <c r="J1374">
        <v>4</v>
      </c>
      <c r="K1374">
        <v>0</v>
      </c>
      <c r="L1374" s="4">
        <v>0.71877125884559179</v>
      </c>
      <c r="M1374" s="4">
        <v>0.28122874115440821</v>
      </c>
      <c r="N1374">
        <v>4</v>
      </c>
    </row>
    <row r="1375" spans="1:14" x14ac:dyDescent="0.35">
      <c r="A1375" s="1">
        <v>2203</v>
      </c>
      <c r="B1375">
        <v>10</v>
      </c>
      <c r="C1375">
        <v>51</v>
      </c>
      <c r="D1375">
        <v>4</v>
      </c>
      <c r="E1375">
        <v>0</v>
      </c>
      <c r="F1375">
        <v>1</v>
      </c>
      <c r="G1375">
        <v>7</v>
      </c>
      <c r="H1375">
        <v>3</v>
      </c>
      <c r="I1375">
        <v>0.01</v>
      </c>
      <c r="J1375">
        <v>8</v>
      </c>
      <c r="K1375">
        <v>1</v>
      </c>
      <c r="L1375" s="4">
        <v>0.71922662888524069</v>
      </c>
      <c r="M1375" s="4">
        <v>0.28077337111475931</v>
      </c>
      <c r="N1375">
        <v>4</v>
      </c>
    </row>
    <row r="1376" spans="1:14" x14ac:dyDescent="0.35">
      <c r="A1376" s="1">
        <v>715</v>
      </c>
      <c r="B1376">
        <v>10</v>
      </c>
      <c r="C1376">
        <v>53</v>
      </c>
      <c r="D1376">
        <v>1</v>
      </c>
      <c r="E1376">
        <v>0</v>
      </c>
      <c r="F1376">
        <v>0</v>
      </c>
      <c r="G1376">
        <v>4</v>
      </c>
      <c r="H1376">
        <v>3</v>
      </c>
      <c r="I1376">
        <v>0.01</v>
      </c>
      <c r="J1376">
        <v>5</v>
      </c>
      <c r="K1376">
        <v>0</v>
      </c>
      <c r="L1376" s="4">
        <v>0.71930778168050269</v>
      </c>
      <c r="M1376" s="4">
        <v>0.28069221831949731</v>
      </c>
      <c r="N1376">
        <v>4</v>
      </c>
    </row>
    <row r="1377" spans="1:14" x14ac:dyDescent="0.35">
      <c r="A1377" s="1">
        <v>3366</v>
      </c>
      <c r="B1377">
        <v>7</v>
      </c>
      <c r="C1377">
        <v>36</v>
      </c>
      <c r="D1377">
        <v>3</v>
      </c>
      <c r="E1377">
        <v>1</v>
      </c>
      <c r="F1377">
        <v>0</v>
      </c>
      <c r="G1377">
        <v>2</v>
      </c>
      <c r="H1377">
        <v>2</v>
      </c>
      <c r="I1377">
        <v>1200</v>
      </c>
      <c r="J1377">
        <v>4</v>
      </c>
      <c r="K1377">
        <v>0</v>
      </c>
      <c r="L1377" s="4">
        <v>0.71943670683671701</v>
      </c>
      <c r="M1377" s="4">
        <v>0.28056329316328299</v>
      </c>
      <c r="N1377">
        <v>4</v>
      </c>
    </row>
    <row r="1378" spans="1:14" x14ac:dyDescent="0.35">
      <c r="A1378" s="1">
        <v>998</v>
      </c>
      <c r="B1378">
        <v>7</v>
      </c>
      <c r="C1378">
        <v>41</v>
      </c>
      <c r="D1378">
        <v>3</v>
      </c>
      <c r="E1378">
        <v>0</v>
      </c>
      <c r="F1378">
        <v>0</v>
      </c>
      <c r="G1378">
        <v>2</v>
      </c>
      <c r="H1378">
        <v>2</v>
      </c>
      <c r="I1378">
        <v>500</v>
      </c>
      <c r="J1378">
        <v>8</v>
      </c>
      <c r="K1378">
        <v>0</v>
      </c>
      <c r="L1378" s="4">
        <v>0.71971526573081934</v>
      </c>
      <c r="M1378" s="4">
        <v>0.28028473426918071</v>
      </c>
      <c r="N1378">
        <v>4</v>
      </c>
    </row>
    <row r="1379" spans="1:14" x14ac:dyDescent="0.35">
      <c r="A1379" s="1">
        <v>2693</v>
      </c>
      <c r="B1379">
        <v>7</v>
      </c>
      <c r="C1379">
        <v>41</v>
      </c>
      <c r="D1379">
        <v>2</v>
      </c>
      <c r="E1379">
        <v>0</v>
      </c>
      <c r="F1379">
        <v>3</v>
      </c>
      <c r="G1379">
        <v>8</v>
      </c>
      <c r="H1379">
        <v>0</v>
      </c>
      <c r="I1379">
        <v>6000</v>
      </c>
      <c r="J1379">
        <v>4</v>
      </c>
      <c r="K1379">
        <v>1</v>
      </c>
      <c r="L1379" s="4">
        <v>0.71974835641115209</v>
      </c>
      <c r="M1379" s="4">
        <v>0.28025164358884791</v>
      </c>
      <c r="N1379">
        <v>4</v>
      </c>
    </row>
    <row r="1380" spans="1:14" x14ac:dyDescent="0.35">
      <c r="A1380" s="1">
        <v>1838</v>
      </c>
      <c r="B1380">
        <v>9</v>
      </c>
      <c r="C1380">
        <v>48</v>
      </c>
      <c r="D1380">
        <v>2</v>
      </c>
      <c r="E1380">
        <v>0</v>
      </c>
      <c r="F1380">
        <v>3</v>
      </c>
      <c r="G1380">
        <v>3</v>
      </c>
      <c r="H1380">
        <v>2</v>
      </c>
      <c r="I1380">
        <v>4000</v>
      </c>
      <c r="J1380">
        <v>2</v>
      </c>
      <c r="K1380">
        <v>0</v>
      </c>
      <c r="L1380" s="4">
        <v>0.7197788114744974</v>
      </c>
      <c r="M1380" s="4">
        <v>0.28022118852550248</v>
      </c>
      <c r="N1380">
        <v>4</v>
      </c>
    </row>
    <row r="1381" spans="1:14" x14ac:dyDescent="0.35">
      <c r="A1381" s="1">
        <v>3602</v>
      </c>
      <c r="B1381">
        <v>11</v>
      </c>
      <c r="C1381">
        <v>51</v>
      </c>
      <c r="D1381">
        <v>3</v>
      </c>
      <c r="E1381">
        <v>1</v>
      </c>
      <c r="F1381">
        <v>1</v>
      </c>
      <c r="G1381">
        <v>12</v>
      </c>
      <c r="H1381">
        <v>2</v>
      </c>
      <c r="I1381">
        <v>3000</v>
      </c>
      <c r="J1381">
        <v>8</v>
      </c>
      <c r="K1381">
        <v>0</v>
      </c>
      <c r="L1381" s="4">
        <v>0.72004552117148646</v>
      </c>
      <c r="M1381" s="4">
        <v>0.27995447882851349</v>
      </c>
      <c r="N1381">
        <v>4</v>
      </c>
    </row>
    <row r="1382" spans="1:14" x14ac:dyDescent="0.35">
      <c r="A1382" s="1">
        <v>2794</v>
      </c>
      <c r="B1382">
        <v>10</v>
      </c>
      <c r="C1382">
        <v>53</v>
      </c>
      <c r="D1382">
        <v>2</v>
      </c>
      <c r="E1382">
        <v>0</v>
      </c>
      <c r="F1382">
        <v>0</v>
      </c>
      <c r="G1382">
        <v>10</v>
      </c>
      <c r="H1382">
        <v>2</v>
      </c>
      <c r="I1382">
        <v>3200</v>
      </c>
      <c r="J1382">
        <v>8</v>
      </c>
      <c r="K1382">
        <v>0</v>
      </c>
      <c r="L1382" s="4">
        <v>0.72056124343151873</v>
      </c>
      <c r="M1382" s="4">
        <v>0.27943875656848122</v>
      </c>
      <c r="N1382">
        <v>4</v>
      </c>
    </row>
    <row r="1383" spans="1:14" x14ac:dyDescent="0.35">
      <c r="A1383" s="1">
        <v>127</v>
      </c>
      <c r="B1383">
        <v>13</v>
      </c>
      <c r="C1383">
        <v>65</v>
      </c>
      <c r="D1383">
        <v>1</v>
      </c>
      <c r="E1383">
        <v>0</v>
      </c>
      <c r="F1383">
        <v>4</v>
      </c>
      <c r="G1383">
        <v>9</v>
      </c>
      <c r="H1383">
        <v>1</v>
      </c>
      <c r="I1383">
        <v>21000</v>
      </c>
      <c r="J1383">
        <v>8</v>
      </c>
      <c r="K1383">
        <v>0</v>
      </c>
      <c r="L1383" s="4">
        <v>0.72059148526736605</v>
      </c>
      <c r="M1383" s="4">
        <v>0.27940851473263401</v>
      </c>
      <c r="N1383">
        <v>4</v>
      </c>
    </row>
    <row r="1384" spans="1:14" x14ac:dyDescent="0.35">
      <c r="A1384" s="1">
        <v>4260</v>
      </c>
      <c r="B1384">
        <v>6</v>
      </c>
      <c r="C1384">
        <v>34</v>
      </c>
      <c r="D1384">
        <v>2</v>
      </c>
      <c r="E1384">
        <v>1</v>
      </c>
      <c r="F1384">
        <v>0</v>
      </c>
      <c r="G1384">
        <v>4</v>
      </c>
      <c r="H1384">
        <v>0</v>
      </c>
      <c r="I1384">
        <v>12000</v>
      </c>
      <c r="J1384">
        <v>1</v>
      </c>
      <c r="K1384">
        <v>1</v>
      </c>
      <c r="L1384" s="4">
        <v>0.72074209410480883</v>
      </c>
      <c r="M1384" s="4">
        <v>0.27925790589519123</v>
      </c>
      <c r="N1384">
        <v>4</v>
      </c>
    </row>
    <row r="1385" spans="1:14" x14ac:dyDescent="0.35">
      <c r="A1385" s="1">
        <v>4045</v>
      </c>
      <c r="B1385">
        <v>9</v>
      </c>
      <c r="C1385">
        <v>48</v>
      </c>
      <c r="D1385">
        <v>2</v>
      </c>
      <c r="E1385">
        <v>0</v>
      </c>
      <c r="F1385">
        <v>0</v>
      </c>
      <c r="G1385">
        <v>11</v>
      </c>
      <c r="H1385">
        <v>3</v>
      </c>
      <c r="I1385">
        <v>0.01</v>
      </c>
      <c r="J1385">
        <v>5</v>
      </c>
      <c r="K1385">
        <v>0</v>
      </c>
      <c r="L1385" s="4">
        <v>0.720835020685336</v>
      </c>
      <c r="M1385" s="4">
        <v>0.27916497931466389</v>
      </c>
      <c r="N1385">
        <v>4</v>
      </c>
    </row>
    <row r="1386" spans="1:14" x14ac:dyDescent="0.35">
      <c r="A1386" s="1">
        <v>382</v>
      </c>
      <c r="B1386">
        <v>8</v>
      </c>
      <c r="C1386">
        <v>45</v>
      </c>
      <c r="D1386">
        <v>0</v>
      </c>
      <c r="E1386">
        <v>0</v>
      </c>
      <c r="F1386">
        <v>3</v>
      </c>
      <c r="G1386">
        <v>3</v>
      </c>
      <c r="H1386">
        <v>2</v>
      </c>
      <c r="I1386">
        <v>4000</v>
      </c>
      <c r="J1386">
        <v>5</v>
      </c>
      <c r="K1386">
        <v>0</v>
      </c>
      <c r="L1386" s="4">
        <v>0.72113527311280201</v>
      </c>
      <c r="M1386" s="4">
        <v>0.27886472688719799</v>
      </c>
      <c r="N1386">
        <v>4</v>
      </c>
    </row>
    <row r="1387" spans="1:14" x14ac:dyDescent="0.35">
      <c r="A1387" s="1">
        <v>3483</v>
      </c>
      <c r="B1387">
        <v>7</v>
      </c>
      <c r="C1387">
        <v>38</v>
      </c>
      <c r="D1387">
        <v>5</v>
      </c>
      <c r="E1387">
        <v>0</v>
      </c>
      <c r="F1387">
        <v>3</v>
      </c>
      <c r="G1387">
        <v>3</v>
      </c>
      <c r="H1387">
        <v>3</v>
      </c>
      <c r="I1387">
        <v>0.01</v>
      </c>
      <c r="J1387">
        <v>8</v>
      </c>
      <c r="K1387">
        <v>0</v>
      </c>
      <c r="L1387" s="4">
        <v>0.72125881795921964</v>
      </c>
      <c r="M1387" s="4">
        <v>0.27874118204078041</v>
      </c>
      <c r="N1387">
        <v>4</v>
      </c>
    </row>
    <row r="1388" spans="1:14" x14ac:dyDescent="0.35">
      <c r="A1388" s="1">
        <v>2703</v>
      </c>
      <c r="B1388">
        <v>13</v>
      </c>
      <c r="C1388">
        <v>64</v>
      </c>
      <c r="D1388">
        <v>3</v>
      </c>
      <c r="E1388">
        <v>0</v>
      </c>
      <c r="F1388">
        <v>3</v>
      </c>
      <c r="G1388">
        <v>3</v>
      </c>
      <c r="H1388">
        <v>2</v>
      </c>
      <c r="I1388">
        <v>4017.56</v>
      </c>
      <c r="J1388">
        <v>7</v>
      </c>
      <c r="K1388">
        <v>1</v>
      </c>
      <c r="L1388" s="4">
        <v>0.72134169577617857</v>
      </c>
      <c r="M1388" s="4">
        <v>0.27865830422382137</v>
      </c>
      <c r="N1388">
        <v>4</v>
      </c>
    </row>
    <row r="1389" spans="1:14" x14ac:dyDescent="0.35">
      <c r="A1389" s="1">
        <v>1797</v>
      </c>
      <c r="B1389">
        <v>8</v>
      </c>
      <c r="C1389">
        <v>42</v>
      </c>
      <c r="D1389">
        <v>5</v>
      </c>
      <c r="E1389">
        <v>0</v>
      </c>
      <c r="F1389">
        <v>3</v>
      </c>
      <c r="G1389">
        <v>3</v>
      </c>
      <c r="H1389">
        <v>3</v>
      </c>
      <c r="I1389">
        <v>0.01</v>
      </c>
      <c r="J1389">
        <v>5</v>
      </c>
      <c r="K1389">
        <v>0</v>
      </c>
      <c r="L1389" s="4">
        <v>0.72142634604429345</v>
      </c>
      <c r="M1389" s="4">
        <v>0.27857365395570649</v>
      </c>
      <c r="N1389">
        <v>4</v>
      </c>
    </row>
    <row r="1390" spans="1:14" x14ac:dyDescent="0.35">
      <c r="A1390" s="1">
        <v>1169</v>
      </c>
      <c r="B1390">
        <v>9</v>
      </c>
      <c r="C1390">
        <v>45</v>
      </c>
      <c r="D1390">
        <v>1</v>
      </c>
      <c r="E1390">
        <v>1</v>
      </c>
      <c r="F1390">
        <v>0</v>
      </c>
      <c r="G1390">
        <v>4</v>
      </c>
      <c r="H1390">
        <v>2</v>
      </c>
      <c r="I1390">
        <v>2000</v>
      </c>
      <c r="J1390">
        <v>5</v>
      </c>
      <c r="K1390">
        <v>0</v>
      </c>
      <c r="L1390" s="4">
        <v>0.72143668517264481</v>
      </c>
      <c r="M1390" s="4">
        <v>0.27856331482735508</v>
      </c>
      <c r="N1390">
        <v>4</v>
      </c>
    </row>
    <row r="1391" spans="1:14" x14ac:dyDescent="0.35">
      <c r="A1391" s="1">
        <v>1739</v>
      </c>
      <c r="B1391">
        <v>16</v>
      </c>
      <c r="C1391">
        <v>77</v>
      </c>
      <c r="D1391">
        <v>0</v>
      </c>
      <c r="E1391">
        <v>0</v>
      </c>
      <c r="F1391">
        <v>3</v>
      </c>
      <c r="G1391">
        <v>8</v>
      </c>
      <c r="H1391">
        <v>2</v>
      </c>
      <c r="I1391">
        <v>5000</v>
      </c>
      <c r="J1391">
        <v>5</v>
      </c>
      <c r="K1391">
        <v>0</v>
      </c>
      <c r="L1391" s="4">
        <v>0.72146940032744411</v>
      </c>
      <c r="M1391" s="4">
        <v>0.27853059967255589</v>
      </c>
      <c r="N1391">
        <v>4</v>
      </c>
    </row>
    <row r="1392" spans="1:14" x14ac:dyDescent="0.35">
      <c r="A1392" s="1">
        <v>643</v>
      </c>
      <c r="B1392">
        <v>9</v>
      </c>
      <c r="C1392">
        <v>42</v>
      </c>
      <c r="D1392">
        <v>5</v>
      </c>
      <c r="E1392">
        <v>1</v>
      </c>
      <c r="F1392">
        <v>3</v>
      </c>
      <c r="G1392">
        <v>3</v>
      </c>
      <c r="H1392">
        <v>2</v>
      </c>
      <c r="I1392">
        <v>300</v>
      </c>
      <c r="J1392">
        <v>9</v>
      </c>
      <c r="K1392">
        <v>0</v>
      </c>
      <c r="L1392" s="4">
        <v>0.72185301890486553</v>
      </c>
      <c r="M1392" s="4">
        <v>0.27814698109513453</v>
      </c>
      <c r="N1392">
        <v>4</v>
      </c>
    </row>
    <row r="1393" spans="1:14" x14ac:dyDescent="0.35">
      <c r="A1393" s="1">
        <v>1171</v>
      </c>
      <c r="B1393">
        <v>9</v>
      </c>
      <c r="C1393">
        <v>44</v>
      </c>
      <c r="D1393">
        <v>2</v>
      </c>
      <c r="E1393">
        <v>1</v>
      </c>
      <c r="F1393">
        <v>0</v>
      </c>
      <c r="G1393">
        <v>10</v>
      </c>
      <c r="H1393">
        <v>2</v>
      </c>
      <c r="I1393">
        <v>0.02</v>
      </c>
      <c r="J1393">
        <v>5</v>
      </c>
      <c r="K1393">
        <v>0</v>
      </c>
      <c r="L1393" s="4">
        <v>0.72189627105722598</v>
      </c>
      <c r="M1393" s="4">
        <v>0.27810372894277402</v>
      </c>
      <c r="N1393">
        <v>4</v>
      </c>
    </row>
    <row r="1394" spans="1:14" x14ac:dyDescent="0.35">
      <c r="A1394" s="1">
        <v>2381</v>
      </c>
      <c r="B1394">
        <v>10</v>
      </c>
      <c r="C1394">
        <v>50</v>
      </c>
      <c r="D1394">
        <v>5</v>
      </c>
      <c r="E1394">
        <v>0</v>
      </c>
      <c r="F1394">
        <v>4</v>
      </c>
      <c r="G1394">
        <v>9</v>
      </c>
      <c r="H1394">
        <v>2</v>
      </c>
      <c r="I1394">
        <v>3000</v>
      </c>
      <c r="J1394">
        <v>8</v>
      </c>
      <c r="K1394">
        <v>0</v>
      </c>
      <c r="L1394" s="4">
        <v>0.721952119645769</v>
      </c>
      <c r="M1394" s="4">
        <v>0.27804788035423111</v>
      </c>
      <c r="N1394">
        <v>4</v>
      </c>
    </row>
    <row r="1395" spans="1:14" x14ac:dyDescent="0.35">
      <c r="A1395" s="1">
        <v>3746</v>
      </c>
      <c r="B1395">
        <v>12</v>
      </c>
      <c r="C1395">
        <v>59</v>
      </c>
      <c r="D1395">
        <v>5</v>
      </c>
      <c r="E1395">
        <v>0</v>
      </c>
      <c r="F1395">
        <v>3</v>
      </c>
      <c r="G1395">
        <v>3</v>
      </c>
      <c r="H1395">
        <v>2</v>
      </c>
      <c r="I1395">
        <v>4000</v>
      </c>
      <c r="J1395">
        <v>1</v>
      </c>
      <c r="K1395">
        <v>0</v>
      </c>
      <c r="L1395" s="4">
        <v>0.72198280633076761</v>
      </c>
      <c r="M1395" s="4">
        <v>0.27801719366923239</v>
      </c>
      <c r="N1395">
        <v>4</v>
      </c>
    </row>
    <row r="1396" spans="1:14" x14ac:dyDescent="0.35">
      <c r="A1396" s="1">
        <v>4218</v>
      </c>
      <c r="B1396">
        <v>9</v>
      </c>
      <c r="C1396">
        <v>48</v>
      </c>
      <c r="D1396">
        <v>2</v>
      </c>
      <c r="E1396">
        <v>0</v>
      </c>
      <c r="F1396">
        <v>1</v>
      </c>
      <c r="G1396">
        <v>7</v>
      </c>
      <c r="H1396">
        <v>3</v>
      </c>
      <c r="I1396">
        <v>0.01</v>
      </c>
      <c r="J1396">
        <v>5</v>
      </c>
      <c r="K1396">
        <v>0</v>
      </c>
      <c r="L1396" s="4">
        <v>0.72213450491602316</v>
      </c>
      <c r="M1396" s="4">
        <v>0.27786549508397679</v>
      </c>
      <c r="N1396">
        <v>4</v>
      </c>
    </row>
    <row r="1397" spans="1:14" x14ac:dyDescent="0.35">
      <c r="A1397" s="1">
        <v>3828</v>
      </c>
      <c r="B1397">
        <v>11</v>
      </c>
      <c r="C1397">
        <v>55</v>
      </c>
      <c r="D1397">
        <v>5</v>
      </c>
      <c r="E1397">
        <v>0</v>
      </c>
      <c r="F1397">
        <v>3</v>
      </c>
      <c r="G1397">
        <v>3</v>
      </c>
      <c r="H1397">
        <v>2</v>
      </c>
      <c r="I1397">
        <v>2000</v>
      </c>
      <c r="J1397">
        <v>4</v>
      </c>
      <c r="K1397">
        <v>0</v>
      </c>
      <c r="L1397" s="4">
        <v>0.72246208927616973</v>
      </c>
      <c r="M1397" s="4">
        <v>0.27753791072383027</v>
      </c>
      <c r="N1397">
        <v>4</v>
      </c>
    </row>
    <row r="1398" spans="1:14" x14ac:dyDescent="0.35">
      <c r="A1398" s="1">
        <v>1005</v>
      </c>
      <c r="B1398">
        <v>9</v>
      </c>
      <c r="C1398">
        <v>38</v>
      </c>
      <c r="D1398">
        <v>3</v>
      </c>
      <c r="E1398">
        <v>2</v>
      </c>
      <c r="F1398">
        <v>0</v>
      </c>
      <c r="G1398">
        <v>11</v>
      </c>
      <c r="H1398">
        <v>3</v>
      </c>
      <c r="I1398">
        <v>0.01</v>
      </c>
      <c r="J1398">
        <v>10</v>
      </c>
      <c r="K1398">
        <v>0</v>
      </c>
      <c r="L1398" s="4">
        <v>0.72266084167604761</v>
      </c>
      <c r="M1398" s="4">
        <v>0.27733915832395228</v>
      </c>
      <c r="N1398">
        <v>4</v>
      </c>
    </row>
    <row r="1399" spans="1:14" x14ac:dyDescent="0.35">
      <c r="A1399" s="1">
        <v>953</v>
      </c>
      <c r="B1399">
        <v>9</v>
      </c>
      <c r="C1399">
        <v>48</v>
      </c>
      <c r="D1399">
        <v>1</v>
      </c>
      <c r="E1399">
        <v>0</v>
      </c>
      <c r="F1399">
        <v>3</v>
      </c>
      <c r="G1399">
        <v>3</v>
      </c>
      <c r="H1399">
        <v>3</v>
      </c>
      <c r="I1399">
        <v>0.01</v>
      </c>
      <c r="J1399">
        <v>9</v>
      </c>
      <c r="K1399">
        <v>0</v>
      </c>
      <c r="L1399" s="4">
        <v>0.72282601441968497</v>
      </c>
      <c r="M1399" s="4">
        <v>0.27717398558031497</v>
      </c>
      <c r="N1399">
        <v>4</v>
      </c>
    </row>
    <row r="1400" spans="1:14" x14ac:dyDescent="0.35">
      <c r="A1400" s="1">
        <v>2372</v>
      </c>
      <c r="B1400">
        <v>7</v>
      </c>
      <c r="C1400">
        <v>42</v>
      </c>
      <c r="D1400">
        <v>3</v>
      </c>
      <c r="E1400">
        <v>0</v>
      </c>
      <c r="F1400">
        <v>2</v>
      </c>
      <c r="G1400">
        <v>0</v>
      </c>
      <c r="H1400">
        <v>0</v>
      </c>
      <c r="I1400">
        <v>6000</v>
      </c>
      <c r="J1400">
        <v>3</v>
      </c>
      <c r="K1400">
        <v>0</v>
      </c>
      <c r="L1400" s="4">
        <v>0.72284832924502773</v>
      </c>
      <c r="M1400" s="4">
        <v>0.27715167075497232</v>
      </c>
      <c r="N1400">
        <v>4</v>
      </c>
    </row>
    <row r="1401" spans="1:14" x14ac:dyDescent="0.35">
      <c r="A1401" s="1">
        <v>2619</v>
      </c>
      <c r="B1401">
        <v>9</v>
      </c>
      <c r="C1401">
        <v>51</v>
      </c>
      <c r="D1401">
        <v>0</v>
      </c>
      <c r="E1401">
        <v>0</v>
      </c>
      <c r="F1401">
        <v>3</v>
      </c>
      <c r="G1401">
        <v>3</v>
      </c>
      <c r="H1401">
        <v>0</v>
      </c>
      <c r="I1401">
        <v>6105.32</v>
      </c>
      <c r="J1401">
        <v>18</v>
      </c>
      <c r="K1401">
        <v>0</v>
      </c>
      <c r="L1401" s="4">
        <v>0.72298257106492381</v>
      </c>
      <c r="M1401" s="4">
        <v>0.27701742893507619</v>
      </c>
      <c r="N1401">
        <v>4</v>
      </c>
    </row>
    <row r="1402" spans="1:14" x14ac:dyDescent="0.35">
      <c r="A1402" s="1">
        <v>531</v>
      </c>
      <c r="B1402">
        <v>8</v>
      </c>
      <c r="C1402">
        <v>44</v>
      </c>
      <c r="D1402">
        <v>4</v>
      </c>
      <c r="E1402">
        <v>0</v>
      </c>
      <c r="F1402">
        <v>1</v>
      </c>
      <c r="G1402">
        <v>7</v>
      </c>
      <c r="H1402">
        <v>2</v>
      </c>
      <c r="I1402">
        <v>500</v>
      </c>
      <c r="J1402">
        <v>10</v>
      </c>
      <c r="K1402">
        <v>1</v>
      </c>
      <c r="L1402" s="4">
        <v>0.72301340673315773</v>
      </c>
      <c r="M1402" s="4">
        <v>0.27698659326684227</v>
      </c>
      <c r="N1402">
        <v>4</v>
      </c>
    </row>
    <row r="1403" spans="1:14" x14ac:dyDescent="0.35">
      <c r="A1403" s="1">
        <v>2526</v>
      </c>
      <c r="B1403">
        <v>10</v>
      </c>
      <c r="C1403">
        <v>53</v>
      </c>
      <c r="D1403">
        <v>2</v>
      </c>
      <c r="E1403">
        <v>0</v>
      </c>
      <c r="F1403">
        <v>1</v>
      </c>
      <c r="G1403">
        <v>7</v>
      </c>
      <c r="H1403">
        <v>2</v>
      </c>
      <c r="I1403">
        <v>5000</v>
      </c>
      <c r="J1403">
        <v>4</v>
      </c>
      <c r="K1403">
        <v>0</v>
      </c>
      <c r="L1403" s="4">
        <v>0.72341074700215424</v>
      </c>
      <c r="M1403" s="4">
        <v>0.27658925299784581</v>
      </c>
      <c r="N1403">
        <v>4</v>
      </c>
    </row>
    <row r="1404" spans="1:14" x14ac:dyDescent="0.35">
      <c r="A1404" s="1">
        <v>3802</v>
      </c>
      <c r="B1404">
        <v>14</v>
      </c>
      <c r="C1404">
        <v>72</v>
      </c>
      <c r="D1404">
        <v>1</v>
      </c>
      <c r="E1404">
        <v>0</v>
      </c>
      <c r="F1404">
        <v>0</v>
      </c>
      <c r="G1404">
        <v>4</v>
      </c>
      <c r="H1404">
        <v>0</v>
      </c>
      <c r="I1404">
        <v>12000</v>
      </c>
      <c r="J1404">
        <v>2</v>
      </c>
      <c r="K1404">
        <v>1</v>
      </c>
      <c r="L1404" s="4">
        <v>0.72351218031547981</v>
      </c>
      <c r="M1404" s="4">
        <v>0.27648781968452019</v>
      </c>
      <c r="N1404">
        <v>4</v>
      </c>
    </row>
    <row r="1405" spans="1:14" x14ac:dyDescent="0.35">
      <c r="A1405" s="1">
        <v>92</v>
      </c>
      <c r="B1405">
        <v>7</v>
      </c>
      <c r="C1405">
        <v>34</v>
      </c>
      <c r="D1405">
        <v>5</v>
      </c>
      <c r="E1405">
        <v>1</v>
      </c>
      <c r="F1405">
        <v>3</v>
      </c>
      <c r="G1405">
        <v>3</v>
      </c>
      <c r="H1405">
        <v>2</v>
      </c>
      <c r="I1405">
        <v>420</v>
      </c>
      <c r="J1405">
        <v>7</v>
      </c>
      <c r="K1405">
        <v>0</v>
      </c>
      <c r="L1405" s="4">
        <v>0.72354048469414389</v>
      </c>
      <c r="M1405" s="4">
        <v>0.27645951530585611</v>
      </c>
      <c r="N1405">
        <v>4</v>
      </c>
    </row>
    <row r="1406" spans="1:14" x14ac:dyDescent="0.35">
      <c r="A1406" s="1">
        <v>3174</v>
      </c>
      <c r="B1406">
        <v>8</v>
      </c>
      <c r="C1406">
        <v>45</v>
      </c>
      <c r="D1406">
        <v>2</v>
      </c>
      <c r="E1406">
        <v>0</v>
      </c>
      <c r="F1406">
        <v>0</v>
      </c>
      <c r="G1406">
        <v>10</v>
      </c>
      <c r="H1406">
        <v>2</v>
      </c>
      <c r="I1406">
        <v>420</v>
      </c>
      <c r="J1406">
        <v>4</v>
      </c>
      <c r="K1406">
        <v>0</v>
      </c>
      <c r="L1406" s="4">
        <v>0.72370410418746323</v>
      </c>
      <c r="M1406" s="4">
        <v>0.27629589581253677</v>
      </c>
      <c r="N1406">
        <v>4</v>
      </c>
    </row>
    <row r="1407" spans="1:14" x14ac:dyDescent="0.35">
      <c r="A1407" s="1">
        <v>3454</v>
      </c>
      <c r="B1407">
        <v>9</v>
      </c>
      <c r="C1407">
        <v>51</v>
      </c>
      <c r="D1407">
        <v>1</v>
      </c>
      <c r="E1407">
        <v>0</v>
      </c>
      <c r="F1407">
        <v>2</v>
      </c>
      <c r="G1407">
        <v>1</v>
      </c>
      <c r="H1407">
        <v>0</v>
      </c>
      <c r="I1407">
        <v>6053.35</v>
      </c>
      <c r="J1407">
        <v>5</v>
      </c>
      <c r="K1407">
        <v>0</v>
      </c>
      <c r="L1407" s="4">
        <v>0.723720667204796</v>
      </c>
      <c r="M1407" s="4">
        <v>0.27627933279520411</v>
      </c>
      <c r="N1407">
        <v>4</v>
      </c>
    </row>
    <row r="1408" spans="1:14" x14ac:dyDescent="0.35">
      <c r="A1408" s="1">
        <v>1952</v>
      </c>
      <c r="B1408">
        <v>10</v>
      </c>
      <c r="C1408">
        <v>53</v>
      </c>
      <c r="D1408">
        <v>1</v>
      </c>
      <c r="E1408">
        <v>0</v>
      </c>
      <c r="F1408">
        <v>1</v>
      </c>
      <c r="G1408">
        <v>12</v>
      </c>
      <c r="H1408">
        <v>2</v>
      </c>
      <c r="I1408">
        <v>600</v>
      </c>
      <c r="J1408">
        <v>9</v>
      </c>
      <c r="K1408">
        <v>0</v>
      </c>
      <c r="L1408" s="4">
        <v>0.72377255175179644</v>
      </c>
      <c r="M1408" s="4">
        <v>0.27622744824820361</v>
      </c>
      <c r="N1408">
        <v>4</v>
      </c>
    </row>
    <row r="1409" spans="1:14" x14ac:dyDescent="0.35">
      <c r="A1409" s="1">
        <v>3860</v>
      </c>
      <c r="B1409">
        <v>12</v>
      </c>
      <c r="C1409">
        <v>61</v>
      </c>
      <c r="D1409">
        <v>1</v>
      </c>
      <c r="E1409">
        <v>0</v>
      </c>
      <c r="F1409">
        <v>3</v>
      </c>
      <c r="G1409">
        <v>3</v>
      </c>
      <c r="H1409">
        <v>2</v>
      </c>
      <c r="I1409">
        <v>1020</v>
      </c>
      <c r="J1409">
        <v>9</v>
      </c>
      <c r="K1409">
        <v>0</v>
      </c>
      <c r="L1409" s="4">
        <v>0.72391730007518507</v>
      </c>
      <c r="M1409" s="4">
        <v>0.27608269992481488</v>
      </c>
      <c r="N1409">
        <v>4</v>
      </c>
    </row>
    <row r="1410" spans="1:14" x14ac:dyDescent="0.35">
      <c r="A1410" s="1">
        <v>1683</v>
      </c>
      <c r="B1410">
        <v>10</v>
      </c>
      <c r="C1410">
        <v>40</v>
      </c>
      <c r="D1410">
        <v>4</v>
      </c>
      <c r="E1410">
        <v>2</v>
      </c>
      <c r="F1410">
        <v>4</v>
      </c>
      <c r="G1410">
        <v>9</v>
      </c>
      <c r="H1410">
        <v>3</v>
      </c>
      <c r="I1410">
        <v>0.01</v>
      </c>
      <c r="J1410">
        <v>9</v>
      </c>
      <c r="K1410">
        <v>1</v>
      </c>
      <c r="L1410" s="4">
        <v>0.72404932109315701</v>
      </c>
      <c r="M1410" s="4">
        <v>0.27595067890684299</v>
      </c>
      <c r="N1410">
        <v>4</v>
      </c>
    </row>
    <row r="1411" spans="1:14" x14ac:dyDescent="0.35">
      <c r="A1411" s="1">
        <v>681</v>
      </c>
      <c r="B1411">
        <v>13</v>
      </c>
      <c r="C1411">
        <v>65</v>
      </c>
      <c r="D1411">
        <v>1</v>
      </c>
      <c r="E1411">
        <v>0</v>
      </c>
      <c r="F1411">
        <v>3</v>
      </c>
      <c r="G1411">
        <v>3</v>
      </c>
      <c r="H1411">
        <v>2</v>
      </c>
      <c r="I1411">
        <v>1000</v>
      </c>
      <c r="J1411">
        <v>6</v>
      </c>
      <c r="K1411">
        <v>1</v>
      </c>
      <c r="L1411" s="4">
        <v>0.7240902796416816</v>
      </c>
      <c r="M1411" s="4">
        <v>0.2759097203583184</v>
      </c>
      <c r="N1411">
        <v>4</v>
      </c>
    </row>
    <row r="1412" spans="1:14" x14ac:dyDescent="0.35">
      <c r="A1412" s="1">
        <v>3054</v>
      </c>
      <c r="B1412">
        <v>8</v>
      </c>
      <c r="C1412">
        <v>38</v>
      </c>
      <c r="D1412">
        <v>5</v>
      </c>
      <c r="E1412">
        <v>1</v>
      </c>
      <c r="F1412">
        <v>0</v>
      </c>
      <c r="G1412">
        <v>11</v>
      </c>
      <c r="H1412">
        <v>3</v>
      </c>
      <c r="I1412">
        <v>0.01</v>
      </c>
      <c r="J1412">
        <v>5</v>
      </c>
      <c r="K1412">
        <v>0</v>
      </c>
      <c r="L1412" s="4">
        <v>0.7241157928641071</v>
      </c>
      <c r="M1412" s="4">
        <v>0.27588420713589279</v>
      </c>
      <c r="N1412">
        <v>4</v>
      </c>
    </row>
    <row r="1413" spans="1:14" x14ac:dyDescent="0.35">
      <c r="A1413" s="1">
        <v>948</v>
      </c>
      <c r="B1413">
        <v>9</v>
      </c>
      <c r="C1413">
        <v>51</v>
      </c>
      <c r="D1413">
        <v>1</v>
      </c>
      <c r="E1413">
        <v>0</v>
      </c>
      <c r="F1413">
        <v>0</v>
      </c>
      <c r="G1413">
        <v>11</v>
      </c>
      <c r="H1413">
        <v>0</v>
      </c>
      <c r="I1413">
        <v>6000</v>
      </c>
      <c r="J1413">
        <v>2</v>
      </c>
      <c r="K1413">
        <v>0</v>
      </c>
      <c r="L1413" s="4">
        <v>0.72411764300980541</v>
      </c>
      <c r="M1413" s="4">
        <v>0.27588235699019459</v>
      </c>
      <c r="N1413">
        <v>4</v>
      </c>
    </row>
    <row r="1414" spans="1:14" x14ac:dyDescent="0.35">
      <c r="A1414" s="1">
        <v>843</v>
      </c>
      <c r="B1414">
        <v>11</v>
      </c>
      <c r="C1414">
        <v>57</v>
      </c>
      <c r="D1414">
        <v>2</v>
      </c>
      <c r="E1414">
        <v>0</v>
      </c>
      <c r="F1414">
        <v>0</v>
      </c>
      <c r="G1414">
        <v>4</v>
      </c>
      <c r="H1414">
        <v>3</v>
      </c>
      <c r="I1414">
        <v>0.01</v>
      </c>
      <c r="J1414">
        <v>4</v>
      </c>
      <c r="K1414">
        <v>0</v>
      </c>
      <c r="L1414" s="4">
        <v>0.72424089078337794</v>
      </c>
      <c r="M1414" s="4">
        <v>0.275759109216622</v>
      </c>
      <c r="N1414">
        <v>4</v>
      </c>
    </row>
    <row r="1415" spans="1:14" x14ac:dyDescent="0.35">
      <c r="A1415" s="1">
        <v>4376</v>
      </c>
      <c r="B1415">
        <v>13</v>
      </c>
      <c r="C1415">
        <v>68</v>
      </c>
      <c r="D1415">
        <v>1</v>
      </c>
      <c r="E1415">
        <v>0</v>
      </c>
      <c r="F1415">
        <v>0</v>
      </c>
      <c r="G1415">
        <v>2</v>
      </c>
      <c r="H1415">
        <v>1</v>
      </c>
      <c r="I1415">
        <v>30000</v>
      </c>
      <c r="J1415">
        <v>4</v>
      </c>
      <c r="K1415">
        <v>1</v>
      </c>
      <c r="L1415" s="4">
        <v>0.72440781347690331</v>
      </c>
      <c r="M1415" s="4">
        <v>0.27559218652309669</v>
      </c>
      <c r="N1415">
        <v>4</v>
      </c>
    </row>
    <row r="1416" spans="1:14" x14ac:dyDescent="0.35">
      <c r="A1416" s="1">
        <v>949</v>
      </c>
      <c r="B1416">
        <v>6</v>
      </c>
      <c r="C1416">
        <v>37</v>
      </c>
      <c r="D1416">
        <v>2</v>
      </c>
      <c r="E1416">
        <v>0</v>
      </c>
      <c r="F1416">
        <v>0</v>
      </c>
      <c r="G1416">
        <v>10</v>
      </c>
      <c r="H1416">
        <v>2</v>
      </c>
      <c r="I1416">
        <v>1000</v>
      </c>
      <c r="J1416">
        <v>5</v>
      </c>
      <c r="K1416">
        <v>0</v>
      </c>
      <c r="L1416" s="4">
        <v>0.72446806264046826</v>
      </c>
      <c r="M1416" s="4">
        <v>0.27553193735953169</v>
      </c>
      <c r="N1416">
        <v>4</v>
      </c>
    </row>
    <row r="1417" spans="1:14" x14ac:dyDescent="0.35">
      <c r="A1417" s="1">
        <v>3779</v>
      </c>
      <c r="B1417">
        <v>6</v>
      </c>
      <c r="C1417">
        <v>35</v>
      </c>
      <c r="D1417">
        <v>2</v>
      </c>
      <c r="E1417">
        <v>0</v>
      </c>
      <c r="F1417">
        <v>3</v>
      </c>
      <c r="G1417">
        <v>8</v>
      </c>
      <c r="H1417">
        <v>3</v>
      </c>
      <c r="I1417">
        <v>0.01</v>
      </c>
      <c r="J1417">
        <v>4</v>
      </c>
      <c r="K1417">
        <v>1</v>
      </c>
      <c r="L1417" s="4">
        <v>0.72463883139833629</v>
      </c>
      <c r="M1417" s="4">
        <v>0.27536116860166371</v>
      </c>
      <c r="N1417">
        <v>4</v>
      </c>
    </row>
    <row r="1418" spans="1:14" x14ac:dyDescent="0.35">
      <c r="A1418" s="1">
        <v>2934</v>
      </c>
      <c r="B1418">
        <v>5</v>
      </c>
      <c r="C1418">
        <v>34</v>
      </c>
      <c r="D1418">
        <v>5</v>
      </c>
      <c r="E1418">
        <v>0</v>
      </c>
      <c r="F1418">
        <v>0</v>
      </c>
      <c r="G1418">
        <v>2</v>
      </c>
      <c r="H1418">
        <v>0</v>
      </c>
      <c r="I1418">
        <v>6000</v>
      </c>
      <c r="J1418">
        <v>5</v>
      </c>
      <c r="K1418">
        <v>0</v>
      </c>
      <c r="L1418" s="4">
        <v>0.72488868601190126</v>
      </c>
      <c r="M1418" s="4">
        <v>0.27511131398809868</v>
      </c>
      <c r="N1418">
        <v>4</v>
      </c>
    </row>
    <row r="1419" spans="1:14" x14ac:dyDescent="0.35">
      <c r="A1419" s="1">
        <v>2472</v>
      </c>
      <c r="B1419">
        <v>8</v>
      </c>
      <c r="C1419">
        <v>47</v>
      </c>
      <c r="D1419">
        <v>1</v>
      </c>
      <c r="E1419">
        <v>0</v>
      </c>
      <c r="F1419">
        <v>0</v>
      </c>
      <c r="G1419">
        <v>11</v>
      </c>
      <c r="H1419">
        <v>0</v>
      </c>
      <c r="I1419">
        <v>6000</v>
      </c>
      <c r="J1419">
        <v>1</v>
      </c>
      <c r="K1419">
        <v>0</v>
      </c>
      <c r="L1419" s="4">
        <v>0.7249771868036774</v>
      </c>
      <c r="M1419" s="4">
        <v>0.2750228131963226</v>
      </c>
      <c r="N1419">
        <v>4</v>
      </c>
    </row>
    <row r="1420" spans="1:14" x14ac:dyDescent="0.35">
      <c r="A1420" s="1">
        <v>541</v>
      </c>
      <c r="B1420">
        <v>12</v>
      </c>
      <c r="C1420">
        <v>64</v>
      </c>
      <c r="D1420">
        <v>0</v>
      </c>
      <c r="E1420">
        <v>0</v>
      </c>
      <c r="F1420">
        <v>3</v>
      </c>
      <c r="G1420">
        <v>3</v>
      </c>
      <c r="H1420">
        <v>1</v>
      </c>
      <c r="I1420">
        <v>70000</v>
      </c>
      <c r="J1420">
        <v>4</v>
      </c>
      <c r="K1420">
        <v>0</v>
      </c>
      <c r="L1420" s="4">
        <v>0.72501294020514517</v>
      </c>
      <c r="M1420" s="4">
        <v>0.27498705979485483</v>
      </c>
      <c r="N1420">
        <v>4</v>
      </c>
    </row>
    <row r="1421" spans="1:14" x14ac:dyDescent="0.35">
      <c r="A1421" s="1">
        <v>2013</v>
      </c>
      <c r="B1421">
        <v>8</v>
      </c>
      <c r="C1421">
        <v>42</v>
      </c>
      <c r="D1421">
        <v>2</v>
      </c>
      <c r="E1421">
        <v>1</v>
      </c>
      <c r="F1421">
        <v>2</v>
      </c>
      <c r="G1421">
        <v>1</v>
      </c>
      <c r="H1421">
        <v>0</v>
      </c>
      <c r="I1421">
        <v>16000</v>
      </c>
      <c r="J1421">
        <v>5</v>
      </c>
      <c r="K1421">
        <v>0</v>
      </c>
      <c r="L1421" s="4">
        <v>0.72529844786537501</v>
      </c>
      <c r="M1421" s="4">
        <v>0.27470155213462499</v>
      </c>
      <c r="N1421">
        <v>4</v>
      </c>
    </row>
    <row r="1422" spans="1:14" x14ac:dyDescent="0.35">
      <c r="A1422" s="1">
        <v>1564</v>
      </c>
      <c r="B1422">
        <v>10</v>
      </c>
      <c r="C1422">
        <v>52</v>
      </c>
      <c r="D1422">
        <v>1</v>
      </c>
      <c r="E1422">
        <v>0</v>
      </c>
      <c r="F1422">
        <v>4</v>
      </c>
      <c r="G1422">
        <v>9</v>
      </c>
      <c r="H1422">
        <v>2</v>
      </c>
      <c r="I1422">
        <v>50</v>
      </c>
      <c r="J1422">
        <v>9</v>
      </c>
      <c r="K1422">
        <v>0</v>
      </c>
      <c r="L1422" s="4">
        <v>0.7256714544766445</v>
      </c>
      <c r="M1422" s="4">
        <v>0.27432854552335562</v>
      </c>
      <c r="N1422">
        <v>4</v>
      </c>
    </row>
    <row r="1423" spans="1:14" x14ac:dyDescent="0.35">
      <c r="A1423" s="1">
        <v>3391</v>
      </c>
      <c r="B1423">
        <v>7</v>
      </c>
      <c r="C1423">
        <v>39</v>
      </c>
      <c r="D1423">
        <v>4</v>
      </c>
      <c r="E1423">
        <v>0</v>
      </c>
      <c r="F1423">
        <v>3</v>
      </c>
      <c r="G1423">
        <v>8</v>
      </c>
      <c r="H1423">
        <v>2</v>
      </c>
      <c r="I1423">
        <v>2000</v>
      </c>
      <c r="J1423">
        <v>1</v>
      </c>
      <c r="K1423">
        <v>1</v>
      </c>
      <c r="L1423" s="4">
        <v>0.72587514416123033</v>
      </c>
      <c r="M1423" s="4">
        <v>0.27412485583876972</v>
      </c>
      <c r="N1423">
        <v>4</v>
      </c>
    </row>
    <row r="1424" spans="1:14" x14ac:dyDescent="0.35">
      <c r="A1424" s="1">
        <v>3353</v>
      </c>
      <c r="B1424">
        <v>10</v>
      </c>
      <c r="C1424">
        <v>55</v>
      </c>
      <c r="D1424">
        <v>0</v>
      </c>
      <c r="E1424">
        <v>0</v>
      </c>
      <c r="F1424">
        <v>3</v>
      </c>
      <c r="G1424">
        <v>3</v>
      </c>
      <c r="H1424">
        <v>0</v>
      </c>
      <c r="I1424">
        <v>6053.34</v>
      </c>
      <c r="J1424">
        <v>4</v>
      </c>
      <c r="K1424">
        <v>0</v>
      </c>
      <c r="L1424" s="4">
        <v>0.72598719715052429</v>
      </c>
      <c r="M1424" s="4">
        <v>0.27401280284947571</v>
      </c>
      <c r="N1424">
        <v>4</v>
      </c>
    </row>
    <row r="1425" spans="1:14" x14ac:dyDescent="0.35">
      <c r="A1425" s="1">
        <v>4159</v>
      </c>
      <c r="B1425">
        <v>5</v>
      </c>
      <c r="C1425">
        <v>33</v>
      </c>
      <c r="D1425">
        <v>2</v>
      </c>
      <c r="E1425">
        <v>0</v>
      </c>
      <c r="F1425">
        <v>1</v>
      </c>
      <c r="G1425">
        <v>7</v>
      </c>
      <c r="H1425">
        <v>2</v>
      </c>
      <c r="I1425">
        <v>500</v>
      </c>
      <c r="J1425">
        <v>11</v>
      </c>
      <c r="K1425">
        <v>0</v>
      </c>
      <c r="L1425" s="4">
        <v>0.72607669156162258</v>
      </c>
      <c r="M1425" s="4">
        <v>0.27392330843837742</v>
      </c>
      <c r="N1425">
        <v>4</v>
      </c>
    </row>
    <row r="1426" spans="1:14" x14ac:dyDescent="0.35">
      <c r="A1426" s="1">
        <v>1197</v>
      </c>
      <c r="B1426">
        <v>12</v>
      </c>
      <c r="C1426">
        <v>60</v>
      </c>
      <c r="D1426">
        <v>2</v>
      </c>
      <c r="E1426">
        <v>0</v>
      </c>
      <c r="F1426">
        <v>3</v>
      </c>
      <c r="G1426">
        <v>3</v>
      </c>
      <c r="H1426">
        <v>3</v>
      </c>
      <c r="I1426">
        <v>0.01</v>
      </c>
      <c r="J1426">
        <v>8</v>
      </c>
      <c r="K1426">
        <v>0</v>
      </c>
      <c r="L1426" s="4">
        <v>0.72652157551328844</v>
      </c>
      <c r="M1426" s="4">
        <v>0.27347842448671161</v>
      </c>
      <c r="N1426">
        <v>4</v>
      </c>
    </row>
    <row r="1427" spans="1:14" x14ac:dyDescent="0.35">
      <c r="A1427" s="1">
        <v>2012</v>
      </c>
      <c r="B1427">
        <v>10</v>
      </c>
      <c r="C1427">
        <v>51</v>
      </c>
      <c r="D1427">
        <v>1</v>
      </c>
      <c r="E1427">
        <v>1</v>
      </c>
      <c r="F1427">
        <v>0</v>
      </c>
      <c r="G1427">
        <v>4</v>
      </c>
      <c r="H1427">
        <v>0</v>
      </c>
      <c r="I1427">
        <v>7500</v>
      </c>
      <c r="J1427">
        <v>1</v>
      </c>
      <c r="K1427">
        <v>0</v>
      </c>
      <c r="L1427" s="4">
        <v>0.72654838471408345</v>
      </c>
      <c r="M1427" s="4">
        <v>0.27345161528591649</v>
      </c>
      <c r="N1427">
        <v>4</v>
      </c>
    </row>
    <row r="1428" spans="1:14" x14ac:dyDescent="0.35">
      <c r="A1428" s="1">
        <v>2945</v>
      </c>
      <c r="B1428">
        <v>10</v>
      </c>
      <c r="C1428">
        <v>49</v>
      </c>
      <c r="D1428">
        <v>2</v>
      </c>
      <c r="E1428">
        <v>1</v>
      </c>
      <c r="F1428">
        <v>0</v>
      </c>
      <c r="G1428">
        <v>4</v>
      </c>
      <c r="H1428">
        <v>2</v>
      </c>
      <c r="I1428">
        <v>1200</v>
      </c>
      <c r="J1428">
        <v>4</v>
      </c>
      <c r="K1428">
        <v>0</v>
      </c>
      <c r="L1428" s="4">
        <v>0.72660274837519179</v>
      </c>
      <c r="M1428" s="4">
        <v>0.27339725162480821</v>
      </c>
      <c r="N1428">
        <v>4</v>
      </c>
    </row>
    <row r="1429" spans="1:14" x14ac:dyDescent="0.35">
      <c r="A1429" s="1">
        <v>3356</v>
      </c>
      <c r="B1429">
        <v>11</v>
      </c>
      <c r="C1429">
        <v>51</v>
      </c>
      <c r="D1429">
        <v>4</v>
      </c>
      <c r="E1429">
        <v>1</v>
      </c>
      <c r="F1429">
        <v>3</v>
      </c>
      <c r="G1429">
        <v>3</v>
      </c>
      <c r="H1429">
        <v>2</v>
      </c>
      <c r="I1429">
        <v>5000</v>
      </c>
      <c r="J1429">
        <v>5</v>
      </c>
      <c r="K1429">
        <v>0</v>
      </c>
      <c r="L1429" s="4">
        <v>0.7269230323362823</v>
      </c>
      <c r="M1429" s="4">
        <v>0.27307696766371758</v>
      </c>
      <c r="N1429">
        <v>4</v>
      </c>
    </row>
    <row r="1430" spans="1:14" x14ac:dyDescent="0.35">
      <c r="A1430" s="1">
        <v>480</v>
      </c>
      <c r="B1430">
        <v>10</v>
      </c>
      <c r="C1430">
        <v>55</v>
      </c>
      <c r="D1430">
        <v>1</v>
      </c>
      <c r="E1430">
        <v>0</v>
      </c>
      <c r="F1430">
        <v>0</v>
      </c>
      <c r="G1430">
        <v>4</v>
      </c>
      <c r="H1430">
        <v>2</v>
      </c>
      <c r="I1430">
        <v>1000</v>
      </c>
      <c r="J1430">
        <v>31</v>
      </c>
      <c r="K1430">
        <v>1</v>
      </c>
      <c r="L1430" s="4">
        <v>0.72757299331143299</v>
      </c>
      <c r="M1430" s="4">
        <v>0.27242700668856701</v>
      </c>
      <c r="N1430">
        <v>4</v>
      </c>
    </row>
    <row r="1431" spans="1:14" x14ac:dyDescent="0.35">
      <c r="A1431" s="1">
        <v>3674</v>
      </c>
      <c r="B1431">
        <v>13</v>
      </c>
      <c r="C1431">
        <v>65</v>
      </c>
      <c r="D1431">
        <v>3</v>
      </c>
      <c r="E1431">
        <v>0</v>
      </c>
      <c r="F1431">
        <v>4</v>
      </c>
      <c r="G1431">
        <v>9</v>
      </c>
      <c r="H1431">
        <v>0</v>
      </c>
      <c r="I1431">
        <v>6053.35</v>
      </c>
      <c r="J1431">
        <v>6</v>
      </c>
      <c r="K1431">
        <v>1</v>
      </c>
      <c r="L1431" s="4">
        <v>0.72763249605405866</v>
      </c>
      <c r="M1431" s="4">
        <v>0.27236750394594128</v>
      </c>
      <c r="N1431">
        <v>4</v>
      </c>
    </row>
    <row r="1432" spans="1:14" x14ac:dyDescent="0.35">
      <c r="A1432" s="1">
        <v>3032</v>
      </c>
      <c r="B1432">
        <v>10</v>
      </c>
      <c r="C1432">
        <v>51</v>
      </c>
      <c r="D1432">
        <v>2</v>
      </c>
      <c r="E1432">
        <v>0</v>
      </c>
      <c r="F1432">
        <v>4</v>
      </c>
      <c r="G1432">
        <v>9</v>
      </c>
      <c r="H1432">
        <v>3</v>
      </c>
      <c r="I1432">
        <v>0.01</v>
      </c>
      <c r="J1432">
        <v>9</v>
      </c>
      <c r="K1432">
        <v>0</v>
      </c>
      <c r="L1432" s="4">
        <v>0.72770143007603449</v>
      </c>
      <c r="M1432" s="4">
        <v>0.27229856992396551</v>
      </c>
      <c r="N1432">
        <v>4</v>
      </c>
    </row>
    <row r="1433" spans="1:14" x14ac:dyDescent="0.35">
      <c r="A1433" s="1">
        <v>1914</v>
      </c>
      <c r="B1433">
        <v>6</v>
      </c>
      <c r="C1433">
        <v>36</v>
      </c>
      <c r="D1433">
        <v>5</v>
      </c>
      <c r="E1433">
        <v>0</v>
      </c>
      <c r="F1433">
        <v>0</v>
      </c>
      <c r="G1433">
        <v>2</v>
      </c>
      <c r="H1433">
        <v>3</v>
      </c>
      <c r="I1433">
        <v>0.01</v>
      </c>
      <c r="J1433">
        <v>8</v>
      </c>
      <c r="K1433">
        <v>0</v>
      </c>
      <c r="L1433" s="4">
        <v>0.72776642561096683</v>
      </c>
      <c r="M1433" s="4">
        <v>0.27223357438903312</v>
      </c>
      <c r="N1433">
        <v>4</v>
      </c>
    </row>
    <row r="1434" spans="1:14" x14ac:dyDescent="0.35">
      <c r="A1434" s="1">
        <v>2847</v>
      </c>
      <c r="B1434">
        <v>8</v>
      </c>
      <c r="C1434">
        <v>40</v>
      </c>
      <c r="D1434">
        <v>1</v>
      </c>
      <c r="E1434">
        <v>1</v>
      </c>
      <c r="F1434">
        <v>1</v>
      </c>
      <c r="G1434">
        <v>7</v>
      </c>
      <c r="H1434">
        <v>3</v>
      </c>
      <c r="I1434">
        <v>0.01</v>
      </c>
      <c r="J1434">
        <v>7</v>
      </c>
      <c r="K1434">
        <v>1</v>
      </c>
      <c r="L1434" s="4">
        <v>0.72790200665110572</v>
      </c>
      <c r="M1434" s="4">
        <v>0.27209799334889417</v>
      </c>
      <c r="N1434">
        <v>4</v>
      </c>
    </row>
    <row r="1435" spans="1:14" x14ac:dyDescent="0.35">
      <c r="A1435" s="1">
        <v>1136</v>
      </c>
      <c r="B1435">
        <v>7</v>
      </c>
      <c r="C1435">
        <v>34</v>
      </c>
      <c r="D1435">
        <v>4</v>
      </c>
      <c r="E1435">
        <v>1</v>
      </c>
      <c r="F1435">
        <v>3</v>
      </c>
      <c r="G1435">
        <v>3</v>
      </c>
      <c r="H1435">
        <v>3</v>
      </c>
      <c r="I1435">
        <v>0.01</v>
      </c>
      <c r="J1435">
        <v>4</v>
      </c>
      <c r="K1435">
        <v>1</v>
      </c>
      <c r="L1435" s="4">
        <v>0.72796710985485991</v>
      </c>
      <c r="M1435" s="4">
        <v>0.27203289014514009</v>
      </c>
      <c r="N1435">
        <v>4</v>
      </c>
    </row>
    <row r="1436" spans="1:14" x14ac:dyDescent="0.35">
      <c r="A1436" s="1">
        <v>79</v>
      </c>
      <c r="B1436">
        <v>11</v>
      </c>
      <c r="C1436">
        <v>58</v>
      </c>
      <c r="D1436">
        <v>3</v>
      </c>
      <c r="E1436">
        <v>0</v>
      </c>
      <c r="F1436">
        <v>1</v>
      </c>
      <c r="G1436">
        <v>12</v>
      </c>
      <c r="H1436">
        <v>0</v>
      </c>
      <c r="I1436">
        <v>6000</v>
      </c>
      <c r="J1436">
        <v>2</v>
      </c>
      <c r="K1436">
        <v>0</v>
      </c>
      <c r="L1436" s="4">
        <v>0.72815489585530879</v>
      </c>
      <c r="M1436" s="4">
        <v>0.27184510414469121</v>
      </c>
      <c r="N1436">
        <v>4</v>
      </c>
    </row>
    <row r="1437" spans="1:14" x14ac:dyDescent="0.35">
      <c r="A1437" s="1">
        <v>4158</v>
      </c>
      <c r="B1437">
        <v>9</v>
      </c>
      <c r="C1437">
        <v>48</v>
      </c>
      <c r="D1437">
        <v>2</v>
      </c>
      <c r="E1437">
        <v>0</v>
      </c>
      <c r="F1437">
        <v>3</v>
      </c>
      <c r="G1437">
        <v>3</v>
      </c>
      <c r="H1437">
        <v>3</v>
      </c>
      <c r="I1437">
        <v>0.01</v>
      </c>
      <c r="J1437">
        <v>8</v>
      </c>
      <c r="K1437">
        <v>1</v>
      </c>
      <c r="L1437" s="4">
        <v>0.7283190217022073</v>
      </c>
      <c r="M1437" s="4">
        <v>0.27168097829779281</v>
      </c>
      <c r="N1437">
        <v>4</v>
      </c>
    </row>
    <row r="1438" spans="1:14" x14ac:dyDescent="0.35">
      <c r="A1438" s="1">
        <v>764</v>
      </c>
      <c r="B1438">
        <v>12</v>
      </c>
      <c r="C1438">
        <v>63</v>
      </c>
      <c r="D1438">
        <v>1</v>
      </c>
      <c r="E1438">
        <v>0</v>
      </c>
      <c r="F1438">
        <v>3</v>
      </c>
      <c r="G1438">
        <v>3</v>
      </c>
      <c r="H1438">
        <v>0</v>
      </c>
      <c r="I1438">
        <v>10419.24</v>
      </c>
      <c r="J1438">
        <v>5</v>
      </c>
      <c r="K1438">
        <v>0</v>
      </c>
      <c r="L1438" s="4">
        <v>0.72835588215284908</v>
      </c>
      <c r="M1438" s="4">
        <v>0.27164411784715098</v>
      </c>
      <c r="N1438">
        <v>4</v>
      </c>
    </row>
    <row r="1439" spans="1:14" x14ac:dyDescent="0.35">
      <c r="A1439" s="1">
        <v>3421</v>
      </c>
      <c r="B1439">
        <v>10</v>
      </c>
      <c r="C1439">
        <v>41</v>
      </c>
      <c r="D1439">
        <v>5</v>
      </c>
      <c r="E1439">
        <v>2</v>
      </c>
      <c r="F1439">
        <v>1</v>
      </c>
      <c r="G1439">
        <v>12</v>
      </c>
      <c r="H1439">
        <v>3</v>
      </c>
      <c r="I1439">
        <v>0.01</v>
      </c>
      <c r="J1439">
        <v>5</v>
      </c>
      <c r="K1439">
        <v>0</v>
      </c>
      <c r="L1439" s="4">
        <v>0.72858354442967288</v>
      </c>
      <c r="M1439" s="4">
        <v>0.27141645557032718</v>
      </c>
      <c r="N1439">
        <v>4</v>
      </c>
    </row>
    <row r="1440" spans="1:14" x14ac:dyDescent="0.35">
      <c r="A1440" s="1">
        <v>552</v>
      </c>
      <c r="B1440">
        <v>7</v>
      </c>
      <c r="C1440">
        <v>36</v>
      </c>
      <c r="D1440">
        <v>3</v>
      </c>
      <c r="E1440">
        <v>1</v>
      </c>
      <c r="F1440">
        <v>0</v>
      </c>
      <c r="G1440">
        <v>2</v>
      </c>
      <c r="H1440">
        <v>3</v>
      </c>
      <c r="I1440">
        <v>0.01</v>
      </c>
      <c r="J1440">
        <v>4</v>
      </c>
      <c r="K1440">
        <v>0</v>
      </c>
      <c r="L1440" s="4">
        <v>0.72861639507795595</v>
      </c>
      <c r="M1440" s="4">
        <v>0.27138360492204411</v>
      </c>
      <c r="N1440">
        <v>4</v>
      </c>
    </row>
    <row r="1441" spans="1:14" x14ac:dyDescent="0.35">
      <c r="A1441" s="1">
        <v>638</v>
      </c>
      <c r="B1441">
        <v>8</v>
      </c>
      <c r="C1441">
        <v>44</v>
      </c>
      <c r="D1441">
        <v>2</v>
      </c>
      <c r="E1441">
        <v>0</v>
      </c>
      <c r="F1441">
        <v>3</v>
      </c>
      <c r="G1441">
        <v>3</v>
      </c>
      <c r="H1441">
        <v>3</v>
      </c>
      <c r="I1441">
        <v>0.01</v>
      </c>
      <c r="J1441">
        <v>8</v>
      </c>
      <c r="K1441">
        <v>0</v>
      </c>
      <c r="L1441" s="4">
        <v>0.72891652175789523</v>
      </c>
      <c r="M1441" s="4">
        <v>0.27108347824210483</v>
      </c>
      <c r="N1441">
        <v>4</v>
      </c>
    </row>
    <row r="1442" spans="1:14" x14ac:dyDescent="0.35">
      <c r="A1442" s="1">
        <v>2795</v>
      </c>
      <c r="B1442">
        <v>8</v>
      </c>
      <c r="C1442">
        <v>44</v>
      </c>
      <c r="D1442">
        <v>3</v>
      </c>
      <c r="E1442">
        <v>0</v>
      </c>
      <c r="F1442">
        <v>3</v>
      </c>
      <c r="G1442">
        <v>8</v>
      </c>
      <c r="H1442">
        <v>2</v>
      </c>
      <c r="I1442">
        <v>3500</v>
      </c>
      <c r="J1442">
        <v>11</v>
      </c>
      <c r="K1442">
        <v>0</v>
      </c>
      <c r="L1442" s="4">
        <v>0.72896470538110514</v>
      </c>
      <c r="M1442" s="4">
        <v>0.27103529461889492</v>
      </c>
      <c r="N1442">
        <v>4</v>
      </c>
    </row>
    <row r="1443" spans="1:14" x14ac:dyDescent="0.35">
      <c r="A1443" s="1">
        <v>2314</v>
      </c>
      <c r="B1443">
        <v>12</v>
      </c>
      <c r="C1443">
        <v>61</v>
      </c>
      <c r="D1443">
        <v>1</v>
      </c>
      <c r="E1443">
        <v>0</v>
      </c>
      <c r="F1443">
        <v>3</v>
      </c>
      <c r="G1443">
        <v>8</v>
      </c>
      <c r="H1443">
        <v>2</v>
      </c>
      <c r="I1443">
        <v>60</v>
      </c>
      <c r="J1443">
        <v>11</v>
      </c>
      <c r="K1443">
        <v>0</v>
      </c>
      <c r="L1443" s="4">
        <v>0.72916704933721421</v>
      </c>
      <c r="M1443" s="4">
        <v>0.27083295066278579</v>
      </c>
      <c r="N1443">
        <v>4</v>
      </c>
    </row>
    <row r="1444" spans="1:14" x14ac:dyDescent="0.35">
      <c r="A1444" s="1">
        <v>1634</v>
      </c>
      <c r="B1444">
        <v>8</v>
      </c>
      <c r="C1444">
        <v>40</v>
      </c>
      <c r="D1444">
        <v>3</v>
      </c>
      <c r="E1444">
        <v>1</v>
      </c>
      <c r="F1444">
        <v>0</v>
      </c>
      <c r="G1444">
        <v>4</v>
      </c>
      <c r="H1444">
        <v>3</v>
      </c>
      <c r="I1444">
        <v>0.01</v>
      </c>
      <c r="J1444">
        <v>8</v>
      </c>
      <c r="K1444">
        <v>0</v>
      </c>
      <c r="L1444" s="4">
        <v>0.729173040072711</v>
      </c>
      <c r="M1444" s="4">
        <v>0.270826959927289</v>
      </c>
      <c r="N1444">
        <v>4</v>
      </c>
    </row>
    <row r="1445" spans="1:14" x14ac:dyDescent="0.35">
      <c r="A1445" s="1">
        <v>2749</v>
      </c>
      <c r="B1445">
        <v>7</v>
      </c>
      <c r="C1445">
        <v>43</v>
      </c>
      <c r="D1445">
        <v>2</v>
      </c>
      <c r="E1445">
        <v>0</v>
      </c>
      <c r="F1445">
        <v>0</v>
      </c>
      <c r="G1445">
        <v>10</v>
      </c>
      <c r="H1445">
        <v>0</v>
      </c>
      <c r="I1445">
        <v>6000</v>
      </c>
      <c r="J1445">
        <v>3</v>
      </c>
      <c r="K1445">
        <v>0</v>
      </c>
      <c r="L1445" s="4">
        <v>0.72919669642505835</v>
      </c>
      <c r="M1445" s="4">
        <v>0.27080330357494159</v>
      </c>
      <c r="N1445">
        <v>4</v>
      </c>
    </row>
    <row r="1446" spans="1:14" x14ac:dyDescent="0.35">
      <c r="A1446" s="1">
        <v>323</v>
      </c>
      <c r="B1446">
        <v>11</v>
      </c>
      <c r="C1446">
        <v>58</v>
      </c>
      <c r="D1446">
        <v>0</v>
      </c>
      <c r="E1446">
        <v>0</v>
      </c>
      <c r="F1446">
        <v>3</v>
      </c>
      <c r="G1446">
        <v>3</v>
      </c>
      <c r="H1446">
        <v>2</v>
      </c>
      <c r="I1446">
        <v>4620</v>
      </c>
      <c r="J1446">
        <v>10</v>
      </c>
      <c r="K1446">
        <v>0</v>
      </c>
      <c r="L1446" s="4">
        <v>0.72983469203317397</v>
      </c>
      <c r="M1446" s="4">
        <v>0.27016530796682608</v>
      </c>
      <c r="N1446">
        <v>4</v>
      </c>
    </row>
    <row r="1447" spans="1:14" x14ac:dyDescent="0.35">
      <c r="A1447" s="1">
        <v>2538</v>
      </c>
      <c r="B1447">
        <v>8</v>
      </c>
      <c r="C1447">
        <v>46</v>
      </c>
      <c r="D1447">
        <v>3</v>
      </c>
      <c r="E1447">
        <v>0</v>
      </c>
      <c r="F1447">
        <v>3</v>
      </c>
      <c r="G1447">
        <v>3</v>
      </c>
      <c r="H1447">
        <v>0</v>
      </c>
      <c r="I1447">
        <v>6000.02</v>
      </c>
      <c r="J1447">
        <v>8</v>
      </c>
      <c r="K1447">
        <v>0</v>
      </c>
      <c r="L1447" s="4">
        <v>0.72989314558074192</v>
      </c>
      <c r="M1447" s="4">
        <v>0.27010685441925808</v>
      </c>
      <c r="N1447">
        <v>4</v>
      </c>
    </row>
    <row r="1448" spans="1:14" x14ac:dyDescent="0.35">
      <c r="A1448" s="1">
        <v>3190</v>
      </c>
      <c r="B1448">
        <v>10</v>
      </c>
      <c r="C1448">
        <v>49</v>
      </c>
      <c r="D1448">
        <v>1</v>
      </c>
      <c r="E1448">
        <v>1</v>
      </c>
      <c r="F1448">
        <v>1</v>
      </c>
      <c r="G1448">
        <v>7</v>
      </c>
      <c r="H1448">
        <v>2</v>
      </c>
      <c r="I1448">
        <v>3000</v>
      </c>
      <c r="J1448">
        <v>3</v>
      </c>
      <c r="K1448">
        <v>0</v>
      </c>
      <c r="L1448" s="4">
        <v>0.72996193325094727</v>
      </c>
      <c r="M1448" s="4">
        <v>0.27003806674905279</v>
      </c>
      <c r="N1448">
        <v>4</v>
      </c>
    </row>
    <row r="1449" spans="1:14" x14ac:dyDescent="0.35">
      <c r="A1449" s="1">
        <v>4059</v>
      </c>
      <c r="B1449">
        <v>10</v>
      </c>
      <c r="C1449">
        <v>47</v>
      </c>
      <c r="D1449">
        <v>3</v>
      </c>
      <c r="E1449">
        <v>1</v>
      </c>
      <c r="F1449">
        <v>1</v>
      </c>
      <c r="G1449">
        <v>12</v>
      </c>
      <c r="H1449">
        <v>3</v>
      </c>
      <c r="I1449">
        <v>0.01</v>
      </c>
      <c r="J1449">
        <v>9</v>
      </c>
      <c r="K1449">
        <v>1</v>
      </c>
      <c r="L1449" s="4">
        <v>0.73012742568313183</v>
      </c>
      <c r="M1449" s="4">
        <v>0.26987257431686817</v>
      </c>
      <c r="N1449">
        <v>4</v>
      </c>
    </row>
    <row r="1450" spans="1:14" x14ac:dyDescent="0.35">
      <c r="A1450" s="1">
        <v>1563</v>
      </c>
      <c r="B1450">
        <v>11</v>
      </c>
      <c r="C1450">
        <v>50</v>
      </c>
      <c r="D1450">
        <v>2</v>
      </c>
      <c r="E1450">
        <v>2</v>
      </c>
      <c r="F1450">
        <v>0</v>
      </c>
      <c r="G1450">
        <v>4</v>
      </c>
      <c r="H1450">
        <v>0</v>
      </c>
      <c r="I1450">
        <v>6000</v>
      </c>
      <c r="J1450">
        <v>2</v>
      </c>
      <c r="K1450">
        <v>0</v>
      </c>
      <c r="L1450" s="4">
        <v>0.73031081405280951</v>
      </c>
      <c r="M1450" s="4">
        <v>0.26968918594719049</v>
      </c>
      <c r="N1450">
        <v>4</v>
      </c>
    </row>
    <row r="1451" spans="1:14" x14ac:dyDescent="0.35">
      <c r="A1451" s="1">
        <v>611</v>
      </c>
      <c r="B1451">
        <v>11</v>
      </c>
      <c r="C1451">
        <v>57</v>
      </c>
      <c r="D1451">
        <v>2</v>
      </c>
      <c r="E1451">
        <v>0</v>
      </c>
      <c r="F1451">
        <v>3</v>
      </c>
      <c r="G1451">
        <v>3</v>
      </c>
      <c r="H1451">
        <v>2</v>
      </c>
      <c r="I1451">
        <v>3000</v>
      </c>
      <c r="J1451">
        <v>4</v>
      </c>
      <c r="K1451">
        <v>0</v>
      </c>
      <c r="L1451" s="4">
        <v>0.73037696067386648</v>
      </c>
      <c r="M1451" s="4">
        <v>0.26962303932613352</v>
      </c>
      <c r="N1451">
        <v>4</v>
      </c>
    </row>
    <row r="1452" spans="1:14" x14ac:dyDescent="0.35">
      <c r="A1452" s="1">
        <v>1000</v>
      </c>
      <c r="B1452">
        <v>8</v>
      </c>
      <c r="C1452">
        <v>41</v>
      </c>
      <c r="D1452">
        <v>3</v>
      </c>
      <c r="E1452">
        <v>1</v>
      </c>
      <c r="F1452">
        <v>0</v>
      </c>
      <c r="G1452">
        <v>2</v>
      </c>
      <c r="H1452">
        <v>2</v>
      </c>
      <c r="I1452">
        <v>2000</v>
      </c>
      <c r="J1452">
        <v>4</v>
      </c>
      <c r="K1452">
        <v>1</v>
      </c>
      <c r="L1452" s="4">
        <v>0.73057307909725533</v>
      </c>
      <c r="M1452" s="4">
        <v>0.26942692090274473</v>
      </c>
      <c r="N1452">
        <v>4</v>
      </c>
    </row>
    <row r="1453" spans="1:14" x14ac:dyDescent="0.35">
      <c r="A1453" s="1">
        <v>2257</v>
      </c>
      <c r="B1453">
        <v>11</v>
      </c>
      <c r="C1453">
        <v>53</v>
      </c>
      <c r="D1453">
        <v>0</v>
      </c>
      <c r="E1453">
        <v>1</v>
      </c>
      <c r="F1453">
        <v>3</v>
      </c>
      <c r="G1453">
        <v>3</v>
      </c>
      <c r="H1453">
        <v>2</v>
      </c>
      <c r="I1453">
        <v>600</v>
      </c>
      <c r="J1453">
        <v>7</v>
      </c>
      <c r="K1453">
        <v>0</v>
      </c>
      <c r="L1453" s="4">
        <v>0.73080754436373629</v>
      </c>
      <c r="M1453" s="4">
        <v>0.26919245563626371</v>
      </c>
      <c r="N1453">
        <v>4</v>
      </c>
    </row>
    <row r="1454" spans="1:14" x14ac:dyDescent="0.35">
      <c r="A1454" s="1">
        <v>91</v>
      </c>
      <c r="B1454">
        <v>11</v>
      </c>
      <c r="C1454">
        <v>55</v>
      </c>
      <c r="D1454">
        <v>5</v>
      </c>
      <c r="E1454">
        <v>0</v>
      </c>
      <c r="F1454">
        <v>3</v>
      </c>
      <c r="G1454">
        <v>3</v>
      </c>
      <c r="H1454">
        <v>3</v>
      </c>
      <c r="I1454">
        <v>0.01</v>
      </c>
      <c r="J1454">
        <v>8</v>
      </c>
      <c r="K1454">
        <v>1</v>
      </c>
      <c r="L1454" s="4">
        <v>0.73082277567119236</v>
      </c>
      <c r="M1454" s="4">
        <v>0.26917722432880758</v>
      </c>
      <c r="N1454">
        <v>4</v>
      </c>
    </row>
    <row r="1455" spans="1:14" x14ac:dyDescent="0.35">
      <c r="A1455" s="1">
        <v>4055</v>
      </c>
      <c r="B1455">
        <v>9</v>
      </c>
      <c r="C1455">
        <v>50</v>
      </c>
      <c r="D1455">
        <v>2</v>
      </c>
      <c r="E1455">
        <v>0</v>
      </c>
      <c r="F1455">
        <v>3</v>
      </c>
      <c r="G1455">
        <v>8</v>
      </c>
      <c r="H1455">
        <v>1</v>
      </c>
      <c r="I1455">
        <v>25000</v>
      </c>
      <c r="J1455">
        <v>13</v>
      </c>
      <c r="K1455">
        <v>0</v>
      </c>
      <c r="L1455" s="4">
        <v>0.73089655073551185</v>
      </c>
      <c r="M1455" s="4">
        <v>0.26910344926448809</v>
      </c>
      <c r="N1455">
        <v>4</v>
      </c>
    </row>
    <row r="1456" spans="1:14" x14ac:dyDescent="0.35">
      <c r="A1456" s="1">
        <v>3784</v>
      </c>
      <c r="B1456">
        <v>7</v>
      </c>
      <c r="C1456">
        <v>42</v>
      </c>
      <c r="D1456">
        <v>3</v>
      </c>
      <c r="E1456">
        <v>0</v>
      </c>
      <c r="F1456">
        <v>3</v>
      </c>
      <c r="G1456">
        <v>3</v>
      </c>
      <c r="H1456">
        <v>0</v>
      </c>
      <c r="I1456">
        <v>7000</v>
      </c>
      <c r="J1456">
        <v>5</v>
      </c>
      <c r="K1456">
        <v>0</v>
      </c>
      <c r="L1456" s="4">
        <v>0.7309300181048749</v>
      </c>
      <c r="M1456" s="4">
        <v>0.2690699818951251</v>
      </c>
      <c r="N1456">
        <v>4</v>
      </c>
    </row>
    <row r="1457" spans="1:14" x14ac:dyDescent="0.35">
      <c r="A1457" s="1">
        <v>584</v>
      </c>
      <c r="B1457">
        <v>7</v>
      </c>
      <c r="C1457">
        <v>41</v>
      </c>
      <c r="D1457">
        <v>0</v>
      </c>
      <c r="E1457">
        <v>0</v>
      </c>
      <c r="F1457">
        <v>3</v>
      </c>
      <c r="G1457">
        <v>3</v>
      </c>
      <c r="H1457">
        <v>3</v>
      </c>
      <c r="I1457">
        <v>0.01</v>
      </c>
      <c r="J1457">
        <v>8</v>
      </c>
      <c r="K1457">
        <v>0</v>
      </c>
      <c r="L1457" s="4">
        <v>0.7310040743879751</v>
      </c>
      <c r="M1457" s="4">
        <v>0.26899592561202479</v>
      </c>
      <c r="N1457">
        <v>4</v>
      </c>
    </row>
    <row r="1458" spans="1:14" x14ac:dyDescent="0.35">
      <c r="A1458" s="1">
        <v>4217</v>
      </c>
      <c r="B1458">
        <v>9</v>
      </c>
      <c r="C1458">
        <v>51</v>
      </c>
      <c r="D1458">
        <v>2</v>
      </c>
      <c r="E1458">
        <v>0</v>
      </c>
      <c r="F1458">
        <v>0</v>
      </c>
      <c r="G1458">
        <v>11</v>
      </c>
      <c r="H1458">
        <v>1</v>
      </c>
      <c r="I1458">
        <v>23000</v>
      </c>
      <c r="J1458">
        <v>8</v>
      </c>
      <c r="K1458">
        <v>1</v>
      </c>
      <c r="L1458" s="4">
        <v>0.7310962653955384</v>
      </c>
      <c r="M1458" s="4">
        <v>0.26890373460446149</v>
      </c>
      <c r="N1458">
        <v>4</v>
      </c>
    </row>
    <row r="1459" spans="1:14" x14ac:dyDescent="0.35">
      <c r="A1459" s="1">
        <v>854</v>
      </c>
      <c r="B1459">
        <v>8</v>
      </c>
      <c r="C1459">
        <v>48</v>
      </c>
      <c r="D1459">
        <v>2</v>
      </c>
      <c r="E1459">
        <v>0</v>
      </c>
      <c r="F1459">
        <v>0</v>
      </c>
      <c r="G1459">
        <v>4</v>
      </c>
      <c r="H1459">
        <v>0</v>
      </c>
      <c r="I1459">
        <v>10884.25</v>
      </c>
      <c r="J1459">
        <v>8</v>
      </c>
      <c r="K1459">
        <v>0</v>
      </c>
      <c r="L1459" s="4">
        <v>0.73115115285987331</v>
      </c>
      <c r="M1459" s="4">
        <v>0.26884884714012669</v>
      </c>
      <c r="N1459">
        <v>4</v>
      </c>
    </row>
    <row r="1460" spans="1:14" x14ac:dyDescent="0.35">
      <c r="A1460" s="1">
        <v>1710</v>
      </c>
      <c r="B1460">
        <v>8</v>
      </c>
      <c r="C1460">
        <v>43</v>
      </c>
      <c r="D1460">
        <v>5</v>
      </c>
      <c r="E1460">
        <v>0</v>
      </c>
      <c r="F1460">
        <v>2</v>
      </c>
      <c r="G1460">
        <v>6</v>
      </c>
      <c r="H1460">
        <v>3</v>
      </c>
      <c r="I1460">
        <v>0.01</v>
      </c>
      <c r="J1460">
        <v>4</v>
      </c>
      <c r="K1460">
        <v>0</v>
      </c>
      <c r="L1460" s="4">
        <v>0.73126499345731799</v>
      </c>
      <c r="M1460" s="4">
        <v>0.26873500654268201</v>
      </c>
      <c r="N1460">
        <v>4</v>
      </c>
    </row>
    <row r="1461" spans="1:14" x14ac:dyDescent="0.35">
      <c r="A1461" s="1">
        <v>1416</v>
      </c>
      <c r="B1461">
        <v>11</v>
      </c>
      <c r="C1461">
        <v>55</v>
      </c>
      <c r="D1461">
        <v>5</v>
      </c>
      <c r="E1461">
        <v>0</v>
      </c>
      <c r="F1461">
        <v>3</v>
      </c>
      <c r="G1461">
        <v>3</v>
      </c>
      <c r="H1461">
        <v>3</v>
      </c>
      <c r="I1461">
        <v>0.01</v>
      </c>
      <c r="J1461">
        <v>5</v>
      </c>
      <c r="K1461">
        <v>0</v>
      </c>
      <c r="L1461" s="4">
        <v>0.73158049492228328</v>
      </c>
      <c r="M1461" s="4">
        <v>0.26841950507771672</v>
      </c>
      <c r="N1461">
        <v>4</v>
      </c>
    </row>
    <row r="1462" spans="1:14" x14ac:dyDescent="0.35">
      <c r="A1462" s="1">
        <v>78</v>
      </c>
      <c r="B1462">
        <v>10</v>
      </c>
      <c r="C1462">
        <v>51</v>
      </c>
      <c r="D1462">
        <v>4</v>
      </c>
      <c r="E1462">
        <v>0</v>
      </c>
      <c r="F1462">
        <v>3</v>
      </c>
      <c r="G1462">
        <v>8</v>
      </c>
      <c r="H1462">
        <v>3</v>
      </c>
      <c r="I1462">
        <v>0.01</v>
      </c>
      <c r="J1462">
        <v>8</v>
      </c>
      <c r="K1462">
        <v>0</v>
      </c>
      <c r="L1462" s="4">
        <v>0.73164163149122685</v>
      </c>
      <c r="M1462" s="4">
        <v>0.2683583685087732</v>
      </c>
      <c r="N1462">
        <v>4</v>
      </c>
    </row>
    <row r="1463" spans="1:14" x14ac:dyDescent="0.35">
      <c r="A1463" s="1">
        <v>2739</v>
      </c>
      <c r="B1463">
        <v>13</v>
      </c>
      <c r="C1463">
        <v>55</v>
      </c>
      <c r="D1463">
        <v>3</v>
      </c>
      <c r="E1463">
        <v>2</v>
      </c>
      <c r="F1463">
        <v>3</v>
      </c>
      <c r="G1463">
        <v>3</v>
      </c>
      <c r="H1463">
        <v>2</v>
      </c>
      <c r="I1463">
        <v>3000</v>
      </c>
      <c r="J1463">
        <v>6</v>
      </c>
      <c r="K1463">
        <v>0</v>
      </c>
      <c r="L1463" s="4">
        <v>0.73173421970714581</v>
      </c>
      <c r="M1463" s="4">
        <v>0.26826578029285419</v>
      </c>
      <c r="N1463">
        <v>4</v>
      </c>
    </row>
    <row r="1464" spans="1:14" x14ac:dyDescent="0.35">
      <c r="A1464" s="1">
        <v>511</v>
      </c>
      <c r="B1464">
        <v>11</v>
      </c>
      <c r="C1464">
        <v>59</v>
      </c>
      <c r="D1464">
        <v>4</v>
      </c>
      <c r="E1464">
        <v>0</v>
      </c>
      <c r="F1464">
        <v>0</v>
      </c>
      <c r="G1464">
        <v>11</v>
      </c>
      <c r="H1464">
        <v>0</v>
      </c>
      <c r="I1464">
        <v>12000</v>
      </c>
      <c r="J1464">
        <v>21</v>
      </c>
      <c r="K1464">
        <v>0</v>
      </c>
      <c r="L1464" s="4">
        <v>0.7317971326081516</v>
      </c>
      <c r="M1464" s="4">
        <v>0.26820286739184851</v>
      </c>
      <c r="N1464">
        <v>4</v>
      </c>
    </row>
    <row r="1465" spans="1:14" x14ac:dyDescent="0.35">
      <c r="A1465" s="1">
        <v>4363</v>
      </c>
      <c r="B1465">
        <v>7</v>
      </c>
      <c r="C1465">
        <v>40</v>
      </c>
      <c r="D1465">
        <v>3</v>
      </c>
      <c r="E1465">
        <v>0</v>
      </c>
      <c r="F1465">
        <v>3</v>
      </c>
      <c r="G1465">
        <v>8</v>
      </c>
      <c r="H1465">
        <v>2</v>
      </c>
      <c r="I1465">
        <v>420</v>
      </c>
      <c r="J1465">
        <v>5</v>
      </c>
      <c r="K1465">
        <v>0</v>
      </c>
      <c r="L1465" s="4">
        <v>0.73205442727106207</v>
      </c>
      <c r="M1465" s="4">
        <v>0.26794557272893788</v>
      </c>
      <c r="N1465">
        <v>4</v>
      </c>
    </row>
    <row r="1466" spans="1:14" x14ac:dyDescent="0.35">
      <c r="A1466" s="1">
        <v>2837</v>
      </c>
      <c r="B1466">
        <v>11</v>
      </c>
      <c r="C1466">
        <v>51</v>
      </c>
      <c r="D1466">
        <v>2</v>
      </c>
      <c r="E1466">
        <v>1</v>
      </c>
      <c r="F1466">
        <v>3</v>
      </c>
      <c r="G1466">
        <v>8</v>
      </c>
      <c r="H1466">
        <v>3</v>
      </c>
      <c r="I1466">
        <v>0.01</v>
      </c>
      <c r="J1466">
        <v>5</v>
      </c>
      <c r="K1466">
        <v>0</v>
      </c>
      <c r="L1466" s="4">
        <v>0.73223206490259263</v>
      </c>
      <c r="M1466" s="4">
        <v>0.26776793509740737</v>
      </c>
      <c r="N1466">
        <v>4</v>
      </c>
    </row>
    <row r="1467" spans="1:14" x14ac:dyDescent="0.35">
      <c r="A1467" s="1">
        <v>404</v>
      </c>
      <c r="B1467">
        <v>14</v>
      </c>
      <c r="C1467">
        <v>70</v>
      </c>
      <c r="D1467">
        <v>4</v>
      </c>
      <c r="E1467">
        <v>0</v>
      </c>
      <c r="F1467">
        <v>3</v>
      </c>
      <c r="G1467">
        <v>3</v>
      </c>
      <c r="H1467">
        <v>0</v>
      </c>
      <c r="I1467">
        <v>6000</v>
      </c>
      <c r="J1467">
        <v>5</v>
      </c>
      <c r="K1467">
        <v>1</v>
      </c>
      <c r="L1467" s="4">
        <v>0.73225774130454879</v>
      </c>
      <c r="M1467" s="4">
        <v>0.26774225869545132</v>
      </c>
      <c r="N1467">
        <v>4</v>
      </c>
    </row>
    <row r="1468" spans="1:14" x14ac:dyDescent="0.35">
      <c r="A1468" s="1">
        <v>929</v>
      </c>
      <c r="B1468">
        <v>9</v>
      </c>
      <c r="C1468">
        <v>43</v>
      </c>
      <c r="D1468">
        <v>5</v>
      </c>
      <c r="E1468">
        <v>1</v>
      </c>
      <c r="F1468">
        <v>1</v>
      </c>
      <c r="G1468">
        <v>12</v>
      </c>
      <c r="H1468">
        <v>2</v>
      </c>
      <c r="I1468">
        <v>300</v>
      </c>
      <c r="J1468">
        <v>9</v>
      </c>
      <c r="K1468">
        <v>0</v>
      </c>
      <c r="L1468" s="4">
        <v>0.73231525490791072</v>
      </c>
      <c r="M1468" s="4">
        <v>0.26768474509208928</v>
      </c>
      <c r="N1468">
        <v>4</v>
      </c>
    </row>
    <row r="1469" spans="1:14" x14ac:dyDescent="0.35">
      <c r="A1469" s="1">
        <v>2321</v>
      </c>
      <c r="B1469">
        <v>8</v>
      </c>
      <c r="C1469">
        <v>46</v>
      </c>
      <c r="D1469">
        <v>5</v>
      </c>
      <c r="E1469">
        <v>0</v>
      </c>
      <c r="F1469">
        <v>1</v>
      </c>
      <c r="G1469">
        <v>7</v>
      </c>
      <c r="H1469">
        <v>0</v>
      </c>
      <c r="I1469">
        <v>12500</v>
      </c>
      <c r="J1469">
        <v>4</v>
      </c>
      <c r="K1469">
        <v>0</v>
      </c>
      <c r="L1469" s="4">
        <v>0.7323270009222822</v>
      </c>
      <c r="M1469" s="4">
        <v>0.2676729990777178</v>
      </c>
      <c r="N1469">
        <v>4</v>
      </c>
    </row>
    <row r="1470" spans="1:14" x14ac:dyDescent="0.35">
      <c r="A1470" s="1">
        <v>3885</v>
      </c>
      <c r="B1470">
        <v>8</v>
      </c>
      <c r="C1470">
        <v>40</v>
      </c>
      <c r="D1470">
        <v>2</v>
      </c>
      <c r="E1470">
        <v>1</v>
      </c>
      <c r="F1470">
        <v>0</v>
      </c>
      <c r="G1470">
        <v>11</v>
      </c>
      <c r="H1470">
        <v>3</v>
      </c>
      <c r="I1470">
        <v>0.01</v>
      </c>
      <c r="J1470">
        <v>4</v>
      </c>
      <c r="K1470">
        <v>0</v>
      </c>
      <c r="L1470" s="4">
        <v>0.73256879982774081</v>
      </c>
      <c r="M1470" s="4">
        <v>0.26743120017225919</v>
      </c>
      <c r="N1470">
        <v>4</v>
      </c>
    </row>
    <row r="1471" spans="1:14" x14ac:dyDescent="0.35">
      <c r="A1471" s="1">
        <v>1990</v>
      </c>
      <c r="B1471">
        <v>6</v>
      </c>
      <c r="C1471">
        <v>37</v>
      </c>
      <c r="D1471">
        <v>2</v>
      </c>
      <c r="E1471">
        <v>0</v>
      </c>
      <c r="F1471">
        <v>3</v>
      </c>
      <c r="G1471">
        <v>3</v>
      </c>
      <c r="H1471">
        <v>2</v>
      </c>
      <c r="I1471">
        <v>500</v>
      </c>
      <c r="J1471">
        <v>9</v>
      </c>
      <c r="K1471">
        <v>0</v>
      </c>
      <c r="L1471" s="4">
        <v>0.73287284838414513</v>
      </c>
      <c r="M1471" s="4">
        <v>0.26712715161585482</v>
      </c>
      <c r="N1471">
        <v>4</v>
      </c>
    </row>
    <row r="1472" spans="1:14" x14ac:dyDescent="0.35">
      <c r="A1472" s="1">
        <v>2848</v>
      </c>
      <c r="B1472">
        <v>12</v>
      </c>
      <c r="C1472">
        <v>51</v>
      </c>
      <c r="D1472">
        <v>3</v>
      </c>
      <c r="E1472">
        <v>2</v>
      </c>
      <c r="F1472">
        <v>1</v>
      </c>
      <c r="G1472">
        <v>12</v>
      </c>
      <c r="H1472">
        <v>2</v>
      </c>
      <c r="I1472">
        <v>100</v>
      </c>
      <c r="J1472">
        <v>1</v>
      </c>
      <c r="K1472">
        <v>0</v>
      </c>
      <c r="L1472" s="4">
        <v>0.73304255065744162</v>
      </c>
      <c r="M1472" s="4">
        <v>0.26695744934255838</v>
      </c>
      <c r="N1472">
        <v>4</v>
      </c>
    </row>
    <row r="1473" spans="1:14" x14ac:dyDescent="0.35">
      <c r="A1473" s="1">
        <v>4404</v>
      </c>
      <c r="B1473">
        <v>11</v>
      </c>
      <c r="C1473">
        <v>56</v>
      </c>
      <c r="D1473">
        <v>3</v>
      </c>
      <c r="E1473">
        <v>0</v>
      </c>
      <c r="F1473">
        <v>3</v>
      </c>
      <c r="G1473">
        <v>3</v>
      </c>
      <c r="H1473">
        <v>3</v>
      </c>
      <c r="I1473">
        <v>0.01</v>
      </c>
      <c r="J1473">
        <v>4</v>
      </c>
      <c r="K1473">
        <v>1</v>
      </c>
      <c r="L1473" s="4">
        <v>0.73331553501664803</v>
      </c>
      <c r="M1473" s="4">
        <v>0.26668446498335191</v>
      </c>
      <c r="N1473">
        <v>4</v>
      </c>
    </row>
    <row r="1474" spans="1:14" x14ac:dyDescent="0.35">
      <c r="A1474" s="1">
        <v>2086</v>
      </c>
      <c r="B1474">
        <v>5</v>
      </c>
      <c r="C1474">
        <v>33</v>
      </c>
      <c r="D1474">
        <v>2</v>
      </c>
      <c r="E1474">
        <v>0</v>
      </c>
      <c r="F1474">
        <v>0</v>
      </c>
      <c r="G1474">
        <v>10</v>
      </c>
      <c r="H1474">
        <v>3</v>
      </c>
      <c r="I1474">
        <v>0.01</v>
      </c>
      <c r="J1474">
        <v>8</v>
      </c>
      <c r="K1474">
        <v>0</v>
      </c>
      <c r="L1474" s="4">
        <v>0.7333181519176275</v>
      </c>
      <c r="M1474" s="4">
        <v>0.2666818480823725</v>
      </c>
      <c r="N1474">
        <v>4</v>
      </c>
    </row>
    <row r="1475" spans="1:14" x14ac:dyDescent="0.35">
      <c r="A1475" s="1">
        <v>1724</v>
      </c>
      <c r="B1475">
        <v>8</v>
      </c>
      <c r="C1475">
        <v>46</v>
      </c>
      <c r="D1475">
        <v>3</v>
      </c>
      <c r="E1475">
        <v>0</v>
      </c>
      <c r="F1475">
        <v>0</v>
      </c>
      <c r="G1475">
        <v>4</v>
      </c>
      <c r="H1475">
        <v>2</v>
      </c>
      <c r="I1475">
        <v>75.010000000000005</v>
      </c>
      <c r="J1475">
        <v>8</v>
      </c>
      <c r="K1475">
        <v>0</v>
      </c>
      <c r="L1475" s="4">
        <v>0.73338501428022806</v>
      </c>
      <c r="M1475" s="4">
        <v>0.26661498571977188</v>
      </c>
      <c r="N1475">
        <v>4</v>
      </c>
    </row>
    <row r="1476" spans="1:14" x14ac:dyDescent="0.35">
      <c r="A1476" s="1">
        <v>550</v>
      </c>
      <c r="B1476">
        <v>11</v>
      </c>
      <c r="C1476">
        <v>53</v>
      </c>
      <c r="D1476">
        <v>2</v>
      </c>
      <c r="E1476">
        <v>1</v>
      </c>
      <c r="F1476">
        <v>1</v>
      </c>
      <c r="G1476">
        <v>7</v>
      </c>
      <c r="H1476">
        <v>2</v>
      </c>
      <c r="I1476">
        <v>800</v>
      </c>
      <c r="J1476">
        <v>9</v>
      </c>
      <c r="K1476">
        <v>0</v>
      </c>
      <c r="L1476" s="4">
        <v>0.73371325083660133</v>
      </c>
      <c r="M1476" s="4">
        <v>0.26628674916339862</v>
      </c>
      <c r="N1476">
        <v>4</v>
      </c>
    </row>
    <row r="1477" spans="1:14" x14ac:dyDescent="0.35">
      <c r="A1477" s="1">
        <v>4330</v>
      </c>
      <c r="B1477">
        <v>9</v>
      </c>
      <c r="C1477">
        <v>48</v>
      </c>
      <c r="D1477">
        <v>5</v>
      </c>
      <c r="E1477">
        <v>0</v>
      </c>
      <c r="F1477">
        <v>1</v>
      </c>
      <c r="G1477">
        <v>12</v>
      </c>
      <c r="H1477">
        <v>2</v>
      </c>
      <c r="I1477">
        <v>0.02</v>
      </c>
      <c r="J1477">
        <v>8</v>
      </c>
      <c r="K1477">
        <v>0</v>
      </c>
      <c r="L1477" s="4">
        <v>0.73371673185604602</v>
      </c>
      <c r="M1477" s="4">
        <v>0.26628326814395392</v>
      </c>
      <c r="N1477">
        <v>4</v>
      </c>
    </row>
    <row r="1478" spans="1:14" x14ac:dyDescent="0.35">
      <c r="A1478" s="1">
        <v>4257</v>
      </c>
      <c r="B1478">
        <v>9</v>
      </c>
      <c r="C1478">
        <v>45</v>
      </c>
      <c r="D1478">
        <v>2</v>
      </c>
      <c r="E1478">
        <v>1</v>
      </c>
      <c r="F1478">
        <v>0</v>
      </c>
      <c r="G1478">
        <v>2</v>
      </c>
      <c r="H1478">
        <v>3</v>
      </c>
      <c r="I1478">
        <v>0.01</v>
      </c>
      <c r="J1478">
        <v>5</v>
      </c>
      <c r="K1478">
        <v>0</v>
      </c>
      <c r="L1478" s="4">
        <v>0.73383282232830904</v>
      </c>
      <c r="M1478" s="4">
        <v>0.26616717767169101</v>
      </c>
      <c r="N1478">
        <v>4</v>
      </c>
    </row>
    <row r="1479" spans="1:14" x14ac:dyDescent="0.35">
      <c r="A1479" s="1">
        <v>4368</v>
      </c>
      <c r="B1479">
        <v>7</v>
      </c>
      <c r="C1479">
        <v>39</v>
      </c>
      <c r="D1479">
        <v>5</v>
      </c>
      <c r="E1479">
        <v>0</v>
      </c>
      <c r="F1479">
        <v>3</v>
      </c>
      <c r="G1479">
        <v>3</v>
      </c>
      <c r="H1479">
        <v>3</v>
      </c>
      <c r="I1479">
        <v>0.01</v>
      </c>
      <c r="J1479">
        <v>5</v>
      </c>
      <c r="K1479">
        <v>1</v>
      </c>
      <c r="L1479" s="4">
        <v>0.73394736212502187</v>
      </c>
      <c r="M1479" s="4">
        <v>0.26605263787497813</v>
      </c>
      <c r="N1479">
        <v>4</v>
      </c>
    </row>
    <row r="1480" spans="1:14" x14ac:dyDescent="0.35">
      <c r="A1480" s="1">
        <v>4109</v>
      </c>
      <c r="B1480">
        <v>10</v>
      </c>
      <c r="C1480">
        <v>46</v>
      </c>
      <c r="D1480">
        <v>5</v>
      </c>
      <c r="E1480">
        <v>1</v>
      </c>
      <c r="F1480">
        <v>4</v>
      </c>
      <c r="G1480">
        <v>9</v>
      </c>
      <c r="H1480">
        <v>2</v>
      </c>
      <c r="I1480">
        <v>3000</v>
      </c>
      <c r="J1480">
        <v>3</v>
      </c>
      <c r="K1480">
        <v>0</v>
      </c>
      <c r="L1480" s="4">
        <v>0.73407005469332731</v>
      </c>
      <c r="M1480" s="4">
        <v>0.26592994530667269</v>
      </c>
      <c r="N1480">
        <v>4</v>
      </c>
    </row>
    <row r="1481" spans="1:14" x14ac:dyDescent="0.35">
      <c r="A1481" s="1">
        <v>1558</v>
      </c>
      <c r="B1481">
        <v>6</v>
      </c>
      <c r="C1481">
        <v>35</v>
      </c>
      <c r="D1481">
        <v>5</v>
      </c>
      <c r="E1481">
        <v>0</v>
      </c>
      <c r="F1481">
        <v>3</v>
      </c>
      <c r="G1481">
        <v>3</v>
      </c>
      <c r="H1481">
        <v>3</v>
      </c>
      <c r="I1481">
        <v>0.01</v>
      </c>
      <c r="J1481">
        <v>6</v>
      </c>
      <c r="K1481">
        <v>1</v>
      </c>
      <c r="L1481" s="4">
        <v>0.73428634314612773</v>
      </c>
      <c r="M1481" s="4">
        <v>0.26571365685387233</v>
      </c>
      <c r="N1481">
        <v>4</v>
      </c>
    </row>
    <row r="1482" spans="1:14" x14ac:dyDescent="0.35">
      <c r="A1482" s="1">
        <v>359</v>
      </c>
      <c r="B1482">
        <v>12</v>
      </c>
      <c r="C1482">
        <v>51</v>
      </c>
      <c r="D1482">
        <v>5</v>
      </c>
      <c r="E1482">
        <v>2</v>
      </c>
      <c r="F1482">
        <v>1</v>
      </c>
      <c r="G1482">
        <v>5</v>
      </c>
      <c r="H1482">
        <v>2</v>
      </c>
      <c r="I1482">
        <v>2000</v>
      </c>
      <c r="J1482">
        <v>4</v>
      </c>
      <c r="K1482">
        <v>1</v>
      </c>
      <c r="L1482" s="4">
        <v>0.73446129656344761</v>
      </c>
      <c r="M1482" s="4">
        <v>0.26553870343655239</v>
      </c>
      <c r="N1482">
        <v>4</v>
      </c>
    </row>
    <row r="1483" spans="1:14" x14ac:dyDescent="0.35">
      <c r="A1483" s="1">
        <v>1316</v>
      </c>
      <c r="B1483">
        <v>9</v>
      </c>
      <c r="C1483">
        <v>43</v>
      </c>
      <c r="D1483">
        <v>5</v>
      </c>
      <c r="E1483">
        <v>1</v>
      </c>
      <c r="F1483">
        <v>1</v>
      </c>
      <c r="G1483">
        <v>5</v>
      </c>
      <c r="H1483">
        <v>3</v>
      </c>
      <c r="I1483">
        <v>0.01</v>
      </c>
      <c r="J1483">
        <v>5</v>
      </c>
      <c r="K1483">
        <v>1</v>
      </c>
      <c r="L1483" s="4">
        <v>0.73450677953901078</v>
      </c>
      <c r="M1483" s="4">
        <v>0.26549322046098922</v>
      </c>
      <c r="N1483">
        <v>4</v>
      </c>
    </row>
    <row r="1484" spans="1:14" x14ac:dyDescent="0.35">
      <c r="A1484" s="1">
        <v>1104</v>
      </c>
      <c r="B1484">
        <v>9</v>
      </c>
      <c r="C1484">
        <v>51</v>
      </c>
      <c r="D1484">
        <v>2</v>
      </c>
      <c r="E1484">
        <v>0</v>
      </c>
      <c r="F1484">
        <v>2</v>
      </c>
      <c r="G1484">
        <v>6</v>
      </c>
      <c r="H1484">
        <v>0</v>
      </c>
      <c r="I1484">
        <v>6000</v>
      </c>
      <c r="J1484">
        <v>4</v>
      </c>
      <c r="K1484">
        <v>0</v>
      </c>
      <c r="L1484" s="4">
        <v>0.73460503351590301</v>
      </c>
      <c r="M1484" s="4">
        <v>0.26539496648409699</v>
      </c>
      <c r="N1484">
        <v>4</v>
      </c>
    </row>
    <row r="1485" spans="1:14" x14ac:dyDescent="0.35">
      <c r="A1485" s="1">
        <v>4019</v>
      </c>
      <c r="B1485">
        <v>10</v>
      </c>
      <c r="C1485">
        <v>56</v>
      </c>
      <c r="D1485">
        <v>1</v>
      </c>
      <c r="E1485">
        <v>0</v>
      </c>
      <c r="F1485">
        <v>0</v>
      </c>
      <c r="G1485">
        <v>11</v>
      </c>
      <c r="H1485">
        <v>0</v>
      </c>
      <c r="I1485">
        <v>9000</v>
      </c>
      <c r="J1485">
        <v>1</v>
      </c>
      <c r="K1485">
        <v>0</v>
      </c>
      <c r="L1485" s="4">
        <v>0.73469640187316654</v>
      </c>
      <c r="M1485" s="4">
        <v>0.26530359812683352</v>
      </c>
      <c r="N1485">
        <v>4</v>
      </c>
    </row>
    <row r="1486" spans="1:14" x14ac:dyDescent="0.35">
      <c r="A1486" s="1">
        <v>1551</v>
      </c>
      <c r="B1486">
        <v>8</v>
      </c>
      <c r="C1486">
        <v>44</v>
      </c>
      <c r="D1486">
        <v>3</v>
      </c>
      <c r="E1486">
        <v>0</v>
      </c>
      <c r="F1486">
        <v>3</v>
      </c>
      <c r="G1486">
        <v>3</v>
      </c>
      <c r="H1486">
        <v>3</v>
      </c>
      <c r="I1486">
        <v>0.01</v>
      </c>
      <c r="J1486">
        <v>5</v>
      </c>
      <c r="K1486">
        <v>0</v>
      </c>
      <c r="L1486" s="4">
        <v>0.73483428783054727</v>
      </c>
      <c r="M1486" s="4">
        <v>0.26516571216945273</v>
      </c>
      <c r="N1486">
        <v>4</v>
      </c>
    </row>
    <row r="1487" spans="1:14" x14ac:dyDescent="0.35">
      <c r="A1487" s="1">
        <v>3308</v>
      </c>
      <c r="B1487">
        <v>11</v>
      </c>
      <c r="C1487">
        <v>45</v>
      </c>
      <c r="D1487">
        <v>5</v>
      </c>
      <c r="E1487">
        <v>2</v>
      </c>
      <c r="F1487">
        <v>3</v>
      </c>
      <c r="G1487">
        <v>8</v>
      </c>
      <c r="H1487">
        <v>3</v>
      </c>
      <c r="I1487">
        <v>0.01</v>
      </c>
      <c r="J1487">
        <v>5</v>
      </c>
      <c r="K1487">
        <v>0</v>
      </c>
      <c r="L1487" s="4">
        <v>0.73483968956472678</v>
      </c>
      <c r="M1487" s="4">
        <v>0.26516031043527322</v>
      </c>
      <c r="N1487">
        <v>4</v>
      </c>
    </row>
    <row r="1488" spans="1:14" x14ac:dyDescent="0.35">
      <c r="A1488" s="1">
        <v>1225</v>
      </c>
      <c r="B1488">
        <v>8</v>
      </c>
      <c r="C1488">
        <v>47</v>
      </c>
      <c r="D1488">
        <v>3</v>
      </c>
      <c r="E1488">
        <v>0</v>
      </c>
      <c r="F1488">
        <v>1</v>
      </c>
      <c r="G1488">
        <v>7</v>
      </c>
      <c r="H1488">
        <v>0</v>
      </c>
      <c r="I1488">
        <v>6000.01</v>
      </c>
      <c r="J1488">
        <v>7</v>
      </c>
      <c r="K1488">
        <v>1</v>
      </c>
      <c r="L1488" s="4">
        <v>0.7350987231337025</v>
      </c>
      <c r="M1488" s="4">
        <v>0.26490127686629761</v>
      </c>
      <c r="N1488">
        <v>4</v>
      </c>
    </row>
    <row r="1489" spans="1:14" x14ac:dyDescent="0.35">
      <c r="A1489" s="1">
        <v>200</v>
      </c>
      <c r="B1489">
        <v>7</v>
      </c>
      <c r="C1489">
        <v>38</v>
      </c>
      <c r="D1489">
        <v>2</v>
      </c>
      <c r="E1489">
        <v>1</v>
      </c>
      <c r="F1489">
        <v>3</v>
      </c>
      <c r="G1489">
        <v>3</v>
      </c>
      <c r="H1489">
        <v>0</v>
      </c>
      <c r="I1489">
        <v>9053.35</v>
      </c>
      <c r="J1489">
        <v>8</v>
      </c>
      <c r="K1489">
        <v>1</v>
      </c>
      <c r="L1489" s="4">
        <v>0.73510131219295527</v>
      </c>
      <c r="M1489" s="4">
        <v>0.26489868780704479</v>
      </c>
      <c r="N1489">
        <v>4</v>
      </c>
    </row>
    <row r="1490" spans="1:14" x14ac:dyDescent="0.35">
      <c r="A1490" s="1">
        <v>4231</v>
      </c>
      <c r="B1490">
        <v>8</v>
      </c>
      <c r="C1490">
        <v>34</v>
      </c>
      <c r="D1490">
        <v>5</v>
      </c>
      <c r="E1490">
        <v>2</v>
      </c>
      <c r="F1490">
        <v>2</v>
      </c>
      <c r="G1490">
        <v>1</v>
      </c>
      <c r="H1490">
        <v>3</v>
      </c>
      <c r="I1490">
        <v>0.01</v>
      </c>
      <c r="J1490">
        <v>5</v>
      </c>
      <c r="K1490">
        <v>1</v>
      </c>
      <c r="L1490" s="4">
        <v>0.73530471859284585</v>
      </c>
      <c r="M1490" s="4">
        <v>0.26469528140715409</v>
      </c>
      <c r="N1490">
        <v>4</v>
      </c>
    </row>
    <row r="1491" spans="1:14" x14ac:dyDescent="0.35">
      <c r="A1491" s="1">
        <v>3526</v>
      </c>
      <c r="B1491">
        <v>9</v>
      </c>
      <c r="C1491">
        <v>51</v>
      </c>
      <c r="D1491">
        <v>0</v>
      </c>
      <c r="E1491">
        <v>0</v>
      </c>
      <c r="F1491">
        <v>3</v>
      </c>
      <c r="G1491">
        <v>8</v>
      </c>
      <c r="H1491">
        <v>1</v>
      </c>
      <c r="I1491">
        <v>25000</v>
      </c>
      <c r="J1491">
        <v>1</v>
      </c>
      <c r="K1491">
        <v>0</v>
      </c>
      <c r="L1491" s="4">
        <v>0.73539418597783901</v>
      </c>
      <c r="M1491" s="4">
        <v>0.26460581402216099</v>
      </c>
      <c r="N1491">
        <v>4</v>
      </c>
    </row>
    <row r="1492" spans="1:14" x14ac:dyDescent="0.35">
      <c r="A1492" s="1">
        <v>2075</v>
      </c>
      <c r="B1492">
        <v>9</v>
      </c>
      <c r="C1492">
        <v>51</v>
      </c>
      <c r="D1492">
        <v>5</v>
      </c>
      <c r="E1492">
        <v>0</v>
      </c>
      <c r="F1492">
        <v>0</v>
      </c>
      <c r="G1492">
        <v>4</v>
      </c>
      <c r="H1492">
        <v>0</v>
      </c>
      <c r="I1492">
        <v>10000</v>
      </c>
      <c r="J1492">
        <v>2</v>
      </c>
      <c r="K1492">
        <v>0</v>
      </c>
      <c r="L1492" s="4">
        <v>0.73600720091816729</v>
      </c>
      <c r="M1492" s="4">
        <v>0.26399279908183271</v>
      </c>
      <c r="N1492">
        <v>4</v>
      </c>
    </row>
    <row r="1493" spans="1:14" x14ac:dyDescent="0.35">
      <c r="A1493" s="1">
        <v>3237</v>
      </c>
      <c r="B1493">
        <v>14</v>
      </c>
      <c r="C1493">
        <v>68</v>
      </c>
      <c r="D1493">
        <v>5</v>
      </c>
      <c r="E1493">
        <v>0</v>
      </c>
      <c r="F1493">
        <v>3</v>
      </c>
      <c r="G1493">
        <v>8</v>
      </c>
      <c r="H1493">
        <v>2</v>
      </c>
      <c r="I1493">
        <v>4884.25</v>
      </c>
      <c r="J1493">
        <v>8</v>
      </c>
      <c r="K1493">
        <v>1</v>
      </c>
      <c r="L1493" s="4">
        <v>0.73603780538216235</v>
      </c>
      <c r="M1493" s="4">
        <v>0.26396219461783771</v>
      </c>
      <c r="N1493">
        <v>4</v>
      </c>
    </row>
    <row r="1494" spans="1:14" x14ac:dyDescent="0.35">
      <c r="A1494" s="1">
        <v>55</v>
      </c>
      <c r="B1494">
        <v>10</v>
      </c>
      <c r="C1494">
        <v>54</v>
      </c>
      <c r="D1494">
        <v>2</v>
      </c>
      <c r="E1494">
        <v>0</v>
      </c>
      <c r="F1494">
        <v>2</v>
      </c>
      <c r="G1494">
        <v>1</v>
      </c>
      <c r="H1494">
        <v>2</v>
      </c>
      <c r="I1494">
        <v>2000</v>
      </c>
      <c r="J1494">
        <v>1</v>
      </c>
      <c r="K1494">
        <v>1</v>
      </c>
      <c r="L1494" s="4">
        <v>0.73609968275240523</v>
      </c>
      <c r="M1494" s="4">
        <v>0.26390031724759477</v>
      </c>
      <c r="N1494">
        <v>4</v>
      </c>
    </row>
    <row r="1495" spans="1:14" x14ac:dyDescent="0.35">
      <c r="A1495" s="1">
        <v>3103</v>
      </c>
      <c r="B1495">
        <v>7</v>
      </c>
      <c r="C1495">
        <v>44</v>
      </c>
      <c r="D1495">
        <v>3</v>
      </c>
      <c r="E1495">
        <v>0</v>
      </c>
      <c r="F1495">
        <v>0</v>
      </c>
      <c r="G1495">
        <v>2</v>
      </c>
      <c r="H1495">
        <v>0</v>
      </c>
      <c r="I1495">
        <v>6500</v>
      </c>
      <c r="J1495">
        <v>8</v>
      </c>
      <c r="K1495">
        <v>0</v>
      </c>
      <c r="L1495" s="4">
        <v>0.73611642513051678</v>
      </c>
      <c r="M1495" s="4">
        <v>0.26388357486948322</v>
      </c>
      <c r="N1495">
        <v>4</v>
      </c>
    </row>
    <row r="1496" spans="1:14" x14ac:dyDescent="0.35">
      <c r="A1496" s="1">
        <v>1270</v>
      </c>
      <c r="B1496">
        <v>7</v>
      </c>
      <c r="C1496">
        <v>33</v>
      </c>
      <c r="D1496">
        <v>2</v>
      </c>
      <c r="E1496">
        <v>2</v>
      </c>
      <c r="F1496">
        <v>0</v>
      </c>
      <c r="G1496">
        <v>2</v>
      </c>
      <c r="H1496">
        <v>2</v>
      </c>
      <c r="I1496">
        <v>0.02</v>
      </c>
      <c r="J1496">
        <v>8</v>
      </c>
      <c r="K1496">
        <v>0</v>
      </c>
      <c r="L1496" s="4">
        <v>0.73635606448855606</v>
      </c>
      <c r="M1496" s="4">
        <v>0.26364393551144388</v>
      </c>
      <c r="N1496">
        <v>4</v>
      </c>
    </row>
    <row r="1497" spans="1:14" x14ac:dyDescent="0.35">
      <c r="A1497" s="1">
        <v>3900</v>
      </c>
      <c r="B1497">
        <v>9</v>
      </c>
      <c r="C1497">
        <v>48</v>
      </c>
      <c r="D1497">
        <v>5</v>
      </c>
      <c r="E1497">
        <v>0</v>
      </c>
      <c r="F1497">
        <v>0</v>
      </c>
      <c r="G1497">
        <v>11</v>
      </c>
      <c r="H1497">
        <v>3</v>
      </c>
      <c r="I1497">
        <v>0.01</v>
      </c>
      <c r="J1497">
        <v>5</v>
      </c>
      <c r="K1497">
        <v>1</v>
      </c>
      <c r="L1497" s="4">
        <v>0.73643379919872465</v>
      </c>
      <c r="M1497" s="4">
        <v>0.26356620080127541</v>
      </c>
      <c r="N1497">
        <v>4</v>
      </c>
    </row>
    <row r="1498" spans="1:14" x14ac:dyDescent="0.35">
      <c r="A1498" s="1">
        <v>280</v>
      </c>
      <c r="B1498">
        <v>6</v>
      </c>
      <c r="C1498">
        <v>38</v>
      </c>
      <c r="D1498">
        <v>2</v>
      </c>
      <c r="E1498">
        <v>0</v>
      </c>
      <c r="F1498">
        <v>2</v>
      </c>
      <c r="G1498">
        <v>1</v>
      </c>
      <c r="H1498">
        <v>2</v>
      </c>
      <c r="I1498">
        <v>4356.0600000000004</v>
      </c>
      <c r="J1498">
        <v>6</v>
      </c>
      <c r="K1498">
        <v>0</v>
      </c>
      <c r="L1498" s="4">
        <v>0.73646190354742169</v>
      </c>
      <c r="M1498" s="4">
        <v>0.26353809645257831</v>
      </c>
      <c r="N1498">
        <v>4</v>
      </c>
    </row>
    <row r="1499" spans="1:14" x14ac:dyDescent="0.35">
      <c r="A1499" s="1">
        <v>160</v>
      </c>
      <c r="B1499">
        <v>10</v>
      </c>
      <c r="C1499">
        <v>52</v>
      </c>
      <c r="D1499">
        <v>5</v>
      </c>
      <c r="E1499">
        <v>0</v>
      </c>
      <c r="F1499">
        <v>2</v>
      </c>
      <c r="G1499">
        <v>1</v>
      </c>
      <c r="H1499">
        <v>3</v>
      </c>
      <c r="I1499">
        <v>0.01</v>
      </c>
      <c r="J1499">
        <v>4</v>
      </c>
      <c r="K1499">
        <v>0</v>
      </c>
      <c r="L1499" s="4">
        <v>0.73647614839388464</v>
      </c>
      <c r="M1499" s="4">
        <v>0.26352385160611541</v>
      </c>
      <c r="N1499">
        <v>4</v>
      </c>
    </row>
    <row r="1500" spans="1:14" x14ac:dyDescent="0.35">
      <c r="A1500" s="1">
        <v>3997</v>
      </c>
      <c r="B1500">
        <v>11</v>
      </c>
      <c r="C1500">
        <v>55</v>
      </c>
      <c r="D1500">
        <v>1</v>
      </c>
      <c r="E1500">
        <v>1</v>
      </c>
      <c r="F1500">
        <v>3</v>
      </c>
      <c r="G1500">
        <v>3</v>
      </c>
      <c r="H1500">
        <v>0</v>
      </c>
      <c r="I1500">
        <v>10000</v>
      </c>
      <c r="J1500">
        <v>17</v>
      </c>
      <c r="K1500">
        <v>0</v>
      </c>
      <c r="L1500" s="4">
        <v>0.7367906816799763</v>
      </c>
      <c r="M1500" s="4">
        <v>0.2632093183200237</v>
      </c>
      <c r="N1500">
        <v>4</v>
      </c>
    </row>
    <row r="1501" spans="1:14" x14ac:dyDescent="0.35">
      <c r="A1501" s="1">
        <v>4254</v>
      </c>
      <c r="B1501">
        <v>12</v>
      </c>
      <c r="C1501">
        <v>59</v>
      </c>
      <c r="D1501">
        <v>2</v>
      </c>
      <c r="E1501">
        <v>1</v>
      </c>
      <c r="F1501">
        <v>0</v>
      </c>
      <c r="G1501">
        <v>10</v>
      </c>
      <c r="H1501">
        <v>0</v>
      </c>
      <c r="I1501">
        <v>6000</v>
      </c>
      <c r="J1501">
        <v>3</v>
      </c>
      <c r="K1501">
        <v>0</v>
      </c>
      <c r="L1501" s="4">
        <v>0.73695909618675881</v>
      </c>
      <c r="M1501" s="4">
        <v>0.26304090381324119</v>
      </c>
      <c r="N1501">
        <v>4</v>
      </c>
    </row>
    <row r="1502" spans="1:14" x14ac:dyDescent="0.35">
      <c r="A1502" s="1">
        <v>717</v>
      </c>
      <c r="B1502">
        <v>10</v>
      </c>
      <c r="C1502">
        <v>55</v>
      </c>
      <c r="D1502">
        <v>2</v>
      </c>
      <c r="E1502">
        <v>0</v>
      </c>
      <c r="F1502">
        <v>3</v>
      </c>
      <c r="G1502">
        <v>3</v>
      </c>
      <c r="H1502">
        <v>0</v>
      </c>
      <c r="I1502">
        <v>6000</v>
      </c>
      <c r="J1502">
        <v>1</v>
      </c>
      <c r="K1502">
        <v>0</v>
      </c>
      <c r="L1502" s="4">
        <v>0.73709104304896356</v>
      </c>
      <c r="M1502" s="4">
        <v>0.26290895695103639</v>
      </c>
      <c r="N1502">
        <v>4</v>
      </c>
    </row>
    <row r="1503" spans="1:14" x14ac:dyDescent="0.35">
      <c r="A1503" s="1">
        <v>777</v>
      </c>
      <c r="B1503">
        <v>10</v>
      </c>
      <c r="C1503">
        <v>51</v>
      </c>
      <c r="D1503">
        <v>3</v>
      </c>
      <c r="E1503">
        <v>1</v>
      </c>
      <c r="F1503">
        <v>0</v>
      </c>
      <c r="G1503">
        <v>4</v>
      </c>
      <c r="H1503">
        <v>0</v>
      </c>
      <c r="I1503">
        <v>6000</v>
      </c>
      <c r="J1503">
        <v>2</v>
      </c>
      <c r="K1503">
        <v>0</v>
      </c>
      <c r="L1503" s="4">
        <v>0.73709366181372105</v>
      </c>
      <c r="M1503" s="4">
        <v>0.26290633818627901</v>
      </c>
      <c r="N1503">
        <v>4</v>
      </c>
    </row>
    <row r="1504" spans="1:14" x14ac:dyDescent="0.35">
      <c r="A1504" s="1">
        <v>3086</v>
      </c>
      <c r="B1504">
        <v>8</v>
      </c>
      <c r="C1504">
        <v>45</v>
      </c>
      <c r="D1504">
        <v>3</v>
      </c>
      <c r="E1504">
        <v>0</v>
      </c>
      <c r="F1504">
        <v>3</v>
      </c>
      <c r="G1504">
        <v>3</v>
      </c>
      <c r="H1504">
        <v>2</v>
      </c>
      <c r="I1504">
        <v>4948.78</v>
      </c>
      <c r="J1504">
        <v>1</v>
      </c>
      <c r="K1504">
        <v>0</v>
      </c>
      <c r="L1504" s="4">
        <v>0.73742330209420159</v>
      </c>
      <c r="M1504" s="4">
        <v>0.26257669790579852</v>
      </c>
      <c r="N1504">
        <v>4</v>
      </c>
    </row>
    <row r="1505" spans="1:14" x14ac:dyDescent="0.35">
      <c r="A1505" s="1">
        <v>2239</v>
      </c>
      <c r="B1505">
        <v>7</v>
      </c>
      <c r="C1505">
        <v>41</v>
      </c>
      <c r="D1505">
        <v>3</v>
      </c>
      <c r="E1505">
        <v>0</v>
      </c>
      <c r="F1505">
        <v>1</v>
      </c>
      <c r="G1505">
        <v>5</v>
      </c>
      <c r="H1505">
        <v>3</v>
      </c>
      <c r="I1505">
        <v>0.01</v>
      </c>
      <c r="J1505">
        <v>8</v>
      </c>
      <c r="K1505">
        <v>1</v>
      </c>
      <c r="L1505" s="4">
        <v>0.7374505734263348</v>
      </c>
      <c r="M1505" s="4">
        <v>0.26254942657366531</v>
      </c>
      <c r="N1505">
        <v>4</v>
      </c>
    </row>
    <row r="1506" spans="1:14" x14ac:dyDescent="0.35">
      <c r="A1506" s="1">
        <v>3927</v>
      </c>
      <c r="B1506">
        <v>9</v>
      </c>
      <c r="C1506">
        <v>51</v>
      </c>
      <c r="D1506">
        <v>1</v>
      </c>
      <c r="E1506">
        <v>0</v>
      </c>
      <c r="F1506">
        <v>3</v>
      </c>
      <c r="G1506">
        <v>8</v>
      </c>
      <c r="H1506">
        <v>0</v>
      </c>
      <c r="I1506">
        <v>5800</v>
      </c>
      <c r="J1506">
        <v>3</v>
      </c>
      <c r="K1506">
        <v>1</v>
      </c>
      <c r="L1506" s="4">
        <v>0.73746268763184242</v>
      </c>
      <c r="M1506" s="4">
        <v>0.26253731236815753</v>
      </c>
      <c r="N1506">
        <v>4</v>
      </c>
    </row>
    <row r="1507" spans="1:14" x14ac:dyDescent="0.35">
      <c r="A1507" s="1">
        <v>2229</v>
      </c>
      <c r="B1507">
        <v>9</v>
      </c>
      <c r="C1507">
        <v>51</v>
      </c>
      <c r="D1507">
        <v>3</v>
      </c>
      <c r="E1507">
        <v>0</v>
      </c>
      <c r="F1507">
        <v>3</v>
      </c>
      <c r="G1507">
        <v>3</v>
      </c>
      <c r="H1507">
        <v>0</v>
      </c>
      <c r="I1507">
        <v>19000</v>
      </c>
      <c r="J1507">
        <v>6</v>
      </c>
      <c r="K1507">
        <v>0</v>
      </c>
      <c r="L1507" s="4">
        <v>0.73746928821444668</v>
      </c>
      <c r="M1507" s="4">
        <v>0.26253071178555337</v>
      </c>
      <c r="N1507">
        <v>4</v>
      </c>
    </row>
    <row r="1508" spans="1:14" x14ac:dyDescent="0.35">
      <c r="A1508" s="1">
        <v>1425</v>
      </c>
      <c r="B1508">
        <v>10</v>
      </c>
      <c r="C1508">
        <v>51</v>
      </c>
      <c r="D1508">
        <v>5</v>
      </c>
      <c r="E1508">
        <v>0</v>
      </c>
      <c r="F1508">
        <v>3</v>
      </c>
      <c r="G1508">
        <v>8</v>
      </c>
      <c r="H1508">
        <v>3</v>
      </c>
      <c r="I1508">
        <v>0.01</v>
      </c>
      <c r="J1508">
        <v>5</v>
      </c>
      <c r="K1508">
        <v>0</v>
      </c>
      <c r="L1508" s="4">
        <v>0.73752133003099696</v>
      </c>
      <c r="M1508" s="4">
        <v>0.26247866996900299</v>
      </c>
      <c r="N1508">
        <v>4</v>
      </c>
    </row>
    <row r="1509" spans="1:14" x14ac:dyDescent="0.35">
      <c r="A1509" s="1">
        <v>311</v>
      </c>
      <c r="B1509">
        <v>10</v>
      </c>
      <c r="C1509">
        <v>50</v>
      </c>
      <c r="D1509">
        <v>3</v>
      </c>
      <c r="E1509">
        <v>1</v>
      </c>
      <c r="F1509">
        <v>3</v>
      </c>
      <c r="G1509">
        <v>3</v>
      </c>
      <c r="H1509">
        <v>0</v>
      </c>
      <c r="I1509">
        <v>12000.01</v>
      </c>
      <c r="J1509">
        <v>8</v>
      </c>
      <c r="K1509">
        <v>0</v>
      </c>
      <c r="L1509" s="4">
        <v>0.73752620235298472</v>
      </c>
      <c r="M1509" s="4">
        <v>0.26247379764701517</v>
      </c>
      <c r="N1509">
        <v>4</v>
      </c>
    </row>
    <row r="1510" spans="1:14" x14ac:dyDescent="0.35">
      <c r="A1510" s="1">
        <v>1895</v>
      </c>
      <c r="B1510">
        <v>10</v>
      </c>
      <c r="C1510">
        <v>55</v>
      </c>
      <c r="D1510">
        <v>2</v>
      </c>
      <c r="E1510">
        <v>0</v>
      </c>
      <c r="F1510">
        <v>0</v>
      </c>
      <c r="G1510">
        <v>2</v>
      </c>
      <c r="H1510">
        <v>2</v>
      </c>
      <c r="I1510">
        <v>582.64</v>
      </c>
      <c r="J1510">
        <v>3</v>
      </c>
      <c r="K1510">
        <v>1</v>
      </c>
      <c r="L1510" s="4">
        <v>0.73775281884766808</v>
      </c>
      <c r="M1510" s="4">
        <v>0.26224718115233198</v>
      </c>
      <c r="N1510">
        <v>4</v>
      </c>
    </row>
    <row r="1511" spans="1:14" x14ac:dyDescent="0.35">
      <c r="A1511" s="1">
        <v>2181</v>
      </c>
      <c r="B1511">
        <v>8</v>
      </c>
      <c r="C1511">
        <v>44</v>
      </c>
      <c r="D1511">
        <v>5</v>
      </c>
      <c r="E1511">
        <v>0</v>
      </c>
      <c r="F1511">
        <v>1</v>
      </c>
      <c r="G1511">
        <v>7</v>
      </c>
      <c r="H1511">
        <v>3</v>
      </c>
      <c r="I1511">
        <v>0.01</v>
      </c>
      <c r="J1511">
        <v>7</v>
      </c>
      <c r="K1511">
        <v>1</v>
      </c>
      <c r="L1511" s="4">
        <v>0.73777447678582264</v>
      </c>
      <c r="M1511" s="4">
        <v>0.26222552321417741</v>
      </c>
      <c r="N1511">
        <v>4</v>
      </c>
    </row>
    <row r="1512" spans="1:14" x14ac:dyDescent="0.35">
      <c r="A1512" s="1">
        <v>3938</v>
      </c>
      <c r="B1512">
        <v>6</v>
      </c>
      <c r="C1512">
        <v>38</v>
      </c>
      <c r="D1512">
        <v>2</v>
      </c>
      <c r="E1512">
        <v>0</v>
      </c>
      <c r="F1512">
        <v>0</v>
      </c>
      <c r="G1512">
        <v>4</v>
      </c>
      <c r="H1512">
        <v>3</v>
      </c>
      <c r="I1512">
        <v>0.01</v>
      </c>
      <c r="J1512">
        <v>8</v>
      </c>
      <c r="K1512">
        <v>0</v>
      </c>
      <c r="L1512" s="4">
        <v>0.73802689476984074</v>
      </c>
      <c r="M1512" s="4">
        <v>0.26197310523015921</v>
      </c>
      <c r="N1512">
        <v>4</v>
      </c>
    </row>
    <row r="1513" spans="1:14" x14ac:dyDescent="0.35">
      <c r="A1513" s="1">
        <v>1841</v>
      </c>
      <c r="B1513">
        <v>11</v>
      </c>
      <c r="C1513">
        <v>54</v>
      </c>
      <c r="D1513">
        <v>2</v>
      </c>
      <c r="E1513">
        <v>1</v>
      </c>
      <c r="F1513">
        <v>0</v>
      </c>
      <c r="G1513">
        <v>4</v>
      </c>
      <c r="H1513">
        <v>2</v>
      </c>
      <c r="I1513">
        <v>2112.5</v>
      </c>
      <c r="J1513">
        <v>1</v>
      </c>
      <c r="K1513">
        <v>0</v>
      </c>
      <c r="L1513" s="4">
        <v>0.73826896445406187</v>
      </c>
      <c r="M1513" s="4">
        <v>0.26173103554593818</v>
      </c>
      <c r="N1513">
        <v>4</v>
      </c>
    </row>
    <row r="1514" spans="1:14" x14ac:dyDescent="0.35">
      <c r="A1514" s="1">
        <v>4087</v>
      </c>
      <c r="B1514">
        <v>10</v>
      </c>
      <c r="C1514">
        <v>53</v>
      </c>
      <c r="D1514">
        <v>5</v>
      </c>
      <c r="E1514">
        <v>0</v>
      </c>
      <c r="F1514">
        <v>0</v>
      </c>
      <c r="G1514">
        <v>11</v>
      </c>
      <c r="H1514">
        <v>2</v>
      </c>
      <c r="I1514">
        <v>3000</v>
      </c>
      <c r="J1514">
        <v>4</v>
      </c>
      <c r="K1514">
        <v>0</v>
      </c>
      <c r="L1514" s="4">
        <v>0.73829134055466161</v>
      </c>
      <c r="M1514" s="4">
        <v>0.26170865944533828</v>
      </c>
      <c r="N1514">
        <v>4</v>
      </c>
    </row>
    <row r="1515" spans="1:14" x14ac:dyDescent="0.35">
      <c r="A1515" s="1">
        <v>2584</v>
      </c>
      <c r="B1515">
        <v>11</v>
      </c>
      <c r="C1515">
        <v>54</v>
      </c>
      <c r="D1515">
        <v>1</v>
      </c>
      <c r="E1515">
        <v>1</v>
      </c>
      <c r="F1515">
        <v>2</v>
      </c>
      <c r="G1515">
        <v>0</v>
      </c>
      <c r="H1515">
        <v>2</v>
      </c>
      <c r="I1515">
        <v>3200</v>
      </c>
      <c r="J1515">
        <v>5</v>
      </c>
      <c r="K1515">
        <v>0</v>
      </c>
      <c r="L1515" s="4">
        <v>0.73859667332660628</v>
      </c>
      <c r="M1515" s="4">
        <v>0.26140332667339378</v>
      </c>
      <c r="N1515">
        <v>4</v>
      </c>
    </row>
    <row r="1516" spans="1:14" x14ac:dyDescent="0.35">
      <c r="A1516" s="1">
        <v>1738</v>
      </c>
      <c r="B1516">
        <v>11</v>
      </c>
      <c r="C1516">
        <v>57</v>
      </c>
      <c r="D1516">
        <v>2</v>
      </c>
      <c r="E1516">
        <v>0</v>
      </c>
      <c r="F1516">
        <v>3</v>
      </c>
      <c r="G1516">
        <v>3</v>
      </c>
      <c r="H1516">
        <v>3</v>
      </c>
      <c r="I1516">
        <v>0.01</v>
      </c>
      <c r="J1516">
        <v>9</v>
      </c>
      <c r="K1516">
        <v>0</v>
      </c>
      <c r="L1516" s="4">
        <v>0.73864846264705264</v>
      </c>
      <c r="M1516" s="4">
        <v>0.26135153735294742</v>
      </c>
      <c r="N1516">
        <v>4</v>
      </c>
    </row>
    <row r="1517" spans="1:14" x14ac:dyDescent="0.35">
      <c r="A1517" s="1">
        <v>2925</v>
      </c>
      <c r="B1517">
        <v>10</v>
      </c>
      <c r="C1517">
        <v>49</v>
      </c>
      <c r="D1517">
        <v>2</v>
      </c>
      <c r="E1517">
        <v>1</v>
      </c>
      <c r="F1517">
        <v>3</v>
      </c>
      <c r="G1517">
        <v>3</v>
      </c>
      <c r="H1517">
        <v>2</v>
      </c>
      <c r="I1517">
        <v>3486.7</v>
      </c>
      <c r="J1517">
        <v>15</v>
      </c>
      <c r="K1517">
        <v>0</v>
      </c>
      <c r="L1517" s="4">
        <v>0.73873780905830322</v>
      </c>
      <c r="M1517" s="4">
        <v>0.26126219094169678</v>
      </c>
      <c r="N1517">
        <v>4</v>
      </c>
    </row>
    <row r="1518" spans="1:14" x14ac:dyDescent="0.35">
      <c r="A1518" s="1">
        <v>1152</v>
      </c>
      <c r="B1518">
        <v>8</v>
      </c>
      <c r="C1518">
        <v>46</v>
      </c>
      <c r="D1518">
        <v>4</v>
      </c>
      <c r="E1518">
        <v>0</v>
      </c>
      <c r="F1518">
        <v>0</v>
      </c>
      <c r="G1518">
        <v>4</v>
      </c>
      <c r="H1518">
        <v>2</v>
      </c>
      <c r="I1518">
        <v>1000</v>
      </c>
      <c r="J1518">
        <v>5</v>
      </c>
      <c r="K1518">
        <v>0</v>
      </c>
      <c r="L1518" s="4">
        <v>0.73895273430277386</v>
      </c>
      <c r="M1518" s="4">
        <v>0.26104726569722608</v>
      </c>
      <c r="N1518">
        <v>4</v>
      </c>
    </row>
    <row r="1519" spans="1:14" x14ac:dyDescent="0.35">
      <c r="A1519" s="1">
        <v>934</v>
      </c>
      <c r="B1519">
        <v>9</v>
      </c>
      <c r="C1519">
        <v>50</v>
      </c>
      <c r="D1519">
        <v>5</v>
      </c>
      <c r="E1519">
        <v>0</v>
      </c>
      <c r="F1519">
        <v>3</v>
      </c>
      <c r="G1519">
        <v>3</v>
      </c>
      <c r="H1519">
        <v>0</v>
      </c>
      <c r="I1519">
        <v>13500</v>
      </c>
      <c r="J1519">
        <v>1</v>
      </c>
      <c r="K1519">
        <v>0</v>
      </c>
      <c r="L1519" s="4">
        <v>0.73896090833724304</v>
      </c>
      <c r="M1519" s="4">
        <v>0.26103909166275702</v>
      </c>
      <c r="N1519">
        <v>4</v>
      </c>
    </row>
    <row r="1520" spans="1:14" x14ac:dyDescent="0.35">
      <c r="A1520" s="1">
        <v>1185</v>
      </c>
      <c r="B1520">
        <v>10</v>
      </c>
      <c r="C1520">
        <v>51</v>
      </c>
      <c r="D1520">
        <v>4</v>
      </c>
      <c r="E1520">
        <v>0</v>
      </c>
      <c r="F1520">
        <v>4</v>
      </c>
      <c r="G1520">
        <v>9</v>
      </c>
      <c r="H1520">
        <v>3</v>
      </c>
      <c r="I1520">
        <v>0.01</v>
      </c>
      <c r="J1520">
        <v>5</v>
      </c>
      <c r="K1520">
        <v>1</v>
      </c>
      <c r="L1520" s="4">
        <v>0.73899216178953253</v>
      </c>
      <c r="M1520" s="4">
        <v>0.26100783821046752</v>
      </c>
      <c r="N1520">
        <v>4</v>
      </c>
    </row>
    <row r="1521" spans="1:14" x14ac:dyDescent="0.35">
      <c r="A1521" s="1">
        <v>181</v>
      </c>
      <c r="B1521">
        <v>9</v>
      </c>
      <c r="C1521">
        <v>49</v>
      </c>
      <c r="D1521">
        <v>5</v>
      </c>
      <c r="E1521">
        <v>0</v>
      </c>
      <c r="F1521">
        <v>2</v>
      </c>
      <c r="G1521">
        <v>1</v>
      </c>
      <c r="H1521">
        <v>2</v>
      </c>
      <c r="I1521">
        <v>1000</v>
      </c>
      <c r="J1521">
        <v>7</v>
      </c>
      <c r="K1521">
        <v>1</v>
      </c>
      <c r="L1521" s="4">
        <v>0.73912979077815066</v>
      </c>
      <c r="M1521" s="4">
        <v>0.26087020922184939</v>
      </c>
      <c r="N1521">
        <v>4</v>
      </c>
    </row>
    <row r="1522" spans="1:14" x14ac:dyDescent="0.35">
      <c r="A1522" s="1">
        <v>4182</v>
      </c>
      <c r="B1522">
        <v>10</v>
      </c>
      <c r="C1522">
        <v>53</v>
      </c>
      <c r="D1522">
        <v>2</v>
      </c>
      <c r="E1522">
        <v>0</v>
      </c>
      <c r="F1522">
        <v>3</v>
      </c>
      <c r="G1522">
        <v>3</v>
      </c>
      <c r="H1522">
        <v>3</v>
      </c>
      <c r="I1522">
        <v>0.01</v>
      </c>
      <c r="J1522">
        <v>9</v>
      </c>
      <c r="K1522">
        <v>0</v>
      </c>
      <c r="L1522" s="4">
        <v>0.7392313791842795</v>
      </c>
      <c r="M1522" s="4">
        <v>0.26076862081572061</v>
      </c>
      <c r="N1522">
        <v>4</v>
      </c>
    </row>
    <row r="1523" spans="1:14" x14ac:dyDescent="0.35">
      <c r="A1523" s="1">
        <v>1187</v>
      </c>
      <c r="B1523">
        <v>11</v>
      </c>
      <c r="C1523">
        <v>54</v>
      </c>
      <c r="D1523">
        <v>3</v>
      </c>
      <c r="E1523">
        <v>1</v>
      </c>
      <c r="F1523">
        <v>3</v>
      </c>
      <c r="G1523">
        <v>3</v>
      </c>
      <c r="H1523">
        <v>0</v>
      </c>
      <c r="I1523">
        <v>6000</v>
      </c>
      <c r="J1523">
        <v>5</v>
      </c>
      <c r="K1523">
        <v>0</v>
      </c>
      <c r="L1523" s="4">
        <v>0.73955390656704467</v>
      </c>
      <c r="M1523" s="4">
        <v>0.26044609343295527</v>
      </c>
      <c r="N1523">
        <v>4</v>
      </c>
    </row>
    <row r="1524" spans="1:14" x14ac:dyDescent="0.35">
      <c r="A1524" s="1">
        <v>3980</v>
      </c>
      <c r="B1524">
        <v>9</v>
      </c>
      <c r="C1524">
        <v>45</v>
      </c>
      <c r="D1524">
        <v>1</v>
      </c>
      <c r="E1524">
        <v>1</v>
      </c>
      <c r="F1524">
        <v>1</v>
      </c>
      <c r="G1524">
        <v>7</v>
      </c>
      <c r="H1524">
        <v>3</v>
      </c>
      <c r="I1524">
        <v>0.01</v>
      </c>
      <c r="J1524">
        <v>4</v>
      </c>
      <c r="K1524">
        <v>0</v>
      </c>
      <c r="L1524" s="4">
        <v>0.73981576332094601</v>
      </c>
      <c r="M1524" s="4">
        <v>0.26018423667905399</v>
      </c>
      <c r="N1524">
        <v>4</v>
      </c>
    </row>
    <row r="1525" spans="1:14" x14ac:dyDescent="0.35">
      <c r="A1525" s="1">
        <v>3422</v>
      </c>
      <c r="B1525">
        <v>7</v>
      </c>
      <c r="C1525">
        <v>31</v>
      </c>
      <c r="D1525">
        <v>4</v>
      </c>
      <c r="E1525">
        <v>2</v>
      </c>
      <c r="F1525">
        <v>3</v>
      </c>
      <c r="G1525">
        <v>3</v>
      </c>
      <c r="H1525">
        <v>2</v>
      </c>
      <c r="I1525">
        <v>1000</v>
      </c>
      <c r="J1525">
        <v>9</v>
      </c>
      <c r="K1525">
        <v>0</v>
      </c>
      <c r="L1525" s="4">
        <v>0.74024442853669448</v>
      </c>
      <c r="M1525" s="4">
        <v>0.25975557146330552</v>
      </c>
      <c r="N1525">
        <v>4</v>
      </c>
    </row>
    <row r="1526" spans="1:14" x14ac:dyDescent="0.35">
      <c r="A1526" s="1">
        <v>1893</v>
      </c>
      <c r="B1526">
        <v>9</v>
      </c>
      <c r="C1526">
        <v>49</v>
      </c>
      <c r="D1526">
        <v>5</v>
      </c>
      <c r="E1526">
        <v>0</v>
      </c>
      <c r="F1526">
        <v>0</v>
      </c>
      <c r="G1526">
        <v>4</v>
      </c>
      <c r="H1526">
        <v>3</v>
      </c>
      <c r="I1526">
        <v>0.01</v>
      </c>
      <c r="J1526">
        <v>5</v>
      </c>
      <c r="K1526">
        <v>0</v>
      </c>
      <c r="L1526" s="4">
        <v>0.74063319570421515</v>
      </c>
      <c r="M1526" s="4">
        <v>0.25936680429578479</v>
      </c>
      <c r="N1526">
        <v>4</v>
      </c>
    </row>
    <row r="1527" spans="1:14" x14ac:dyDescent="0.35">
      <c r="A1527" s="1">
        <v>4208</v>
      </c>
      <c r="B1527">
        <v>8</v>
      </c>
      <c r="C1527">
        <v>45</v>
      </c>
      <c r="D1527">
        <v>2</v>
      </c>
      <c r="E1527">
        <v>0</v>
      </c>
      <c r="F1527">
        <v>3</v>
      </c>
      <c r="G1527">
        <v>3</v>
      </c>
      <c r="H1527">
        <v>3</v>
      </c>
      <c r="I1527">
        <v>0.01</v>
      </c>
      <c r="J1527">
        <v>8</v>
      </c>
      <c r="K1527">
        <v>0</v>
      </c>
      <c r="L1527" s="4">
        <v>0.74064161057149414</v>
      </c>
      <c r="M1527" s="4">
        <v>0.25935838942850592</v>
      </c>
      <c r="N1527">
        <v>4</v>
      </c>
    </row>
    <row r="1528" spans="1:14" x14ac:dyDescent="0.35">
      <c r="A1528" s="1">
        <v>3632</v>
      </c>
      <c r="B1528">
        <v>7</v>
      </c>
      <c r="C1528">
        <v>40</v>
      </c>
      <c r="D1528">
        <v>3</v>
      </c>
      <c r="E1528">
        <v>0</v>
      </c>
      <c r="F1528">
        <v>3</v>
      </c>
      <c r="G1528">
        <v>8</v>
      </c>
      <c r="H1528">
        <v>3</v>
      </c>
      <c r="I1528">
        <v>0.01</v>
      </c>
      <c r="J1528">
        <v>5</v>
      </c>
      <c r="K1528">
        <v>0</v>
      </c>
      <c r="L1528" s="4">
        <v>0.74072862994105404</v>
      </c>
      <c r="M1528" s="4">
        <v>0.25927137005894602</v>
      </c>
      <c r="N1528">
        <v>4</v>
      </c>
    </row>
    <row r="1529" spans="1:14" x14ac:dyDescent="0.35">
      <c r="A1529" s="1">
        <v>3071</v>
      </c>
      <c r="B1529">
        <v>11</v>
      </c>
      <c r="C1529">
        <v>59</v>
      </c>
      <c r="D1529">
        <v>4</v>
      </c>
      <c r="E1529">
        <v>0</v>
      </c>
      <c r="F1529">
        <v>3</v>
      </c>
      <c r="G1529">
        <v>3</v>
      </c>
      <c r="H1529">
        <v>0</v>
      </c>
      <c r="I1529">
        <v>16000</v>
      </c>
      <c r="J1529">
        <v>12</v>
      </c>
      <c r="K1529">
        <v>0</v>
      </c>
      <c r="L1529" s="4">
        <v>0.74082073940359461</v>
      </c>
      <c r="M1529" s="4">
        <v>0.25917926059640528</v>
      </c>
      <c r="N1529">
        <v>4</v>
      </c>
    </row>
    <row r="1530" spans="1:14" x14ac:dyDescent="0.35">
      <c r="A1530" s="1">
        <v>3095</v>
      </c>
      <c r="B1530">
        <v>8</v>
      </c>
      <c r="C1530">
        <v>45</v>
      </c>
      <c r="D1530">
        <v>5</v>
      </c>
      <c r="E1530">
        <v>0</v>
      </c>
      <c r="F1530">
        <v>2</v>
      </c>
      <c r="G1530">
        <v>1</v>
      </c>
      <c r="H1530">
        <v>2</v>
      </c>
      <c r="I1530">
        <v>1000</v>
      </c>
      <c r="J1530">
        <v>2</v>
      </c>
      <c r="K1530">
        <v>0</v>
      </c>
      <c r="L1530" s="4">
        <v>0.7409472210054211</v>
      </c>
      <c r="M1530" s="4">
        <v>0.2590527789945789</v>
      </c>
      <c r="N1530">
        <v>4</v>
      </c>
    </row>
    <row r="1531" spans="1:14" x14ac:dyDescent="0.35">
      <c r="A1531" s="1">
        <v>2292</v>
      </c>
      <c r="B1531">
        <v>10</v>
      </c>
      <c r="C1531">
        <v>45</v>
      </c>
      <c r="D1531">
        <v>3</v>
      </c>
      <c r="E1531">
        <v>2</v>
      </c>
      <c r="F1531">
        <v>0</v>
      </c>
      <c r="G1531">
        <v>2</v>
      </c>
      <c r="H1531">
        <v>2</v>
      </c>
      <c r="I1531">
        <v>1000</v>
      </c>
      <c r="J1531">
        <v>1</v>
      </c>
      <c r="K1531">
        <v>0</v>
      </c>
      <c r="L1531" s="4">
        <v>0.74110807878022322</v>
      </c>
      <c r="M1531" s="4">
        <v>0.25889192121977678</v>
      </c>
      <c r="N1531">
        <v>4</v>
      </c>
    </row>
    <row r="1532" spans="1:14" x14ac:dyDescent="0.35">
      <c r="A1532" s="1">
        <v>4215</v>
      </c>
      <c r="B1532">
        <v>9</v>
      </c>
      <c r="C1532">
        <v>45</v>
      </c>
      <c r="D1532">
        <v>2</v>
      </c>
      <c r="E1532">
        <v>1</v>
      </c>
      <c r="F1532">
        <v>3</v>
      </c>
      <c r="G1532">
        <v>3</v>
      </c>
      <c r="H1532">
        <v>2</v>
      </c>
      <c r="I1532">
        <v>3000</v>
      </c>
      <c r="J1532">
        <v>8</v>
      </c>
      <c r="K1532">
        <v>0</v>
      </c>
      <c r="L1532" s="4">
        <v>0.74120096319504913</v>
      </c>
      <c r="M1532" s="4">
        <v>0.25879903680495092</v>
      </c>
      <c r="N1532">
        <v>4</v>
      </c>
    </row>
    <row r="1533" spans="1:14" x14ac:dyDescent="0.35">
      <c r="A1533" s="1">
        <v>711</v>
      </c>
      <c r="B1533">
        <v>8</v>
      </c>
      <c r="C1533">
        <v>45</v>
      </c>
      <c r="D1533">
        <v>2</v>
      </c>
      <c r="E1533">
        <v>0</v>
      </c>
      <c r="F1533">
        <v>3</v>
      </c>
      <c r="G1533">
        <v>3</v>
      </c>
      <c r="H1533">
        <v>3</v>
      </c>
      <c r="I1533">
        <v>0.01</v>
      </c>
      <c r="J1533">
        <v>5</v>
      </c>
      <c r="K1533">
        <v>0</v>
      </c>
      <c r="L1533" s="4">
        <v>0.74138147120721687</v>
      </c>
      <c r="M1533" s="4">
        <v>0.25861852879278308</v>
      </c>
      <c r="N1533">
        <v>4</v>
      </c>
    </row>
    <row r="1534" spans="1:14" x14ac:dyDescent="0.35">
      <c r="A1534" s="1">
        <v>1891</v>
      </c>
      <c r="B1534">
        <v>6</v>
      </c>
      <c r="C1534">
        <v>37</v>
      </c>
      <c r="D1534">
        <v>5</v>
      </c>
      <c r="E1534">
        <v>0</v>
      </c>
      <c r="F1534">
        <v>0</v>
      </c>
      <c r="G1534">
        <v>4</v>
      </c>
      <c r="H1534">
        <v>3</v>
      </c>
      <c r="I1534">
        <v>0.01</v>
      </c>
      <c r="J1534">
        <v>9</v>
      </c>
      <c r="K1534">
        <v>1</v>
      </c>
      <c r="L1534" s="4">
        <v>0.74138645401033831</v>
      </c>
      <c r="M1534" s="4">
        <v>0.25861354598966169</v>
      </c>
      <c r="N1534">
        <v>4</v>
      </c>
    </row>
    <row r="1535" spans="1:14" x14ac:dyDescent="0.35">
      <c r="A1535" s="1">
        <v>4332</v>
      </c>
      <c r="B1535">
        <v>9</v>
      </c>
      <c r="C1535">
        <v>50</v>
      </c>
      <c r="D1535">
        <v>2</v>
      </c>
      <c r="E1535">
        <v>0</v>
      </c>
      <c r="F1535">
        <v>2</v>
      </c>
      <c r="G1535">
        <v>6</v>
      </c>
      <c r="H1535">
        <v>2</v>
      </c>
      <c r="I1535">
        <v>0.02</v>
      </c>
      <c r="J1535">
        <v>4</v>
      </c>
      <c r="K1535">
        <v>0</v>
      </c>
      <c r="L1535" s="4">
        <v>0.74185462037442262</v>
      </c>
      <c r="M1535" s="4">
        <v>0.25814537962557738</v>
      </c>
      <c r="N1535">
        <v>4</v>
      </c>
    </row>
    <row r="1536" spans="1:14" x14ac:dyDescent="0.35">
      <c r="A1536" s="1">
        <v>2089</v>
      </c>
      <c r="B1536">
        <v>7</v>
      </c>
      <c r="C1536">
        <v>42</v>
      </c>
      <c r="D1536">
        <v>3</v>
      </c>
      <c r="E1536">
        <v>0</v>
      </c>
      <c r="F1536">
        <v>0</v>
      </c>
      <c r="G1536">
        <v>4</v>
      </c>
      <c r="H1536">
        <v>3</v>
      </c>
      <c r="I1536">
        <v>0.01</v>
      </c>
      <c r="J1536">
        <v>8</v>
      </c>
      <c r="K1536">
        <v>1</v>
      </c>
      <c r="L1536" s="4">
        <v>0.74250305941031502</v>
      </c>
      <c r="M1536" s="4">
        <v>0.25749694058968498</v>
      </c>
      <c r="N1536">
        <v>4</v>
      </c>
    </row>
    <row r="1537" spans="1:14" x14ac:dyDescent="0.35">
      <c r="A1537" s="1">
        <v>2032</v>
      </c>
      <c r="B1537">
        <v>8</v>
      </c>
      <c r="C1537">
        <v>41</v>
      </c>
      <c r="D1537">
        <v>2</v>
      </c>
      <c r="E1537">
        <v>1</v>
      </c>
      <c r="F1537">
        <v>3</v>
      </c>
      <c r="G1537">
        <v>3</v>
      </c>
      <c r="H1537">
        <v>2</v>
      </c>
      <c r="I1537">
        <v>500.01</v>
      </c>
      <c r="J1537">
        <v>8</v>
      </c>
      <c r="K1537">
        <v>0</v>
      </c>
      <c r="L1537" s="4">
        <v>0.74255097495058719</v>
      </c>
      <c r="M1537" s="4">
        <v>0.25744902504941269</v>
      </c>
      <c r="N1537">
        <v>4</v>
      </c>
    </row>
    <row r="1538" spans="1:14" x14ac:dyDescent="0.35">
      <c r="A1538" s="1">
        <v>1249</v>
      </c>
      <c r="B1538">
        <v>8</v>
      </c>
      <c r="C1538">
        <v>46</v>
      </c>
      <c r="D1538">
        <v>3</v>
      </c>
      <c r="E1538">
        <v>0</v>
      </c>
      <c r="F1538">
        <v>0</v>
      </c>
      <c r="G1538">
        <v>4</v>
      </c>
      <c r="H1538">
        <v>3</v>
      </c>
      <c r="I1538">
        <v>0.01</v>
      </c>
      <c r="J1538">
        <v>5</v>
      </c>
      <c r="K1538">
        <v>0</v>
      </c>
      <c r="L1538" s="4">
        <v>0.74266237489309028</v>
      </c>
      <c r="M1538" s="4">
        <v>0.25733762510690972</v>
      </c>
      <c r="N1538">
        <v>4</v>
      </c>
    </row>
    <row r="1539" spans="1:14" x14ac:dyDescent="0.35">
      <c r="A1539" s="1">
        <v>2057</v>
      </c>
      <c r="B1539">
        <v>8</v>
      </c>
      <c r="C1539">
        <v>46</v>
      </c>
      <c r="D1539">
        <v>3</v>
      </c>
      <c r="E1539">
        <v>0</v>
      </c>
      <c r="F1539">
        <v>0</v>
      </c>
      <c r="G1539">
        <v>4</v>
      </c>
      <c r="H1539">
        <v>3</v>
      </c>
      <c r="I1539">
        <v>0.01</v>
      </c>
      <c r="J1539">
        <v>5</v>
      </c>
      <c r="K1539">
        <v>0</v>
      </c>
      <c r="L1539" s="4">
        <v>0.74266237489309028</v>
      </c>
      <c r="M1539" s="4">
        <v>0.25733762510690972</v>
      </c>
      <c r="N1539">
        <v>4</v>
      </c>
    </row>
    <row r="1540" spans="1:14" x14ac:dyDescent="0.35">
      <c r="A1540" s="1">
        <v>3294</v>
      </c>
      <c r="B1540">
        <v>9</v>
      </c>
      <c r="C1540">
        <v>50</v>
      </c>
      <c r="D1540">
        <v>2</v>
      </c>
      <c r="E1540">
        <v>0</v>
      </c>
      <c r="F1540">
        <v>1</v>
      </c>
      <c r="G1540">
        <v>5</v>
      </c>
      <c r="H1540">
        <v>3</v>
      </c>
      <c r="I1540">
        <v>0.01</v>
      </c>
      <c r="J1540">
        <v>8</v>
      </c>
      <c r="K1540">
        <v>0</v>
      </c>
      <c r="L1540" s="4">
        <v>0.7428027750031494</v>
      </c>
      <c r="M1540" s="4">
        <v>0.2571972249968506</v>
      </c>
      <c r="N1540">
        <v>4</v>
      </c>
    </row>
    <row r="1541" spans="1:14" x14ac:dyDescent="0.35">
      <c r="A1541" s="1">
        <v>3510</v>
      </c>
      <c r="B1541">
        <v>10</v>
      </c>
      <c r="C1541">
        <v>54</v>
      </c>
      <c r="D1541">
        <v>2</v>
      </c>
      <c r="E1541">
        <v>0</v>
      </c>
      <c r="F1541">
        <v>0</v>
      </c>
      <c r="G1541">
        <v>11</v>
      </c>
      <c r="H1541">
        <v>3</v>
      </c>
      <c r="I1541">
        <v>0.01</v>
      </c>
      <c r="J1541">
        <v>9</v>
      </c>
      <c r="K1541">
        <v>1</v>
      </c>
      <c r="L1541" s="4">
        <v>0.74284197929427287</v>
      </c>
      <c r="M1541" s="4">
        <v>0.25715802070572708</v>
      </c>
      <c r="N1541">
        <v>4</v>
      </c>
    </row>
    <row r="1542" spans="1:14" x14ac:dyDescent="0.35">
      <c r="A1542" s="1">
        <v>197</v>
      </c>
      <c r="B1542">
        <v>9</v>
      </c>
      <c r="C1542">
        <v>52</v>
      </c>
      <c r="D1542">
        <v>1</v>
      </c>
      <c r="E1542">
        <v>0</v>
      </c>
      <c r="F1542">
        <v>3</v>
      </c>
      <c r="G1542">
        <v>3</v>
      </c>
      <c r="H1542">
        <v>0</v>
      </c>
      <c r="I1542">
        <v>5982</v>
      </c>
      <c r="J1542">
        <v>6</v>
      </c>
      <c r="K1542">
        <v>0</v>
      </c>
      <c r="L1542" s="4">
        <v>0.74295803138264027</v>
      </c>
      <c r="M1542" s="4">
        <v>0.25704196861735978</v>
      </c>
      <c r="N1542">
        <v>4</v>
      </c>
    </row>
    <row r="1543" spans="1:14" x14ac:dyDescent="0.35">
      <c r="A1543" s="1">
        <v>540</v>
      </c>
      <c r="B1543">
        <v>9</v>
      </c>
      <c r="C1543">
        <v>48</v>
      </c>
      <c r="D1543">
        <v>5</v>
      </c>
      <c r="E1543">
        <v>0</v>
      </c>
      <c r="F1543">
        <v>1</v>
      </c>
      <c r="G1543">
        <v>12</v>
      </c>
      <c r="H1543">
        <v>3</v>
      </c>
      <c r="I1543">
        <v>0.01</v>
      </c>
      <c r="J1543">
        <v>5</v>
      </c>
      <c r="K1543">
        <v>0</v>
      </c>
      <c r="L1543" s="4">
        <v>0.74296352135513866</v>
      </c>
      <c r="M1543" s="4">
        <v>0.25703647864486129</v>
      </c>
      <c r="N1543">
        <v>4</v>
      </c>
    </row>
    <row r="1544" spans="1:14" x14ac:dyDescent="0.35">
      <c r="A1544" s="1">
        <v>3358</v>
      </c>
      <c r="B1544">
        <v>9</v>
      </c>
      <c r="C1544">
        <v>39</v>
      </c>
      <c r="D1544">
        <v>5</v>
      </c>
      <c r="E1544">
        <v>2</v>
      </c>
      <c r="F1544">
        <v>3</v>
      </c>
      <c r="G1544">
        <v>3</v>
      </c>
      <c r="H1544">
        <v>2</v>
      </c>
      <c r="I1544">
        <v>4000</v>
      </c>
      <c r="J1544">
        <v>9</v>
      </c>
      <c r="K1544">
        <v>0</v>
      </c>
      <c r="L1544" s="4">
        <v>0.74319942968662611</v>
      </c>
      <c r="M1544" s="4">
        <v>0.25680057031337389</v>
      </c>
      <c r="N1544">
        <v>4</v>
      </c>
    </row>
    <row r="1545" spans="1:14" x14ac:dyDescent="0.35">
      <c r="A1545" s="1">
        <v>1972</v>
      </c>
      <c r="B1545">
        <v>10</v>
      </c>
      <c r="C1545">
        <v>46</v>
      </c>
      <c r="D1545">
        <v>5</v>
      </c>
      <c r="E1545">
        <v>1</v>
      </c>
      <c r="F1545">
        <v>4</v>
      </c>
      <c r="G1545">
        <v>9</v>
      </c>
      <c r="H1545">
        <v>3</v>
      </c>
      <c r="I1545">
        <v>0.01</v>
      </c>
      <c r="J1545">
        <v>4</v>
      </c>
      <c r="K1545">
        <v>0</v>
      </c>
      <c r="L1545" s="4">
        <v>0.74325037373281111</v>
      </c>
      <c r="M1545" s="4">
        <v>0.25674962626718889</v>
      </c>
      <c r="N1545">
        <v>4</v>
      </c>
    </row>
    <row r="1546" spans="1:14" x14ac:dyDescent="0.35">
      <c r="A1546" s="1">
        <v>4300</v>
      </c>
      <c r="B1546">
        <v>9</v>
      </c>
      <c r="C1546">
        <v>47</v>
      </c>
      <c r="D1546">
        <v>2</v>
      </c>
      <c r="E1546">
        <v>1</v>
      </c>
      <c r="F1546">
        <v>1</v>
      </c>
      <c r="G1546">
        <v>12</v>
      </c>
      <c r="H1546">
        <v>0</v>
      </c>
      <c r="I1546">
        <v>6000</v>
      </c>
      <c r="J1546">
        <v>15</v>
      </c>
      <c r="K1546">
        <v>0</v>
      </c>
      <c r="L1546" s="4">
        <v>0.7433151312200269</v>
      </c>
      <c r="M1546" s="4">
        <v>0.2566848687799731</v>
      </c>
      <c r="N1546">
        <v>4</v>
      </c>
    </row>
    <row r="1547" spans="1:14" x14ac:dyDescent="0.35">
      <c r="A1547" s="1">
        <v>3252</v>
      </c>
      <c r="B1547">
        <v>8</v>
      </c>
      <c r="C1547">
        <v>47</v>
      </c>
      <c r="D1547">
        <v>3</v>
      </c>
      <c r="E1547">
        <v>0</v>
      </c>
      <c r="F1547">
        <v>0</v>
      </c>
      <c r="G1547">
        <v>2</v>
      </c>
      <c r="H1547">
        <v>2</v>
      </c>
      <c r="I1547">
        <v>1000</v>
      </c>
      <c r="J1547">
        <v>5</v>
      </c>
      <c r="K1547">
        <v>0</v>
      </c>
      <c r="L1547" s="4">
        <v>0.74334446502352391</v>
      </c>
      <c r="M1547" s="4">
        <v>0.25665553497647597</v>
      </c>
      <c r="N1547">
        <v>4</v>
      </c>
    </row>
    <row r="1548" spans="1:14" x14ac:dyDescent="0.35">
      <c r="A1548" s="1">
        <v>1639</v>
      </c>
      <c r="B1548">
        <v>7</v>
      </c>
      <c r="C1548">
        <v>41</v>
      </c>
      <c r="D1548">
        <v>4</v>
      </c>
      <c r="E1548">
        <v>0</v>
      </c>
      <c r="F1548">
        <v>3</v>
      </c>
      <c r="G1548">
        <v>3</v>
      </c>
      <c r="H1548">
        <v>2</v>
      </c>
      <c r="I1548">
        <v>480</v>
      </c>
      <c r="J1548">
        <v>4</v>
      </c>
      <c r="K1548">
        <v>0</v>
      </c>
      <c r="L1548" s="4">
        <v>0.74369982586890604</v>
      </c>
      <c r="M1548" s="4">
        <v>0.25630017413109402</v>
      </c>
      <c r="N1548">
        <v>4</v>
      </c>
    </row>
    <row r="1549" spans="1:14" x14ac:dyDescent="0.35">
      <c r="A1549" s="1">
        <v>1332</v>
      </c>
      <c r="B1549">
        <v>7</v>
      </c>
      <c r="C1549">
        <v>37</v>
      </c>
      <c r="D1549">
        <v>2</v>
      </c>
      <c r="E1549">
        <v>1</v>
      </c>
      <c r="F1549">
        <v>3</v>
      </c>
      <c r="G1549">
        <v>3</v>
      </c>
      <c r="H1549">
        <v>2</v>
      </c>
      <c r="I1549">
        <v>3000</v>
      </c>
      <c r="J1549">
        <v>2</v>
      </c>
      <c r="K1549">
        <v>0</v>
      </c>
      <c r="L1549" s="4">
        <v>0.74383048875745739</v>
      </c>
      <c r="M1549" s="4">
        <v>0.25616951124254272</v>
      </c>
      <c r="N1549">
        <v>4</v>
      </c>
    </row>
    <row r="1550" spans="1:14" x14ac:dyDescent="0.35">
      <c r="A1550" s="1">
        <v>4095</v>
      </c>
      <c r="B1550">
        <v>8</v>
      </c>
      <c r="C1550">
        <v>46</v>
      </c>
      <c r="D1550">
        <v>2</v>
      </c>
      <c r="E1550">
        <v>0</v>
      </c>
      <c r="F1550">
        <v>3</v>
      </c>
      <c r="G1550">
        <v>3</v>
      </c>
      <c r="H1550">
        <v>2</v>
      </c>
      <c r="I1550">
        <v>4198</v>
      </c>
      <c r="J1550">
        <v>1</v>
      </c>
      <c r="K1550">
        <v>0</v>
      </c>
      <c r="L1550" s="4">
        <v>0.74415921276498898</v>
      </c>
      <c r="M1550" s="4">
        <v>0.25584078723501108</v>
      </c>
      <c r="N1550">
        <v>4</v>
      </c>
    </row>
    <row r="1551" spans="1:14" x14ac:dyDescent="0.35">
      <c r="A1551" s="1">
        <v>24</v>
      </c>
      <c r="B1551">
        <v>4</v>
      </c>
      <c r="C1551">
        <v>30</v>
      </c>
      <c r="D1551">
        <v>3</v>
      </c>
      <c r="E1551">
        <v>0</v>
      </c>
      <c r="F1551">
        <v>0</v>
      </c>
      <c r="G1551">
        <v>4</v>
      </c>
      <c r="H1551">
        <v>3</v>
      </c>
      <c r="I1551">
        <v>0.01</v>
      </c>
      <c r="J1551">
        <v>8</v>
      </c>
      <c r="K1551">
        <v>0</v>
      </c>
      <c r="L1551" s="4">
        <v>0.74423244504965558</v>
      </c>
      <c r="M1551" s="4">
        <v>0.25576755495034442</v>
      </c>
      <c r="N1551">
        <v>4</v>
      </c>
    </row>
    <row r="1552" spans="1:14" x14ac:dyDescent="0.35">
      <c r="A1552" s="1">
        <v>964</v>
      </c>
      <c r="B1552">
        <v>5</v>
      </c>
      <c r="C1552">
        <v>33</v>
      </c>
      <c r="D1552">
        <v>4</v>
      </c>
      <c r="E1552">
        <v>0</v>
      </c>
      <c r="F1552">
        <v>1</v>
      </c>
      <c r="G1552">
        <v>5</v>
      </c>
      <c r="H1552">
        <v>3</v>
      </c>
      <c r="I1552">
        <v>0.01</v>
      </c>
      <c r="J1552">
        <v>5</v>
      </c>
      <c r="K1552">
        <v>1</v>
      </c>
      <c r="L1552" s="4">
        <v>0.74439924618785291</v>
      </c>
      <c r="M1552" s="4">
        <v>0.25560075381214709</v>
      </c>
      <c r="N1552">
        <v>4</v>
      </c>
    </row>
    <row r="1553" spans="1:14" x14ac:dyDescent="0.35">
      <c r="A1553" s="1">
        <v>1400</v>
      </c>
      <c r="B1553">
        <v>9</v>
      </c>
      <c r="C1553">
        <v>51</v>
      </c>
      <c r="D1553">
        <v>5</v>
      </c>
      <c r="E1553">
        <v>0</v>
      </c>
      <c r="F1553">
        <v>0</v>
      </c>
      <c r="G1553">
        <v>11</v>
      </c>
      <c r="H1553">
        <v>0</v>
      </c>
      <c r="I1553">
        <v>6000</v>
      </c>
      <c r="J1553">
        <v>2</v>
      </c>
      <c r="K1553">
        <v>0</v>
      </c>
      <c r="L1553" s="4">
        <v>0.74463289888318451</v>
      </c>
      <c r="M1553" s="4">
        <v>0.25536710111681549</v>
      </c>
      <c r="N1553">
        <v>4</v>
      </c>
    </row>
    <row r="1554" spans="1:14" x14ac:dyDescent="0.35">
      <c r="A1554" s="1">
        <v>1578</v>
      </c>
      <c r="B1554">
        <v>9</v>
      </c>
      <c r="C1554">
        <v>51</v>
      </c>
      <c r="D1554">
        <v>2</v>
      </c>
      <c r="E1554">
        <v>0</v>
      </c>
      <c r="F1554">
        <v>0</v>
      </c>
      <c r="G1554">
        <v>10</v>
      </c>
      <c r="H1554">
        <v>2</v>
      </c>
      <c r="I1554">
        <v>5000</v>
      </c>
      <c r="J1554">
        <v>5</v>
      </c>
      <c r="K1554">
        <v>0</v>
      </c>
      <c r="L1554" s="4">
        <v>0.74489558947582069</v>
      </c>
      <c r="M1554" s="4">
        <v>0.25510441052417931</v>
      </c>
      <c r="N1554">
        <v>4</v>
      </c>
    </row>
    <row r="1555" spans="1:14" x14ac:dyDescent="0.35">
      <c r="A1555" s="1">
        <v>1929</v>
      </c>
      <c r="B1555">
        <v>6</v>
      </c>
      <c r="C1555">
        <v>38</v>
      </c>
      <c r="D1555">
        <v>5</v>
      </c>
      <c r="E1555">
        <v>0</v>
      </c>
      <c r="F1555">
        <v>0</v>
      </c>
      <c r="G1555">
        <v>4</v>
      </c>
      <c r="H1555">
        <v>2</v>
      </c>
      <c r="I1555">
        <v>50</v>
      </c>
      <c r="J1555">
        <v>7</v>
      </c>
      <c r="K1555">
        <v>0</v>
      </c>
      <c r="L1555" s="4">
        <v>0.74494648215096082</v>
      </c>
      <c r="M1555" s="4">
        <v>0.25505351784903912</v>
      </c>
      <c r="N1555">
        <v>4</v>
      </c>
    </row>
    <row r="1556" spans="1:14" x14ac:dyDescent="0.35">
      <c r="A1556" s="1">
        <v>617</v>
      </c>
      <c r="B1556">
        <v>8</v>
      </c>
      <c r="C1556">
        <v>44</v>
      </c>
      <c r="D1556">
        <v>5</v>
      </c>
      <c r="E1556">
        <v>0</v>
      </c>
      <c r="F1556">
        <v>3</v>
      </c>
      <c r="G1556">
        <v>3</v>
      </c>
      <c r="H1556">
        <v>3</v>
      </c>
      <c r="I1556">
        <v>0.01</v>
      </c>
      <c r="J1556">
        <v>5</v>
      </c>
      <c r="K1556">
        <v>0</v>
      </c>
      <c r="L1556" s="4">
        <v>0.74495712491237176</v>
      </c>
      <c r="M1556" s="4">
        <v>0.25504287508762818</v>
      </c>
      <c r="N1556">
        <v>4</v>
      </c>
    </row>
    <row r="1557" spans="1:14" x14ac:dyDescent="0.35">
      <c r="A1557" s="1">
        <v>4186</v>
      </c>
      <c r="B1557">
        <v>8</v>
      </c>
      <c r="C1557">
        <v>41</v>
      </c>
      <c r="D1557">
        <v>2</v>
      </c>
      <c r="E1557">
        <v>1</v>
      </c>
      <c r="F1557">
        <v>1</v>
      </c>
      <c r="G1557">
        <v>7</v>
      </c>
      <c r="H1557">
        <v>3</v>
      </c>
      <c r="I1557">
        <v>0.01</v>
      </c>
      <c r="J1557">
        <v>5</v>
      </c>
      <c r="K1557">
        <v>0</v>
      </c>
      <c r="L1557" s="4">
        <v>0.74517657578906649</v>
      </c>
      <c r="M1557" s="4">
        <v>0.25482342421093351</v>
      </c>
      <c r="N1557">
        <v>4</v>
      </c>
    </row>
    <row r="1558" spans="1:14" x14ac:dyDescent="0.35">
      <c r="A1558" s="1">
        <v>1346</v>
      </c>
      <c r="B1558">
        <v>8</v>
      </c>
      <c r="C1558">
        <v>49</v>
      </c>
      <c r="D1558">
        <v>2</v>
      </c>
      <c r="E1558">
        <v>0</v>
      </c>
      <c r="F1558">
        <v>0</v>
      </c>
      <c r="G1558">
        <v>4</v>
      </c>
      <c r="H1558">
        <v>0</v>
      </c>
      <c r="I1558">
        <v>5500</v>
      </c>
      <c r="J1558">
        <v>5</v>
      </c>
      <c r="K1558">
        <v>1</v>
      </c>
      <c r="L1558" s="4">
        <v>0.74520024625732817</v>
      </c>
      <c r="M1558" s="4">
        <v>0.25479975374267178</v>
      </c>
      <c r="N1558">
        <v>4</v>
      </c>
    </row>
    <row r="1559" spans="1:14" x14ac:dyDescent="0.35">
      <c r="A1559" s="1">
        <v>1497</v>
      </c>
      <c r="B1559">
        <v>9</v>
      </c>
      <c r="C1559">
        <v>53</v>
      </c>
      <c r="D1559">
        <v>2</v>
      </c>
      <c r="E1559">
        <v>0</v>
      </c>
      <c r="F1559">
        <v>0</v>
      </c>
      <c r="G1559">
        <v>4</v>
      </c>
      <c r="H1559">
        <v>0</v>
      </c>
      <c r="I1559">
        <v>6000</v>
      </c>
      <c r="J1559">
        <v>2</v>
      </c>
      <c r="K1559">
        <v>0</v>
      </c>
      <c r="L1559" s="4">
        <v>0.74520552876739554</v>
      </c>
      <c r="M1559" s="4">
        <v>0.25479447123260451</v>
      </c>
      <c r="N1559">
        <v>4</v>
      </c>
    </row>
    <row r="1560" spans="1:14" x14ac:dyDescent="0.35">
      <c r="A1560" s="1">
        <v>2740</v>
      </c>
      <c r="B1560">
        <v>8</v>
      </c>
      <c r="C1560">
        <v>44</v>
      </c>
      <c r="D1560">
        <v>0</v>
      </c>
      <c r="E1560">
        <v>1</v>
      </c>
      <c r="F1560">
        <v>3</v>
      </c>
      <c r="G1560">
        <v>3</v>
      </c>
      <c r="H1560">
        <v>0</v>
      </c>
      <c r="I1560">
        <v>6000</v>
      </c>
      <c r="J1560">
        <v>21</v>
      </c>
      <c r="K1560">
        <v>0</v>
      </c>
      <c r="L1560" s="4">
        <v>0.74528004272697168</v>
      </c>
      <c r="M1560" s="4">
        <v>0.25471995727302832</v>
      </c>
      <c r="N1560">
        <v>4</v>
      </c>
    </row>
    <row r="1561" spans="1:14" x14ac:dyDescent="0.35">
      <c r="A1561" s="1">
        <v>2262</v>
      </c>
      <c r="B1561">
        <v>8</v>
      </c>
      <c r="C1561">
        <v>37</v>
      </c>
      <c r="D1561">
        <v>5</v>
      </c>
      <c r="E1561">
        <v>2</v>
      </c>
      <c r="F1561">
        <v>0</v>
      </c>
      <c r="G1561">
        <v>11</v>
      </c>
      <c r="H1561">
        <v>1</v>
      </c>
      <c r="I1561">
        <v>22200</v>
      </c>
      <c r="J1561">
        <v>7</v>
      </c>
      <c r="K1561">
        <v>0</v>
      </c>
      <c r="L1561" s="4">
        <v>0.74533963100356382</v>
      </c>
      <c r="M1561" s="4">
        <v>0.25466036899643613</v>
      </c>
      <c r="N1561">
        <v>4</v>
      </c>
    </row>
    <row r="1562" spans="1:14" x14ac:dyDescent="0.35">
      <c r="A1562" s="1">
        <v>3749</v>
      </c>
      <c r="B1562">
        <v>13</v>
      </c>
      <c r="C1562">
        <v>67</v>
      </c>
      <c r="D1562">
        <v>4</v>
      </c>
      <c r="E1562">
        <v>0</v>
      </c>
      <c r="F1562">
        <v>0</v>
      </c>
      <c r="G1562">
        <v>2</v>
      </c>
      <c r="H1562">
        <v>2</v>
      </c>
      <c r="I1562">
        <v>960</v>
      </c>
      <c r="J1562">
        <v>4</v>
      </c>
      <c r="K1562">
        <v>0</v>
      </c>
      <c r="L1562" s="4">
        <v>0.74573020350901542</v>
      </c>
      <c r="M1562" s="4">
        <v>0.25426979649098452</v>
      </c>
      <c r="N1562">
        <v>4</v>
      </c>
    </row>
    <row r="1563" spans="1:14" x14ac:dyDescent="0.35">
      <c r="A1563" s="1">
        <v>2710</v>
      </c>
      <c r="B1563">
        <v>9</v>
      </c>
      <c r="C1563">
        <v>49</v>
      </c>
      <c r="D1563">
        <v>3</v>
      </c>
      <c r="E1563">
        <v>0</v>
      </c>
      <c r="F1563">
        <v>3</v>
      </c>
      <c r="G1563">
        <v>3</v>
      </c>
      <c r="H1563">
        <v>3</v>
      </c>
      <c r="I1563">
        <v>0.01</v>
      </c>
      <c r="J1563">
        <v>5</v>
      </c>
      <c r="K1563">
        <v>0</v>
      </c>
      <c r="L1563" s="4">
        <v>0.7458200587824384</v>
      </c>
      <c r="M1563" s="4">
        <v>0.25417994121756171</v>
      </c>
      <c r="N1563">
        <v>4</v>
      </c>
    </row>
    <row r="1564" spans="1:14" x14ac:dyDescent="0.35">
      <c r="A1564" s="1">
        <v>880</v>
      </c>
      <c r="B1564">
        <v>12</v>
      </c>
      <c r="C1564">
        <v>63</v>
      </c>
      <c r="D1564">
        <v>1</v>
      </c>
      <c r="E1564">
        <v>0</v>
      </c>
      <c r="F1564">
        <v>1</v>
      </c>
      <c r="G1564">
        <v>12</v>
      </c>
      <c r="H1564">
        <v>2</v>
      </c>
      <c r="I1564">
        <v>5000</v>
      </c>
      <c r="J1564">
        <v>4</v>
      </c>
      <c r="K1564">
        <v>0</v>
      </c>
      <c r="L1564" s="4">
        <v>0.74590539757107943</v>
      </c>
      <c r="M1564" s="4">
        <v>0.25409460242892062</v>
      </c>
      <c r="N1564">
        <v>4</v>
      </c>
    </row>
    <row r="1565" spans="1:14" x14ac:dyDescent="0.35">
      <c r="A1565" s="1">
        <v>166</v>
      </c>
      <c r="B1565">
        <v>9</v>
      </c>
      <c r="C1565">
        <v>44</v>
      </c>
      <c r="D1565">
        <v>5</v>
      </c>
      <c r="E1565">
        <v>1</v>
      </c>
      <c r="F1565">
        <v>0</v>
      </c>
      <c r="G1565">
        <v>11</v>
      </c>
      <c r="H1565">
        <v>3</v>
      </c>
      <c r="I1565">
        <v>0.01</v>
      </c>
      <c r="J1565">
        <v>9</v>
      </c>
      <c r="K1565">
        <v>0</v>
      </c>
      <c r="L1565" s="4">
        <v>0.7459552721865006</v>
      </c>
      <c r="M1565" s="4">
        <v>0.25404472781349952</v>
      </c>
      <c r="N1565">
        <v>4</v>
      </c>
    </row>
    <row r="1566" spans="1:14" x14ac:dyDescent="0.35">
      <c r="A1566" s="1">
        <v>545</v>
      </c>
      <c r="B1566">
        <v>10</v>
      </c>
      <c r="C1566">
        <v>54</v>
      </c>
      <c r="D1566">
        <v>4</v>
      </c>
      <c r="E1566">
        <v>0</v>
      </c>
      <c r="F1566">
        <v>0</v>
      </c>
      <c r="G1566">
        <v>4</v>
      </c>
      <c r="H1566">
        <v>3</v>
      </c>
      <c r="I1566">
        <v>0.01</v>
      </c>
      <c r="J1566">
        <v>6</v>
      </c>
      <c r="K1566">
        <v>0</v>
      </c>
      <c r="L1566" s="4">
        <v>0.74627185034028543</v>
      </c>
      <c r="M1566" s="4">
        <v>0.25372814965971452</v>
      </c>
      <c r="N1566">
        <v>4</v>
      </c>
    </row>
    <row r="1567" spans="1:14" x14ac:dyDescent="0.35">
      <c r="A1567" s="1">
        <v>3362</v>
      </c>
      <c r="B1567">
        <v>8</v>
      </c>
      <c r="C1567">
        <v>45</v>
      </c>
      <c r="D1567">
        <v>5</v>
      </c>
      <c r="E1567">
        <v>0</v>
      </c>
      <c r="F1567">
        <v>3</v>
      </c>
      <c r="G1567">
        <v>3</v>
      </c>
      <c r="H1567">
        <v>2</v>
      </c>
      <c r="I1567">
        <v>4000</v>
      </c>
      <c r="J1567">
        <v>7</v>
      </c>
      <c r="K1567">
        <v>0</v>
      </c>
      <c r="L1567" s="4">
        <v>0.74631267795677636</v>
      </c>
      <c r="M1567" s="4">
        <v>0.25368732204322358</v>
      </c>
      <c r="N1567">
        <v>4</v>
      </c>
    </row>
    <row r="1568" spans="1:14" x14ac:dyDescent="0.35">
      <c r="A1568" s="1">
        <v>2649</v>
      </c>
      <c r="B1568">
        <v>5</v>
      </c>
      <c r="C1568">
        <v>33</v>
      </c>
      <c r="D1568">
        <v>4</v>
      </c>
      <c r="E1568">
        <v>0</v>
      </c>
      <c r="F1568">
        <v>1</v>
      </c>
      <c r="G1568">
        <v>7</v>
      </c>
      <c r="H1568">
        <v>3</v>
      </c>
      <c r="I1568">
        <v>0.01</v>
      </c>
      <c r="J1568">
        <v>5</v>
      </c>
      <c r="K1568">
        <v>1</v>
      </c>
      <c r="L1568" s="4">
        <v>0.7464825810004927</v>
      </c>
      <c r="M1568" s="4">
        <v>0.25351741899950742</v>
      </c>
      <c r="N1568">
        <v>4</v>
      </c>
    </row>
    <row r="1569" spans="1:14" x14ac:dyDescent="0.35">
      <c r="A1569" s="1">
        <v>4354</v>
      </c>
      <c r="B1569">
        <v>12</v>
      </c>
      <c r="C1569">
        <v>64</v>
      </c>
      <c r="D1569">
        <v>0</v>
      </c>
      <c r="E1569">
        <v>0</v>
      </c>
      <c r="F1569">
        <v>1</v>
      </c>
      <c r="G1569">
        <v>7</v>
      </c>
      <c r="H1569">
        <v>2</v>
      </c>
      <c r="I1569">
        <v>3000</v>
      </c>
      <c r="J1569">
        <v>9</v>
      </c>
      <c r="K1569">
        <v>0</v>
      </c>
      <c r="L1569" s="4">
        <v>0.74651540006814832</v>
      </c>
      <c r="M1569" s="4">
        <v>0.25348459993185168</v>
      </c>
      <c r="N1569">
        <v>4</v>
      </c>
    </row>
    <row r="1570" spans="1:14" x14ac:dyDescent="0.35">
      <c r="A1570" s="1">
        <v>3157</v>
      </c>
      <c r="B1570">
        <v>5</v>
      </c>
      <c r="C1570">
        <v>30</v>
      </c>
      <c r="D1570">
        <v>0</v>
      </c>
      <c r="E1570">
        <v>1</v>
      </c>
      <c r="F1570">
        <v>3</v>
      </c>
      <c r="G1570">
        <v>3</v>
      </c>
      <c r="H1570">
        <v>2</v>
      </c>
      <c r="I1570">
        <v>1000</v>
      </c>
      <c r="J1570">
        <v>4</v>
      </c>
      <c r="K1570">
        <v>1</v>
      </c>
      <c r="L1570" s="4">
        <v>0.74653907532035724</v>
      </c>
      <c r="M1570" s="4">
        <v>0.25346092467964282</v>
      </c>
      <c r="N1570">
        <v>4</v>
      </c>
    </row>
    <row r="1571" spans="1:14" x14ac:dyDescent="0.35">
      <c r="A1571" s="1">
        <v>1069</v>
      </c>
      <c r="B1571">
        <v>8</v>
      </c>
      <c r="C1571">
        <v>46</v>
      </c>
      <c r="D1571">
        <v>3</v>
      </c>
      <c r="E1571">
        <v>0</v>
      </c>
      <c r="F1571">
        <v>1</v>
      </c>
      <c r="G1571">
        <v>12</v>
      </c>
      <c r="H1571">
        <v>2</v>
      </c>
      <c r="I1571">
        <v>50.01</v>
      </c>
      <c r="J1571">
        <v>9</v>
      </c>
      <c r="K1571">
        <v>0</v>
      </c>
      <c r="L1571" s="4">
        <v>0.74705387080859165</v>
      </c>
      <c r="M1571" s="4">
        <v>0.25294612919140841</v>
      </c>
      <c r="N1571">
        <v>4</v>
      </c>
    </row>
    <row r="1572" spans="1:14" x14ac:dyDescent="0.35">
      <c r="A1572" s="1">
        <v>4393</v>
      </c>
      <c r="B1572">
        <v>8</v>
      </c>
      <c r="C1572">
        <v>46</v>
      </c>
      <c r="D1572">
        <v>1</v>
      </c>
      <c r="E1572">
        <v>0</v>
      </c>
      <c r="F1572">
        <v>3</v>
      </c>
      <c r="G1572">
        <v>3</v>
      </c>
      <c r="H1572">
        <v>3</v>
      </c>
      <c r="I1572">
        <v>0.01</v>
      </c>
      <c r="J1572">
        <v>8</v>
      </c>
      <c r="K1572">
        <v>0</v>
      </c>
      <c r="L1572" s="4">
        <v>0.74709475521097513</v>
      </c>
      <c r="M1572" s="4">
        <v>0.25290524478902487</v>
      </c>
      <c r="N1572">
        <v>4</v>
      </c>
    </row>
    <row r="1573" spans="1:14" x14ac:dyDescent="0.35">
      <c r="A1573" s="1">
        <v>1878</v>
      </c>
      <c r="B1573">
        <v>10</v>
      </c>
      <c r="C1573">
        <v>56</v>
      </c>
      <c r="D1573">
        <v>2</v>
      </c>
      <c r="E1573">
        <v>0</v>
      </c>
      <c r="F1573">
        <v>3</v>
      </c>
      <c r="G1573">
        <v>3</v>
      </c>
      <c r="H1573">
        <v>0</v>
      </c>
      <c r="I1573">
        <v>5800</v>
      </c>
      <c r="J1573">
        <v>7</v>
      </c>
      <c r="K1573">
        <v>0</v>
      </c>
      <c r="L1573" s="4">
        <v>0.74719147663934038</v>
      </c>
      <c r="M1573" s="4">
        <v>0.25280852336065968</v>
      </c>
      <c r="N1573">
        <v>4</v>
      </c>
    </row>
    <row r="1574" spans="1:14" x14ac:dyDescent="0.35">
      <c r="A1574" s="1">
        <v>56</v>
      </c>
      <c r="B1574">
        <v>10</v>
      </c>
      <c r="C1574">
        <v>44</v>
      </c>
      <c r="D1574">
        <v>5</v>
      </c>
      <c r="E1574">
        <v>2</v>
      </c>
      <c r="F1574">
        <v>0</v>
      </c>
      <c r="G1574">
        <v>2</v>
      </c>
      <c r="H1574">
        <v>3</v>
      </c>
      <c r="I1574">
        <v>0.01</v>
      </c>
      <c r="J1574">
        <v>5</v>
      </c>
      <c r="K1574">
        <v>0</v>
      </c>
      <c r="L1574" s="4">
        <v>0.74737284540069671</v>
      </c>
      <c r="M1574" s="4">
        <v>0.25262715459930329</v>
      </c>
      <c r="N1574">
        <v>4</v>
      </c>
    </row>
    <row r="1575" spans="1:14" x14ac:dyDescent="0.35">
      <c r="A1575" s="1">
        <v>218</v>
      </c>
      <c r="B1575">
        <v>9</v>
      </c>
      <c r="C1575">
        <v>51</v>
      </c>
      <c r="D1575">
        <v>4</v>
      </c>
      <c r="E1575">
        <v>0</v>
      </c>
      <c r="F1575">
        <v>0</v>
      </c>
      <c r="G1575">
        <v>2</v>
      </c>
      <c r="H1575">
        <v>2</v>
      </c>
      <c r="I1575">
        <v>3000</v>
      </c>
      <c r="J1575">
        <v>4</v>
      </c>
      <c r="K1575">
        <v>0</v>
      </c>
      <c r="L1575" s="4">
        <v>0.74739522284304805</v>
      </c>
      <c r="M1575" s="4">
        <v>0.25260477715695201</v>
      </c>
      <c r="N1575">
        <v>4</v>
      </c>
    </row>
    <row r="1576" spans="1:14" x14ac:dyDescent="0.35">
      <c r="A1576" s="1">
        <v>150</v>
      </c>
      <c r="B1576">
        <v>8</v>
      </c>
      <c r="C1576">
        <v>40</v>
      </c>
      <c r="D1576">
        <v>5</v>
      </c>
      <c r="E1576">
        <v>1</v>
      </c>
      <c r="F1576">
        <v>0</v>
      </c>
      <c r="G1576">
        <v>11</v>
      </c>
      <c r="H1576">
        <v>3</v>
      </c>
      <c r="I1576">
        <v>0.01</v>
      </c>
      <c r="J1576">
        <v>5</v>
      </c>
      <c r="K1576">
        <v>0</v>
      </c>
      <c r="L1576" s="4">
        <v>0.74749890901769567</v>
      </c>
      <c r="M1576" s="4">
        <v>0.25250109098230428</v>
      </c>
      <c r="N1576">
        <v>4</v>
      </c>
    </row>
    <row r="1577" spans="1:14" x14ac:dyDescent="0.35">
      <c r="A1577" s="1">
        <v>2061</v>
      </c>
      <c r="B1577">
        <v>9</v>
      </c>
      <c r="C1577">
        <v>51</v>
      </c>
      <c r="D1577">
        <v>2</v>
      </c>
      <c r="E1577">
        <v>0</v>
      </c>
      <c r="F1577">
        <v>0</v>
      </c>
      <c r="G1577">
        <v>11</v>
      </c>
      <c r="H1577">
        <v>2</v>
      </c>
      <c r="I1577">
        <v>3000</v>
      </c>
      <c r="J1577">
        <v>1</v>
      </c>
      <c r="K1577">
        <v>0</v>
      </c>
      <c r="L1577" s="4">
        <v>0.74751892470147807</v>
      </c>
      <c r="M1577" s="4">
        <v>0.25248107529852187</v>
      </c>
      <c r="N1577">
        <v>4</v>
      </c>
    </row>
    <row r="1578" spans="1:14" x14ac:dyDescent="0.35">
      <c r="A1578" s="1">
        <v>615</v>
      </c>
      <c r="B1578">
        <v>8</v>
      </c>
      <c r="C1578">
        <v>49</v>
      </c>
      <c r="D1578">
        <v>1</v>
      </c>
      <c r="E1578">
        <v>0</v>
      </c>
      <c r="F1578">
        <v>1</v>
      </c>
      <c r="G1578">
        <v>7</v>
      </c>
      <c r="H1578">
        <v>0</v>
      </c>
      <c r="I1578">
        <v>7600</v>
      </c>
      <c r="J1578">
        <v>4</v>
      </c>
      <c r="K1578">
        <v>0</v>
      </c>
      <c r="L1578" s="4">
        <v>0.74831902129523398</v>
      </c>
      <c r="M1578" s="4">
        <v>0.25168097870476602</v>
      </c>
      <c r="N1578">
        <v>4</v>
      </c>
    </row>
    <row r="1579" spans="1:14" x14ac:dyDescent="0.35">
      <c r="A1579" s="1">
        <v>3108</v>
      </c>
      <c r="B1579">
        <v>10</v>
      </c>
      <c r="C1579">
        <v>56</v>
      </c>
      <c r="D1579">
        <v>2</v>
      </c>
      <c r="E1579">
        <v>0</v>
      </c>
      <c r="F1579">
        <v>3</v>
      </c>
      <c r="G1579">
        <v>3</v>
      </c>
      <c r="H1579">
        <v>0</v>
      </c>
      <c r="I1579">
        <v>6000</v>
      </c>
      <c r="J1579">
        <v>2</v>
      </c>
      <c r="K1579">
        <v>0</v>
      </c>
      <c r="L1579" s="4">
        <v>0.7483425810783495</v>
      </c>
      <c r="M1579" s="4">
        <v>0.2516574189216505</v>
      </c>
      <c r="N1579">
        <v>4</v>
      </c>
    </row>
    <row r="1580" spans="1:14" x14ac:dyDescent="0.35">
      <c r="A1580" s="1">
        <v>3663</v>
      </c>
      <c r="B1580">
        <v>7</v>
      </c>
      <c r="C1580">
        <v>42</v>
      </c>
      <c r="D1580">
        <v>1</v>
      </c>
      <c r="E1580">
        <v>0</v>
      </c>
      <c r="F1580">
        <v>3</v>
      </c>
      <c r="G1580">
        <v>3</v>
      </c>
      <c r="H1580">
        <v>3</v>
      </c>
      <c r="I1580">
        <v>0.01</v>
      </c>
      <c r="J1580">
        <v>5</v>
      </c>
      <c r="K1580">
        <v>0</v>
      </c>
      <c r="L1580" s="4">
        <v>0.74839189989811428</v>
      </c>
      <c r="M1580" s="4">
        <v>0.25160810010188572</v>
      </c>
      <c r="N1580">
        <v>4</v>
      </c>
    </row>
    <row r="1581" spans="1:14" x14ac:dyDescent="0.35">
      <c r="A1581" s="1">
        <v>1942</v>
      </c>
      <c r="B1581">
        <v>7</v>
      </c>
      <c r="C1581">
        <v>42</v>
      </c>
      <c r="D1581">
        <v>3</v>
      </c>
      <c r="E1581">
        <v>0</v>
      </c>
      <c r="F1581">
        <v>1</v>
      </c>
      <c r="G1581">
        <v>12</v>
      </c>
      <c r="H1581">
        <v>2</v>
      </c>
      <c r="I1581">
        <v>2500</v>
      </c>
      <c r="J1581">
        <v>2</v>
      </c>
      <c r="K1581">
        <v>0</v>
      </c>
      <c r="L1581" s="4">
        <v>0.74857570182293465</v>
      </c>
      <c r="M1581" s="4">
        <v>0.2514242981770653</v>
      </c>
      <c r="N1581">
        <v>4</v>
      </c>
    </row>
    <row r="1582" spans="1:14" x14ac:dyDescent="0.35">
      <c r="A1582" s="1">
        <v>3272</v>
      </c>
      <c r="B1582">
        <v>6</v>
      </c>
      <c r="C1582">
        <v>32</v>
      </c>
      <c r="D1582">
        <v>5</v>
      </c>
      <c r="E1582">
        <v>1</v>
      </c>
      <c r="F1582">
        <v>0</v>
      </c>
      <c r="G1582">
        <v>11</v>
      </c>
      <c r="H1582">
        <v>3</v>
      </c>
      <c r="I1582">
        <v>0.01</v>
      </c>
      <c r="J1582">
        <v>5</v>
      </c>
      <c r="K1582">
        <v>0</v>
      </c>
      <c r="L1582" s="4">
        <v>0.74863787382736757</v>
      </c>
      <c r="M1582" s="4">
        <v>0.25136212617263243</v>
      </c>
      <c r="N1582">
        <v>4</v>
      </c>
    </row>
    <row r="1583" spans="1:14" x14ac:dyDescent="0.35">
      <c r="A1583" s="1">
        <v>3301</v>
      </c>
      <c r="B1583">
        <v>8</v>
      </c>
      <c r="C1583">
        <v>46</v>
      </c>
      <c r="D1583">
        <v>3</v>
      </c>
      <c r="E1583">
        <v>0</v>
      </c>
      <c r="F1583">
        <v>3</v>
      </c>
      <c r="G1583">
        <v>3</v>
      </c>
      <c r="H1583">
        <v>2</v>
      </c>
      <c r="I1583">
        <v>250</v>
      </c>
      <c r="J1583">
        <v>8</v>
      </c>
      <c r="K1583">
        <v>0</v>
      </c>
      <c r="L1583" s="4">
        <v>0.74863922149583673</v>
      </c>
      <c r="M1583" s="4">
        <v>0.25136077850416327</v>
      </c>
      <c r="N1583">
        <v>4</v>
      </c>
    </row>
    <row r="1584" spans="1:14" x14ac:dyDescent="0.35">
      <c r="A1584" s="1">
        <v>1254</v>
      </c>
      <c r="B1584">
        <v>4</v>
      </c>
      <c r="C1584">
        <v>29</v>
      </c>
      <c r="D1584">
        <v>3</v>
      </c>
      <c r="E1584">
        <v>0</v>
      </c>
      <c r="F1584">
        <v>3</v>
      </c>
      <c r="G1584">
        <v>3</v>
      </c>
      <c r="H1584">
        <v>3</v>
      </c>
      <c r="I1584">
        <v>0.01</v>
      </c>
      <c r="J1584">
        <v>5</v>
      </c>
      <c r="K1584">
        <v>1</v>
      </c>
      <c r="L1584" s="4">
        <v>0.74867359926417576</v>
      </c>
      <c r="M1584" s="4">
        <v>0.2513264007358243</v>
      </c>
      <c r="N1584">
        <v>4</v>
      </c>
    </row>
    <row r="1585" spans="1:14" x14ac:dyDescent="0.35">
      <c r="A1585" s="1">
        <v>1056</v>
      </c>
      <c r="B1585">
        <v>6</v>
      </c>
      <c r="C1585">
        <v>38</v>
      </c>
      <c r="D1585">
        <v>4</v>
      </c>
      <c r="E1585">
        <v>0</v>
      </c>
      <c r="F1585">
        <v>0</v>
      </c>
      <c r="G1585">
        <v>4</v>
      </c>
      <c r="H1585">
        <v>3</v>
      </c>
      <c r="I1585">
        <v>0.01</v>
      </c>
      <c r="J1585">
        <v>5</v>
      </c>
      <c r="K1585">
        <v>0</v>
      </c>
      <c r="L1585" s="4">
        <v>0.74879549547564017</v>
      </c>
      <c r="M1585" s="4">
        <v>0.25120450452435977</v>
      </c>
      <c r="N1585">
        <v>4</v>
      </c>
    </row>
    <row r="1586" spans="1:14" x14ac:dyDescent="0.35">
      <c r="A1586" s="1">
        <v>3983</v>
      </c>
      <c r="B1586">
        <v>7</v>
      </c>
      <c r="C1586">
        <v>43</v>
      </c>
      <c r="D1586">
        <v>2</v>
      </c>
      <c r="E1586">
        <v>0</v>
      </c>
      <c r="F1586">
        <v>1</v>
      </c>
      <c r="G1586">
        <v>7</v>
      </c>
      <c r="H1586">
        <v>2</v>
      </c>
      <c r="I1586">
        <v>4000</v>
      </c>
      <c r="J1586">
        <v>4</v>
      </c>
      <c r="K1586">
        <v>0</v>
      </c>
      <c r="L1586" s="4">
        <v>0.74884603987874931</v>
      </c>
      <c r="M1586" s="4">
        <v>0.25115396012125057</v>
      </c>
      <c r="N1586">
        <v>4</v>
      </c>
    </row>
    <row r="1587" spans="1:14" x14ac:dyDescent="0.35">
      <c r="A1587" s="1">
        <v>1334</v>
      </c>
      <c r="B1587">
        <v>8</v>
      </c>
      <c r="C1587">
        <v>45</v>
      </c>
      <c r="D1587">
        <v>5</v>
      </c>
      <c r="E1587">
        <v>0</v>
      </c>
      <c r="F1587">
        <v>1</v>
      </c>
      <c r="G1587">
        <v>7</v>
      </c>
      <c r="H1587">
        <v>3</v>
      </c>
      <c r="I1587">
        <v>0.01</v>
      </c>
      <c r="J1587">
        <v>8</v>
      </c>
      <c r="K1587">
        <v>0</v>
      </c>
      <c r="L1587" s="4">
        <v>0.74900672600598472</v>
      </c>
      <c r="M1587" s="4">
        <v>0.25099327399401528</v>
      </c>
      <c r="N1587">
        <v>4</v>
      </c>
    </row>
    <row r="1588" spans="1:14" x14ac:dyDescent="0.35">
      <c r="A1588" s="1">
        <v>776</v>
      </c>
      <c r="B1588">
        <v>8</v>
      </c>
      <c r="C1588">
        <v>47</v>
      </c>
      <c r="D1588">
        <v>2</v>
      </c>
      <c r="E1588">
        <v>0</v>
      </c>
      <c r="F1588">
        <v>0</v>
      </c>
      <c r="G1588">
        <v>4</v>
      </c>
      <c r="H1588">
        <v>3</v>
      </c>
      <c r="I1588">
        <v>0.01</v>
      </c>
      <c r="J1588">
        <v>5</v>
      </c>
      <c r="K1588">
        <v>0</v>
      </c>
      <c r="L1588" s="4">
        <v>0.74908227425660656</v>
      </c>
      <c r="M1588" s="4">
        <v>0.25091772574339338</v>
      </c>
      <c r="N1588">
        <v>4</v>
      </c>
    </row>
    <row r="1589" spans="1:14" x14ac:dyDescent="0.35">
      <c r="A1589" s="1">
        <v>1534</v>
      </c>
      <c r="B1589">
        <v>7</v>
      </c>
      <c r="C1589">
        <v>41</v>
      </c>
      <c r="D1589">
        <v>5</v>
      </c>
      <c r="E1589">
        <v>0</v>
      </c>
      <c r="F1589">
        <v>0</v>
      </c>
      <c r="G1589">
        <v>11</v>
      </c>
      <c r="H1589">
        <v>3</v>
      </c>
      <c r="I1589">
        <v>0.01</v>
      </c>
      <c r="J1589">
        <v>5</v>
      </c>
      <c r="K1589">
        <v>1</v>
      </c>
      <c r="L1589" s="4">
        <v>0.74908380189250079</v>
      </c>
      <c r="M1589" s="4">
        <v>0.25091619810749921</v>
      </c>
      <c r="N1589">
        <v>4</v>
      </c>
    </row>
    <row r="1590" spans="1:14" x14ac:dyDescent="0.35">
      <c r="A1590" s="1">
        <v>3316</v>
      </c>
      <c r="B1590">
        <v>8</v>
      </c>
      <c r="C1590">
        <v>45</v>
      </c>
      <c r="D1590">
        <v>3</v>
      </c>
      <c r="E1590">
        <v>0</v>
      </c>
      <c r="F1590">
        <v>4</v>
      </c>
      <c r="G1590">
        <v>9</v>
      </c>
      <c r="H1590">
        <v>2</v>
      </c>
      <c r="I1590">
        <v>5000</v>
      </c>
      <c r="J1590">
        <v>1</v>
      </c>
      <c r="K1590">
        <v>0</v>
      </c>
      <c r="L1590" s="4">
        <v>0.74911498498322038</v>
      </c>
      <c r="M1590" s="4">
        <v>0.25088501501677968</v>
      </c>
      <c r="N1590">
        <v>4</v>
      </c>
    </row>
    <row r="1591" spans="1:14" x14ac:dyDescent="0.35">
      <c r="A1591" s="1">
        <v>736</v>
      </c>
      <c r="B1591">
        <v>3</v>
      </c>
      <c r="C1591">
        <v>27</v>
      </c>
      <c r="D1591">
        <v>0</v>
      </c>
      <c r="E1591">
        <v>0</v>
      </c>
      <c r="F1591">
        <v>3</v>
      </c>
      <c r="G1591">
        <v>3</v>
      </c>
      <c r="H1591">
        <v>2</v>
      </c>
      <c r="I1591">
        <v>2000</v>
      </c>
      <c r="J1591">
        <v>1</v>
      </c>
      <c r="K1591">
        <v>0</v>
      </c>
      <c r="L1591" s="4">
        <v>0.74911889063640125</v>
      </c>
      <c r="M1591" s="4">
        <v>0.25088110936359881</v>
      </c>
      <c r="N1591">
        <v>4</v>
      </c>
    </row>
    <row r="1592" spans="1:14" x14ac:dyDescent="0.35">
      <c r="A1592" s="1">
        <v>3988</v>
      </c>
      <c r="B1592">
        <v>6</v>
      </c>
      <c r="C1592">
        <v>38</v>
      </c>
      <c r="D1592">
        <v>1</v>
      </c>
      <c r="E1592">
        <v>0</v>
      </c>
      <c r="F1592">
        <v>3</v>
      </c>
      <c r="G1592">
        <v>3</v>
      </c>
      <c r="H1592">
        <v>3</v>
      </c>
      <c r="I1592">
        <v>0.01</v>
      </c>
      <c r="J1592">
        <v>4</v>
      </c>
      <c r="K1592">
        <v>0</v>
      </c>
      <c r="L1592" s="4">
        <v>0.74920200859028652</v>
      </c>
      <c r="M1592" s="4">
        <v>0.25079799140971348</v>
      </c>
      <c r="N1592">
        <v>4</v>
      </c>
    </row>
    <row r="1593" spans="1:14" x14ac:dyDescent="0.35">
      <c r="A1593" s="1">
        <v>915</v>
      </c>
      <c r="B1593">
        <v>8</v>
      </c>
      <c r="C1593">
        <v>45</v>
      </c>
      <c r="D1593">
        <v>4</v>
      </c>
      <c r="E1593">
        <v>0</v>
      </c>
      <c r="F1593">
        <v>1</v>
      </c>
      <c r="G1593">
        <v>12</v>
      </c>
      <c r="H1593">
        <v>3</v>
      </c>
      <c r="I1593">
        <v>0.01</v>
      </c>
      <c r="J1593">
        <v>8</v>
      </c>
      <c r="K1593">
        <v>0</v>
      </c>
      <c r="L1593" s="4">
        <v>0.74922188157930214</v>
      </c>
      <c r="M1593" s="4">
        <v>0.25077811842069792</v>
      </c>
      <c r="N1593">
        <v>4</v>
      </c>
    </row>
    <row r="1594" spans="1:14" x14ac:dyDescent="0.35">
      <c r="A1594" s="1">
        <v>4121</v>
      </c>
      <c r="B1594">
        <v>9</v>
      </c>
      <c r="C1594">
        <v>51</v>
      </c>
      <c r="D1594">
        <v>4</v>
      </c>
      <c r="E1594">
        <v>0</v>
      </c>
      <c r="F1594">
        <v>3</v>
      </c>
      <c r="G1594">
        <v>3</v>
      </c>
      <c r="H1594">
        <v>1</v>
      </c>
      <c r="I1594">
        <v>25571.040000000001</v>
      </c>
      <c r="J1594">
        <v>4</v>
      </c>
      <c r="K1594">
        <v>0</v>
      </c>
      <c r="L1594" s="4">
        <v>0.74935078305971725</v>
      </c>
      <c r="M1594" s="4">
        <v>0.25064921694028269</v>
      </c>
      <c r="N1594">
        <v>4</v>
      </c>
    </row>
    <row r="1595" spans="1:14" x14ac:dyDescent="0.35">
      <c r="A1595" s="1">
        <v>4111</v>
      </c>
      <c r="B1595">
        <v>11</v>
      </c>
      <c r="C1595">
        <v>58</v>
      </c>
      <c r="D1595">
        <v>1</v>
      </c>
      <c r="E1595">
        <v>0</v>
      </c>
      <c r="F1595">
        <v>3</v>
      </c>
      <c r="G1595">
        <v>8</v>
      </c>
      <c r="H1595">
        <v>3</v>
      </c>
      <c r="I1595">
        <v>0.01</v>
      </c>
      <c r="J1595">
        <v>12</v>
      </c>
      <c r="K1595">
        <v>0</v>
      </c>
      <c r="L1595" s="4">
        <v>0.74958852231779094</v>
      </c>
      <c r="M1595" s="4">
        <v>0.25041147768220912</v>
      </c>
      <c r="N1595">
        <v>4</v>
      </c>
    </row>
    <row r="1596" spans="1:14" x14ac:dyDescent="0.35">
      <c r="A1596" s="1">
        <v>3771</v>
      </c>
      <c r="B1596">
        <v>7</v>
      </c>
      <c r="C1596">
        <v>41</v>
      </c>
      <c r="D1596">
        <v>1</v>
      </c>
      <c r="E1596">
        <v>1</v>
      </c>
      <c r="F1596">
        <v>0</v>
      </c>
      <c r="G1596">
        <v>4</v>
      </c>
      <c r="H1596">
        <v>0</v>
      </c>
      <c r="I1596">
        <v>8105.32</v>
      </c>
      <c r="J1596">
        <v>8</v>
      </c>
      <c r="K1596">
        <v>0</v>
      </c>
      <c r="L1596" s="4">
        <v>0.74962664662809675</v>
      </c>
      <c r="M1596" s="4">
        <v>0.25037335337190331</v>
      </c>
      <c r="N1596">
        <v>4</v>
      </c>
    </row>
    <row r="1597" spans="1:14" x14ac:dyDescent="0.35">
      <c r="A1597" s="1">
        <v>4289</v>
      </c>
      <c r="B1597">
        <v>12</v>
      </c>
      <c r="C1597">
        <v>63</v>
      </c>
      <c r="D1597">
        <v>3</v>
      </c>
      <c r="E1597">
        <v>0</v>
      </c>
      <c r="F1597">
        <v>4</v>
      </c>
      <c r="G1597">
        <v>9</v>
      </c>
      <c r="H1597">
        <v>0</v>
      </c>
      <c r="I1597">
        <v>9000</v>
      </c>
      <c r="J1597">
        <v>9</v>
      </c>
      <c r="K1597">
        <v>0</v>
      </c>
      <c r="L1597" s="4">
        <v>0.74977447052124124</v>
      </c>
      <c r="M1597" s="4">
        <v>0.2502255294787587</v>
      </c>
      <c r="N1597">
        <v>4</v>
      </c>
    </row>
    <row r="1598" spans="1:14" x14ac:dyDescent="0.35">
      <c r="A1598" s="1">
        <v>2546</v>
      </c>
      <c r="B1598">
        <v>10</v>
      </c>
      <c r="C1598">
        <v>52</v>
      </c>
      <c r="D1598">
        <v>3</v>
      </c>
      <c r="E1598">
        <v>1</v>
      </c>
      <c r="F1598">
        <v>0</v>
      </c>
      <c r="G1598">
        <v>2</v>
      </c>
      <c r="H1598">
        <v>1</v>
      </c>
      <c r="I1598">
        <v>20557.32</v>
      </c>
      <c r="J1598">
        <v>3</v>
      </c>
      <c r="K1598">
        <v>0</v>
      </c>
      <c r="L1598" s="4">
        <v>0.75014443444597623</v>
      </c>
      <c r="M1598" s="4">
        <v>0.2498555655540238</v>
      </c>
      <c r="N1598">
        <v>4</v>
      </c>
    </row>
    <row r="1599" spans="1:14" x14ac:dyDescent="0.35">
      <c r="A1599" s="1">
        <v>3218</v>
      </c>
      <c r="B1599">
        <v>10</v>
      </c>
      <c r="C1599">
        <v>53</v>
      </c>
      <c r="D1599">
        <v>4</v>
      </c>
      <c r="E1599">
        <v>0</v>
      </c>
      <c r="F1599">
        <v>3</v>
      </c>
      <c r="G1599">
        <v>3</v>
      </c>
      <c r="H1599">
        <v>3</v>
      </c>
      <c r="I1599">
        <v>0.01</v>
      </c>
      <c r="J1599">
        <v>5</v>
      </c>
      <c r="K1599">
        <v>0</v>
      </c>
      <c r="L1599" s="4">
        <v>0.75020813478232451</v>
      </c>
      <c r="M1599" s="4">
        <v>0.24979186521767549</v>
      </c>
      <c r="N1599">
        <v>4</v>
      </c>
    </row>
    <row r="1600" spans="1:14" x14ac:dyDescent="0.35">
      <c r="A1600" s="1">
        <v>3359</v>
      </c>
      <c r="B1600">
        <v>5</v>
      </c>
      <c r="C1600">
        <v>31</v>
      </c>
      <c r="D1600">
        <v>2</v>
      </c>
      <c r="E1600">
        <v>1</v>
      </c>
      <c r="F1600">
        <v>3</v>
      </c>
      <c r="G1600">
        <v>3</v>
      </c>
      <c r="H1600">
        <v>0</v>
      </c>
      <c r="I1600">
        <v>6000</v>
      </c>
      <c r="J1600">
        <v>1</v>
      </c>
      <c r="K1600">
        <v>0</v>
      </c>
      <c r="L1600" s="4">
        <v>0.75040867423250113</v>
      </c>
      <c r="M1600" s="4">
        <v>0.24959132576749879</v>
      </c>
      <c r="N1600">
        <v>4</v>
      </c>
    </row>
    <row r="1601" spans="1:14" x14ac:dyDescent="0.35">
      <c r="A1601" s="1">
        <v>212</v>
      </c>
      <c r="B1601">
        <v>10</v>
      </c>
      <c r="C1601">
        <v>51</v>
      </c>
      <c r="D1601">
        <v>5</v>
      </c>
      <c r="E1601">
        <v>1</v>
      </c>
      <c r="F1601">
        <v>0</v>
      </c>
      <c r="G1601">
        <v>11</v>
      </c>
      <c r="H1601">
        <v>0</v>
      </c>
      <c r="I1601">
        <v>17500</v>
      </c>
      <c r="J1601">
        <v>4</v>
      </c>
      <c r="K1601">
        <v>0</v>
      </c>
      <c r="L1601" s="4">
        <v>0.75041911849274756</v>
      </c>
      <c r="M1601" s="4">
        <v>0.24958088150725241</v>
      </c>
      <c r="N1601">
        <v>4</v>
      </c>
    </row>
    <row r="1602" spans="1:14" x14ac:dyDescent="0.35">
      <c r="A1602" s="1">
        <v>2613</v>
      </c>
      <c r="B1602">
        <v>9</v>
      </c>
      <c r="C1602">
        <v>51</v>
      </c>
      <c r="D1602">
        <v>5</v>
      </c>
      <c r="E1602">
        <v>0</v>
      </c>
      <c r="F1602">
        <v>1</v>
      </c>
      <c r="G1602">
        <v>12</v>
      </c>
      <c r="H1602">
        <v>0</v>
      </c>
      <c r="I1602">
        <v>6000</v>
      </c>
      <c r="J1602">
        <v>4</v>
      </c>
      <c r="K1602">
        <v>0</v>
      </c>
      <c r="L1602" s="4">
        <v>0.75054728202912002</v>
      </c>
      <c r="M1602" s="4">
        <v>0.24945271797088001</v>
      </c>
      <c r="N1602">
        <v>4</v>
      </c>
    </row>
    <row r="1603" spans="1:14" x14ac:dyDescent="0.35">
      <c r="A1603" s="1">
        <v>4188</v>
      </c>
      <c r="B1603">
        <v>8</v>
      </c>
      <c r="C1603">
        <v>42</v>
      </c>
      <c r="D1603">
        <v>3</v>
      </c>
      <c r="E1603">
        <v>1</v>
      </c>
      <c r="F1603">
        <v>0</v>
      </c>
      <c r="G1603">
        <v>11</v>
      </c>
      <c r="H1603">
        <v>2</v>
      </c>
      <c r="I1603">
        <v>1500</v>
      </c>
      <c r="J1603">
        <v>5</v>
      </c>
      <c r="K1603">
        <v>1</v>
      </c>
      <c r="L1603" s="4">
        <v>0.75150055248077441</v>
      </c>
      <c r="M1603" s="4">
        <v>0.24849944751922559</v>
      </c>
      <c r="N1603">
        <v>4</v>
      </c>
    </row>
    <row r="1604" spans="1:14" x14ac:dyDescent="0.35">
      <c r="A1604" s="1">
        <v>1862</v>
      </c>
      <c r="B1604">
        <v>10</v>
      </c>
      <c r="C1604">
        <v>49</v>
      </c>
      <c r="D1604">
        <v>3</v>
      </c>
      <c r="E1604">
        <v>1</v>
      </c>
      <c r="F1604">
        <v>3</v>
      </c>
      <c r="G1604">
        <v>8</v>
      </c>
      <c r="H1604">
        <v>2</v>
      </c>
      <c r="I1604">
        <v>3000</v>
      </c>
      <c r="J1604">
        <v>5</v>
      </c>
      <c r="K1604">
        <v>1</v>
      </c>
      <c r="L1604" s="4">
        <v>0.75153263666065406</v>
      </c>
      <c r="M1604" s="4">
        <v>0.24846736333934591</v>
      </c>
      <c r="N1604">
        <v>4</v>
      </c>
    </row>
    <row r="1605" spans="1:14" x14ac:dyDescent="0.35">
      <c r="A1605" s="1">
        <v>629</v>
      </c>
      <c r="B1605">
        <v>9</v>
      </c>
      <c r="C1605">
        <v>51</v>
      </c>
      <c r="D1605">
        <v>1</v>
      </c>
      <c r="E1605">
        <v>0</v>
      </c>
      <c r="F1605">
        <v>1</v>
      </c>
      <c r="G1605">
        <v>7</v>
      </c>
      <c r="H1605">
        <v>3</v>
      </c>
      <c r="I1605">
        <v>0.01</v>
      </c>
      <c r="J1605">
        <v>5</v>
      </c>
      <c r="K1605">
        <v>0</v>
      </c>
      <c r="L1605" s="4">
        <v>0.75199720289986183</v>
      </c>
      <c r="M1605" s="4">
        <v>0.2480027971001382</v>
      </c>
      <c r="N1605">
        <v>4</v>
      </c>
    </row>
    <row r="1606" spans="1:14" x14ac:dyDescent="0.35">
      <c r="A1606" s="1">
        <v>1137</v>
      </c>
      <c r="B1606">
        <v>8</v>
      </c>
      <c r="C1606">
        <v>47</v>
      </c>
      <c r="D1606">
        <v>2</v>
      </c>
      <c r="E1606">
        <v>0</v>
      </c>
      <c r="F1606">
        <v>1</v>
      </c>
      <c r="G1606">
        <v>12</v>
      </c>
      <c r="H1606">
        <v>2</v>
      </c>
      <c r="I1606">
        <v>3000</v>
      </c>
      <c r="J1606">
        <v>11</v>
      </c>
      <c r="K1606">
        <v>0</v>
      </c>
      <c r="L1606" s="4">
        <v>0.75203749167679768</v>
      </c>
      <c r="M1606" s="4">
        <v>0.2479625083232023</v>
      </c>
      <c r="N1606">
        <v>4</v>
      </c>
    </row>
    <row r="1607" spans="1:14" x14ac:dyDescent="0.35">
      <c r="A1607" s="1">
        <v>3556</v>
      </c>
      <c r="B1607">
        <v>7</v>
      </c>
      <c r="C1607">
        <v>43</v>
      </c>
      <c r="D1607">
        <v>3</v>
      </c>
      <c r="E1607">
        <v>0</v>
      </c>
      <c r="F1607">
        <v>1</v>
      </c>
      <c r="G1607">
        <v>5</v>
      </c>
      <c r="H1607">
        <v>2</v>
      </c>
      <c r="I1607">
        <v>2000</v>
      </c>
      <c r="J1607">
        <v>5</v>
      </c>
      <c r="K1607">
        <v>1</v>
      </c>
      <c r="L1607" s="4">
        <v>0.75207844693758419</v>
      </c>
      <c r="M1607" s="4">
        <v>0.24792155306241581</v>
      </c>
      <c r="N1607">
        <v>4</v>
      </c>
    </row>
    <row r="1608" spans="1:14" x14ac:dyDescent="0.35">
      <c r="A1608" s="1">
        <v>4283</v>
      </c>
      <c r="B1608">
        <v>14</v>
      </c>
      <c r="C1608">
        <v>71</v>
      </c>
      <c r="D1608">
        <v>2</v>
      </c>
      <c r="E1608">
        <v>0</v>
      </c>
      <c r="F1608">
        <v>3</v>
      </c>
      <c r="G1608">
        <v>3</v>
      </c>
      <c r="H1608">
        <v>2</v>
      </c>
      <c r="I1608">
        <v>1000</v>
      </c>
      <c r="J1608">
        <v>5</v>
      </c>
      <c r="K1608">
        <v>1</v>
      </c>
      <c r="L1608" s="4">
        <v>0.75208350033722415</v>
      </c>
      <c r="M1608" s="4">
        <v>0.24791649966277579</v>
      </c>
      <c r="N1608">
        <v>4</v>
      </c>
    </row>
    <row r="1609" spans="1:14" x14ac:dyDescent="0.35">
      <c r="A1609" s="1">
        <v>1257</v>
      </c>
      <c r="B1609">
        <v>7</v>
      </c>
      <c r="C1609">
        <v>41</v>
      </c>
      <c r="D1609">
        <v>3</v>
      </c>
      <c r="E1609">
        <v>0</v>
      </c>
      <c r="F1609">
        <v>3</v>
      </c>
      <c r="G1609">
        <v>8</v>
      </c>
      <c r="H1609">
        <v>3</v>
      </c>
      <c r="I1609">
        <v>0.01</v>
      </c>
      <c r="J1609">
        <v>5</v>
      </c>
      <c r="K1609">
        <v>1</v>
      </c>
      <c r="L1609" s="4">
        <v>0.75211655750412698</v>
      </c>
      <c r="M1609" s="4">
        <v>0.24788344249587299</v>
      </c>
      <c r="N1609">
        <v>4</v>
      </c>
    </row>
    <row r="1610" spans="1:14" x14ac:dyDescent="0.35">
      <c r="A1610" s="1">
        <v>1295</v>
      </c>
      <c r="B1610">
        <v>9</v>
      </c>
      <c r="C1610">
        <v>51</v>
      </c>
      <c r="D1610">
        <v>1</v>
      </c>
      <c r="E1610">
        <v>0</v>
      </c>
      <c r="F1610">
        <v>1</v>
      </c>
      <c r="G1610">
        <v>7</v>
      </c>
      <c r="H1610">
        <v>3</v>
      </c>
      <c r="I1610">
        <v>0.01</v>
      </c>
      <c r="J1610">
        <v>4</v>
      </c>
      <c r="K1610">
        <v>1</v>
      </c>
      <c r="L1610" s="4">
        <v>0.75223678570200758</v>
      </c>
      <c r="M1610" s="4">
        <v>0.24776321429799239</v>
      </c>
      <c r="N1610">
        <v>4</v>
      </c>
    </row>
    <row r="1611" spans="1:14" x14ac:dyDescent="0.35">
      <c r="A1611" s="1">
        <v>2580</v>
      </c>
      <c r="B1611">
        <v>10</v>
      </c>
      <c r="C1611">
        <v>56</v>
      </c>
      <c r="D1611">
        <v>1</v>
      </c>
      <c r="E1611">
        <v>0</v>
      </c>
      <c r="F1611">
        <v>0</v>
      </c>
      <c r="G1611">
        <v>11</v>
      </c>
      <c r="H1611">
        <v>2</v>
      </c>
      <c r="I1611">
        <v>3000</v>
      </c>
      <c r="J1611">
        <v>5</v>
      </c>
      <c r="K1611">
        <v>0</v>
      </c>
      <c r="L1611" s="4">
        <v>0.75234017943560905</v>
      </c>
      <c r="M1611" s="4">
        <v>0.2476598205643909</v>
      </c>
      <c r="N1611">
        <v>4</v>
      </c>
    </row>
    <row r="1612" spans="1:14" x14ac:dyDescent="0.35">
      <c r="A1612" s="1">
        <v>3764</v>
      </c>
      <c r="B1612">
        <v>11</v>
      </c>
      <c r="C1612">
        <v>59</v>
      </c>
      <c r="D1612">
        <v>0</v>
      </c>
      <c r="E1612">
        <v>0</v>
      </c>
      <c r="F1612">
        <v>3</v>
      </c>
      <c r="G1612">
        <v>3</v>
      </c>
      <c r="H1612">
        <v>3</v>
      </c>
      <c r="I1612">
        <v>0.01</v>
      </c>
      <c r="J1612">
        <v>5</v>
      </c>
      <c r="K1612">
        <v>1</v>
      </c>
      <c r="L1612" s="4">
        <v>0.75247165478825295</v>
      </c>
      <c r="M1612" s="4">
        <v>0.2475283452117471</v>
      </c>
      <c r="N1612">
        <v>4</v>
      </c>
    </row>
    <row r="1613" spans="1:14" x14ac:dyDescent="0.35">
      <c r="A1613" s="1">
        <v>144</v>
      </c>
      <c r="B1613">
        <v>7</v>
      </c>
      <c r="C1613">
        <v>46</v>
      </c>
      <c r="D1613">
        <v>0</v>
      </c>
      <c r="E1613">
        <v>0</v>
      </c>
      <c r="F1613">
        <v>0</v>
      </c>
      <c r="G1613">
        <v>11</v>
      </c>
      <c r="H1613">
        <v>0</v>
      </c>
      <c r="I1613">
        <v>9000</v>
      </c>
      <c r="J1613">
        <v>8</v>
      </c>
      <c r="K1613">
        <v>0</v>
      </c>
      <c r="L1613" s="4">
        <v>0.75263158387010187</v>
      </c>
      <c r="M1613" s="4">
        <v>0.2473684161298981</v>
      </c>
      <c r="N1613">
        <v>4</v>
      </c>
    </row>
    <row r="1614" spans="1:14" x14ac:dyDescent="0.35">
      <c r="A1614" s="1">
        <v>2750</v>
      </c>
      <c r="B1614">
        <v>11</v>
      </c>
      <c r="C1614">
        <v>55</v>
      </c>
      <c r="D1614">
        <v>1</v>
      </c>
      <c r="E1614">
        <v>1</v>
      </c>
      <c r="F1614">
        <v>1</v>
      </c>
      <c r="G1614">
        <v>7</v>
      </c>
      <c r="H1614">
        <v>2</v>
      </c>
      <c r="I1614">
        <v>1000</v>
      </c>
      <c r="J1614">
        <v>4</v>
      </c>
      <c r="K1614">
        <v>1</v>
      </c>
      <c r="L1614" s="4">
        <v>0.75281683589804571</v>
      </c>
      <c r="M1614" s="4">
        <v>0.24718316410195429</v>
      </c>
      <c r="N1614">
        <v>4</v>
      </c>
    </row>
    <row r="1615" spans="1:14" x14ac:dyDescent="0.35">
      <c r="A1615" s="1">
        <v>2860</v>
      </c>
      <c r="B1615">
        <v>12</v>
      </c>
      <c r="C1615">
        <v>63</v>
      </c>
      <c r="D1615">
        <v>1</v>
      </c>
      <c r="E1615">
        <v>0</v>
      </c>
      <c r="F1615">
        <v>3</v>
      </c>
      <c r="G1615">
        <v>8</v>
      </c>
      <c r="H1615">
        <v>2</v>
      </c>
      <c r="I1615">
        <v>3350</v>
      </c>
      <c r="J1615">
        <v>4</v>
      </c>
      <c r="K1615">
        <v>1</v>
      </c>
      <c r="L1615" s="4">
        <v>0.75295636117491149</v>
      </c>
      <c r="M1615" s="4">
        <v>0.24704363882508851</v>
      </c>
      <c r="N1615">
        <v>4</v>
      </c>
    </row>
    <row r="1616" spans="1:14" x14ac:dyDescent="0.35">
      <c r="A1616" s="1">
        <v>3347</v>
      </c>
      <c r="B1616">
        <v>10</v>
      </c>
      <c r="C1616">
        <v>56</v>
      </c>
      <c r="D1616">
        <v>3</v>
      </c>
      <c r="E1616">
        <v>0</v>
      </c>
      <c r="F1616">
        <v>3</v>
      </c>
      <c r="G1616">
        <v>3</v>
      </c>
      <c r="H1616">
        <v>0</v>
      </c>
      <c r="I1616">
        <v>6000</v>
      </c>
      <c r="J1616">
        <v>2</v>
      </c>
      <c r="K1616">
        <v>0</v>
      </c>
      <c r="L1616" s="4">
        <v>0.7532635913945005</v>
      </c>
      <c r="M1616" s="4">
        <v>0.24673640860549961</v>
      </c>
      <c r="N1616">
        <v>4</v>
      </c>
    </row>
    <row r="1617" spans="1:14" x14ac:dyDescent="0.35">
      <c r="A1617" s="1">
        <v>2077</v>
      </c>
      <c r="B1617">
        <v>7</v>
      </c>
      <c r="C1617">
        <v>33</v>
      </c>
      <c r="D1617">
        <v>2</v>
      </c>
      <c r="E1617">
        <v>2</v>
      </c>
      <c r="F1617">
        <v>1</v>
      </c>
      <c r="G1617">
        <v>12</v>
      </c>
      <c r="H1617">
        <v>2</v>
      </c>
      <c r="I1617">
        <v>2000</v>
      </c>
      <c r="J1617">
        <v>1</v>
      </c>
      <c r="K1617">
        <v>0</v>
      </c>
      <c r="L1617" s="4">
        <v>0.75328438944099196</v>
      </c>
      <c r="M1617" s="4">
        <v>0.24671561055900809</v>
      </c>
      <c r="N1617">
        <v>4</v>
      </c>
    </row>
    <row r="1618" spans="1:14" x14ac:dyDescent="0.35">
      <c r="A1618" s="1">
        <v>3612</v>
      </c>
      <c r="B1618">
        <v>8</v>
      </c>
      <c r="C1618">
        <v>46</v>
      </c>
      <c r="D1618">
        <v>3</v>
      </c>
      <c r="E1618">
        <v>0</v>
      </c>
      <c r="F1618">
        <v>3</v>
      </c>
      <c r="G1618">
        <v>8</v>
      </c>
      <c r="H1618">
        <v>2</v>
      </c>
      <c r="I1618">
        <v>900</v>
      </c>
      <c r="J1618">
        <v>9</v>
      </c>
      <c r="K1618">
        <v>0</v>
      </c>
      <c r="L1618" s="4">
        <v>0.75333573229038797</v>
      </c>
      <c r="M1618" s="4">
        <v>0.246664267709612</v>
      </c>
      <c r="N1618">
        <v>4</v>
      </c>
    </row>
    <row r="1619" spans="1:14" x14ac:dyDescent="0.35">
      <c r="A1619" s="1">
        <v>3995</v>
      </c>
      <c r="B1619">
        <v>11</v>
      </c>
      <c r="C1619">
        <v>59</v>
      </c>
      <c r="D1619">
        <v>2</v>
      </c>
      <c r="E1619">
        <v>0</v>
      </c>
      <c r="F1619">
        <v>0</v>
      </c>
      <c r="G1619">
        <v>11</v>
      </c>
      <c r="H1619">
        <v>3</v>
      </c>
      <c r="I1619">
        <v>0.01</v>
      </c>
      <c r="J1619">
        <v>10</v>
      </c>
      <c r="K1619">
        <v>0</v>
      </c>
      <c r="L1619" s="4">
        <v>0.75336854034938106</v>
      </c>
      <c r="M1619" s="4">
        <v>0.24663145965061889</v>
      </c>
      <c r="N1619">
        <v>4</v>
      </c>
    </row>
    <row r="1620" spans="1:14" x14ac:dyDescent="0.35">
      <c r="A1620" s="1">
        <v>1190</v>
      </c>
      <c r="B1620">
        <v>12</v>
      </c>
      <c r="C1620">
        <v>65</v>
      </c>
      <c r="D1620">
        <v>4</v>
      </c>
      <c r="E1620">
        <v>0</v>
      </c>
      <c r="F1620">
        <v>0</v>
      </c>
      <c r="G1620">
        <v>11</v>
      </c>
      <c r="H1620">
        <v>0</v>
      </c>
      <c r="I1620">
        <v>12053.35</v>
      </c>
      <c r="J1620">
        <v>24</v>
      </c>
      <c r="K1620">
        <v>0</v>
      </c>
      <c r="L1620" s="4">
        <v>0.75345857225644242</v>
      </c>
      <c r="M1620" s="4">
        <v>0.24654142774355761</v>
      </c>
      <c r="N1620">
        <v>4</v>
      </c>
    </row>
    <row r="1621" spans="1:14" x14ac:dyDescent="0.35">
      <c r="A1621" s="1">
        <v>2265</v>
      </c>
      <c r="B1621">
        <v>9</v>
      </c>
      <c r="C1621">
        <v>51</v>
      </c>
      <c r="D1621">
        <v>3</v>
      </c>
      <c r="E1621">
        <v>0</v>
      </c>
      <c r="F1621">
        <v>1</v>
      </c>
      <c r="G1621">
        <v>7</v>
      </c>
      <c r="H1621">
        <v>2</v>
      </c>
      <c r="I1621">
        <v>2500</v>
      </c>
      <c r="J1621">
        <v>1</v>
      </c>
      <c r="K1621">
        <v>0</v>
      </c>
      <c r="L1621" s="4">
        <v>0.75380286563926879</v>
      </c>
      <c r="M1621" s="4">
        <v>0.24619713436073121</v>
      </c>
      <c r="N1621">
        <v>4</v>
      </c>
    </row>
    <row r="1622" spans="1:14" x14ac:dyDescent="0.35">
      <c r="A1622" s="1">
        <v>4335</v>
      </c>
      <c r="B1622">
        <v>9</v>
      </c>
      <c r="C1622">
        <v>50</v>
      </c>
      <c r="D1622">
        <v>0</v>
      </c>
      <c r="E1622">
        <v>1</v>
      </c>
      <c r="F1622">
        <v>0</v>
      </c>
      <c r="G1622">
        <v>2</v>
      </c>
      <c r="H1622">
        <v>0</v>
      </c>
      <c r="I1622">
        <v>6053.35</v>
      </c>
      <c r="J1622">
        <v>6</v>
      </c>
      <c r="K1622">
        <v>0</v>
      </c>
      <c r="L1622" s="4">
        <v>0.75386759878140142</v>
      </c>
      <c r="M1622" s="4">
        <v>0.2461324012185985</v>
      </c>
      <c r="N1622">
        <v>4</v>
      </c>
    </row>
    <row r="1623" spans="1:14" x14ac:dyDescent="0.35">
      <c r="A1623" s="1">
        <v>3493</v>
      </c>
      <c r="B1623">
        <v>8</v>
      </c>
      <c r="C1623">
        <v>46</v>
      </c>
      <c r="D1623">
        <v>4</v>
      </c>
      <c r="E1623">
        <v>0</v>
      </c>
      <c r="F1623">
        <v>0</v>
      </c>
      <c r="G1623">
        <v>11</v>
      </c>
      <c r="H1623">
        <v>3</v>
      </c>
      <c r="I1623">
        <v>0.01</v>
      </c>
      <c r="J1623">
        <v>9</v>
      </c>
      <c r="K1623">
        <v>1</v>
      </c>
      <c r="L1623" s="4">
        <v>0.75388501296530752</v>
      </c>
      <c r="M1623" s="4">
        <v>0.24611498703469251</v>
      </c>
      <c r="N1623">
        <v>4</v>
      </c>
    </row>
    <row r="1624" spans="1:14" x14ac:dyDescent="0.35">
      <c r="A1624" s="1">
        <v>3440</v>
      </c>
      <c r="B1624">
        <v>9</v>
      </c>
      <c r="C1624">
        <v>51</v>
      </c>
      <c r="D1624">
        <v>3</v>
      </c>
      <c r="E1624">
        <v>0</v>
      </c>
      <c r="F1624">
        <v>1</v>
      </c>
      <c r="G1624">
        <v>7</v>
      </c>
      <c r="H1624">
        <v>2</v>
      </c>
      <c r="I1624">
        <v>1000</v>
      </c>
      <c r="J1624">
        <v>2</v>
      </c>
      <c r="K1624">
        <v>0</v>
      </c>
      <c r="L1624" s="4">
        <v>0.75401285001655927</v>
      </c>
      <c r="M1624" s="4">
        <v>0.24598714998344071</v>
      </c>
      <c r="N1624">
        <v>4</v>
      </c>
    </row>
    <row r="1625" spans="1:14" x14ac:dyDescent="0.35">
      <c r="A1625" s="1">
        <v>2255</v>
      </c>
      <c r="B1625">
        <v>13</v>
      </c>
      <c r="C1625">
        <v>68</v>
      </c>
      <c r="D1625">
        <v>2</v>
      </c>
      <c r="E1625">
        <v>0</v>
      </c>
      <c r="F1625">
        <v>1</v>
      </c>
      <c r="G1625">
        <v>5</v>
      </c>
      <c r="H1625">
        <v>2</v>
      </c>
      <c r="I1625">
        <v>3052.66</v>
      </c>
      <c r="J1625">
        <v>7</v>
      </c>
      <c r="K1625">
        <v>0</v>
      </c>
      <c r="L1625" s="4">
        <v>0.75421174487113973</v>
      </c>
      <c r="M1625" s="4">
        <v>0.24578825512886029</v>
      </c>
      <c r="N1625">
        <v>4</v>
      </c>
    </row>
    <row r="1626" spans="1:14" x14ac:dyDescent="0.35">
      <c r="A1626" s="1">
        <v>1150</v>
      </c>
      <c r="B1626">
        <v>11</v>
      </c>
      <c r="C1626">
        <v>62</v>
      </c>
      <c r="D1626">
        <v>0</v>
      </c>
      <c r="E1626">
        <v>0</v>
      </c>
      <c r="F1626">
        <v>3</v>
      </c>
      <c r="G1626">
        <v>3</v>
      </c>
      <c r="H1626">
        <v>1</v>
      </c>
      <c r="I1626">
        <v>35465.199999999997</v>
      </c>
      <c r="J1626">
        <v>25</v>
      </c>
      <c r="K1626">
        <v>0</v>
      </c>
      <c r="L1626" s="4">
        <v>0.75426537534042593</v>
      </c>
      <c r="M1626" s="4">
        <v>0.2457346246595741</v>
      </c>
      <c r="N1626">
        <v>4</v>
      </c>
    </row>
    <row r="1627" spans="1:14" x14ac:dyDescent="0.35">
      <c r="A1627" s="1">
        <v>362</v>
      </c>
      <c r="B1627">
        <v>11</v>
      </c>
      <c r="C1627">
        <v>60</v>
      </c>
      <c r="D1627">
        <v>0</v>
      </c>
      <c r="E1627">
        <v>0</v>
      </c>
      <c r="F1627">
        <v>1</v>
      </c>
      <c r="G1627">
        <v>5</v>
      </c>
      <c r="H1627">
        <v>3</v>
      </c>
      <c r="I1627">
        <v>0.01</v>
      </c>
      <c r="J1627">
        <v>8</v>
      </c>
      <c r="K1627">
        <v>0</v>
      </c>
      <c r="L1627" s="4">
        <v>0.75441252619302035</v>
      </c>
      <c r="M1627" s="4">
        <v>0.24558747380697959</v>
      </c>
      <c r="N1627">
        <v>4</v>
      </c>
    </row>
    <row r="1628" spans="1:14" x14ac:dyDescent="0.35">
      <c r="A1628" s="1">
        <v>1218</v>
      </c>
      <c r="B1628">
        <v>12</v>
      </c>
      <c r="C1628">
        <v>61</v>
      </c>
      <c r="D1628">
        <v>1</v>
      </c>
      <c r="E1628">
        <v>1</v>
      </c>
      <c r="F1628">
        <v>1</v>
      </c>
      <c r="G1628">
        <v>7</v>
      </c>
      <c r="H1628">
        <v>0</v>
      </c>
      <c r="I1628">
        <v>12000</v>
      </c>
      <c r="J1628">
        <v>6</v>
      </c>
      <c r="K1628">
        <v>1</v>
      </c>
      <c r="L1628" s="4">
        <v>0.75448943224818521</v>
      </c>
      <c r="M1628" s="4">
        <v>0.24551056775181479</v>
      </c>
      <c r="N1628">
        <v>4</v>
      </c>
    </row>
    <row r="1629" spans="1:14" x14ac:dyDescent="0.35">
      <c r="A1629" s="1">
        <v>3727</v>
      </c>
      <c r="B1629">
        <v>10</v>
      </c>
      <c r="C1629">
        <v>44</v>
      </c>
      <c r="D1629">
        <v>2</v>
      </c>
      <c r="E1629">
        <v>2</v>
      </c>
      <c r="F1629">
        <v>3</v>
      </c>
      <c r="G1629">
        <v>8</v>
      </c>
      <c r="H1629">
        <v>3</v>
      </c>
      <c r="I1629">
        <v>0.01</v>
      </c>
      <c r="J1629">
        <v>5</v>
      </c>
      <c r="K1629">
        <v>0</v>
      </c>
      <c r="L1629" s="4">
        <v>0.75472120314686364</v>
      </c>
      <c r="M1629" s="4">
        <v>0.2452787968531363</v>
      </c>
      <c r="N1629">
        <v>4</v>
      </c>
    </row>
    <row r="1630" spans="1:14" x14ac:dyDescent="0.35">
      <c r="A1630" s="1">
        <v>3789</v>
      </c>
      <c r="B1630">
        <v>8</v>
      </c>
      <c r="C1630">
        <v>48</v>
      </c>
      <c r="D1630">
        <v>3</v>
      </c>
      <c r="E1630">
        <v>0</v>
      </c>
      <c r="F1630">
        <v>0</v>
      </c>
      <c r="G1630">
        <v>4</v>
      </c>
      <c r="H1630">
        <v>2</v>
      </c>
      <c r="I1630">
        <v>2000</v>
      </c>
      <c r="J1630">
        <v>12</v>
      </c>
      <c r="K1630">
        <v>0</v>
      </c>
      <c r="L1630" s="4">
        <v>0.75472446767958301</v>
      </c>
      <c r="M1630" s="4">
        <v>0.24527553232041691</v>
      </c>
      <c r="N1630">
        <v>4</v>
      </c>
    </row>
    <row r="1631" spans="1:14" x14ac:dyDescent="0.35">
      <c r="A1631" s="1">
        <v>606</v>
      </c>
      <c r="B1631">
        <v>13</v>
      </c>
      <c r="C1631">
        <v>68</v>
      </c>
      <c r="D1631">
        <v>4</v>
      </c>
      <c r="E1631">
        <v>0</v>
      </c>
      <c r="F1631">
        <v>3</v>
      </c>
      <c r="G1631">
        <v>3</v>
      </c>
      <c r="H1631">
        <v>0</v>
      </c>
      <c r="I1631">
        <v>7500</v>
      </c>
      <c r="J1631">
        <v>6</v>
      </c>
      <c r="K1631">
        <v>0</v>
      </c>
      <c r="L1631" s="4">
        <v>0.75505830634309512</v>
      </c>
      <c r="M1631" s="4">
        <v>0.24494169365690491</v>
      </c>
      <c r="N1631">
        <v>4</v>
      </c>
    </row>
    <row r="1632" spans="1:14" x14ac:dyDescent="0.35">
      <c r="A1632" s="1">
        <v>4</v>
      </c>
      <c r="B1632">
        <v>9</v>
      </c>
      <c r="C1632">
        <v>52</v>
      </c>
      <c r="D1632">
        <v>3</v>
      </c>
      <c r="E1632">
        <v>0</v>
      </c>
      <c r="F1632">
        <v>0</v>
      </c>
      <c r="G1632">
        <v>4</v>
      </c>
      <c r="H1632">
        <v>2</v>
      </c>
      <c r="I1632">
        <v>3500</v>
      </c>
      <c r="J1632">
        <v>6</v>
      </c>
      <c r="K1632">
        <v>0</v>
      </c>
      <c r="L1632" s="4">
        <v>0.75514476203580616</v>
      </c>
      <c r="M1632" s="4">
        <v>0.24485523796419381</v>
      </c>
      <c r="N1632">
        <v>4</v>
      </c>
    </row>
    <row r="1633" spans="1:14" x14ac:dyDescent="0.35">
      <c r="A1633" s="1">
        <v>115</v>
      </c>
      <c r="B1633">
        <v>10</v>
      </c>
      <c r="C1633">
        <v>54</v>
      </c>
      <c r="D1633">
        <v>4</v>
      </c>
      <c r="E1633">
        <v>0</v>
      </c>
      <c r="F1633">
        <v>1</v>
      </c>
      <c r="G1633">
        <v>7</v>
      </c>
      <c r="H1633">
        <v>3</v>
      </c>
      <c r="I1633">
        <v>0.01</v>
      </c>
      <c r="J1633">
        <v>4</v>
      </c>
      <c r="K1633">
        <v>0</v>
      </c>
      <c r="L1633" s="4">
        <v>0.75515352920561407</v>
      </c>
      <c r="M1633" s="4">
        <v>0.2448464707943859</v>
      </c>
      <c r="N1633">
        <v>4</v>
      </c>
    </row>
    <row r="1634" spans="1:14" x14ac:dyDescent="0.35">
      <c r="A1634" s="1">
        <v>2508</v>
      </c>
      <c r="B1634">
        <v>7</v>
      </c>
      <c r="C1634">
        <v>43</v>
      </c>
      <c r="D1634">
        <v>3</v>
      </c>
      <c r="E1634">
        <v>0</v>
      </c>
      <c r="F1634">
        <v>1</v>
      </c>
      <c r="G1634">
        <v>7</v>
      </c>
      <c r="H1634">
        <v>2</v>
      </c>
      <c r="I1634">
        <v>420.01</v>
      </c>
      <c r="J1634">
        <v>1</v>
      </c>
      <c r="K1634">
        <v>0</v>
      </c>
      <c r="L1634" s="4">
        <v>0.75554223946983767</v>
      </c>
      <c r="M1634" s="4">
        <v>0.2444577605301623</v>
      </c>
      <c r="N1634">
        <v>4</v>
      </c>
    </row>
    <row r="1635" spans="1:14" x14ac:dyDescent="0.35">
      <c r="A1635" s="1">
        <v>586</v>
      </c>
      <c r="B1635">
        <v>7</v>
      </c>
      <c r="C1635">
        <v>43</v>
      </c>
      <c r="D1635">
        <v>1</v>
      </c>
      <c r="E1635">
        <v>0</v>
      </c>
      <c r="F1635">
        <v>3</v>
      </c>
      <c r="G1635">
        <v>8</v>
      </c>
      <c r="H1635">
        <v>2</v>
      </c>
      <c r="I1635">
        <v>1200</v>
      </c>
      <c r="J1635">
        <v>7</v>
      </c>
      <c r="K1635">
        <v>0</v>
      </c>
      <c r="L1635" s="4">
        <v>0.75568383951143925</v>
      </c>
      <c r="M1635" s="4">
        <v>0.24431616048856081</v>
      </c>
      <c r="N1635">
        <v>4</v>
      </c>
    </row>
    <row r="1636" spans="1:14" x14ac:dyDescent="0.35">
      <c r="A1636" s="1">
        <v>1234</v>
      </c>
      <c r="B1636">
        <v>9</v>
      </c>
      <c r="C1636">
        <v>51</v>
      </c>
      <c r="D1636">
        <v>2</v>
      </c>
      <c r="E1636">
        <v>0</v>
      </c>
      <c r="F1636">
        <v>0</v>
      </c>
      <c r="G1636">
        <v>11</v>
      </c>
      <c r="H1636">
        <v>3</v>
      </c>
      <c r="I1636">
        <v>0.01</v>
      </c>
      <c r="J1636">
        <v>4</v>
      </c>
      <c r="K1636">
        <v>1</v>
      </c>
      <c r="L1636" s="4">
        <v>0.75591514945889426</v>
      </c>
      <c r="M1636" s="4">
        <v>0.24408485054110571</v>
      </c>
      <c r="N1636">
        <v>4</v>
      </c>
    </row>
    <row r="1637" spans="1:14" x14ac:dyDescent="0.35">
      <c r="A1637" s="1">
        <v>3918</v>
      </c>
      <c r="B1637">
        <v>13</v>
      </c>
      <c r="C1637">
        <v>60</v>
      </c>
      <c r="D1637">
        <v>5</v>
      </c>
      <c r="E1637">
        <v>1</v>
      </c>
      <c r="F1637">
        <v>3</v>
      </c>
      <c r="G1637">
        <v>8</v>
      </c>
      <c r="H1637">
        <v>3</v>
      </c>
      <c r="I1637">
        <v>0.01</v>
      </c>
      <c r="J1637">
        <v>11</v>
      </c>
      <c r="K1637">
        <v>0</v>
      </c>
      <c r="L1637" s="4">
        <v>0.75607946266868398</v>
      </c>
      <c r="M1637" s="4">
        <v>0.243920537331316</v>
      </c>
      <c r="N1637">
        <v>4</v>
      </c>
    </row>
    <row r="1638" spans="1:14" x14ac:dyDescent="0.35">
      <c r="A1638" s="1">
        <v>512</v>
      </c>
      <c r="B1638">
        <v>8</v>
      </c>
      <c r="C1638">
        <v>47</v>
      </c>
      <c r="D1638">
        <v>2</v>
      </c>
      <c r="E1638">
        <v>0</v>
      </c>
      <c r="F1638">
        <v>0</v>
      </c>
      <c r="G1638">
        <v>11</v>
      </c>
      <c r="H1638">
        <v>3</v>
      </c>
      <c r="I1638">
        <v>0.01</v>
      </c>
      <c r="J1638">
        <v>5</v>
      </c>
      <c r="K1638">
        <v>0</v>
      </c>
      <c r="L1638" s="4">
        <v>0.75623543712371066</v>
      </c>
      <c r="M1638" s="4">
        <v>0.24376456287628931</v>
      </c>
      <c r="N1638">
        <v>4</v>
      </c>
    </row>
    <row r="1639" spans="1:14" x14ac:dyDescent="0.35">
      <c r="A1639" s="1">
        <v>485</v>
      </c>
      <c r="B1639">
        <v>12</v>
      </c>
      <c r="C1639">
        <v>65</v>
      </c>
      <c r="D1639">
        <v>2</v>
      </c>
      <c r="E1639">
        <v>0</v>
      </c>
      <c r="F1639">
        <v>1</v>
      </c>
      <c r="G1639">
        <v>12</v>
      </c>
      <c r="H1639">
        <v>0</v>
      </c>
      <c r="I1639">
        <v>6000</v>
      </c>
      <c r="J1639">
        <v>2</v>
      </c>
      <c r="K1639">
        <v>1</v>
      </c>
      <c r="L1639" s="4">
        <v>0.75703239982264114</v>
      </c>
      <c r="M1639" s="4">
        <v>0.2429676001773588</v>
      </c>
      <c r="N1639">
        <v>4</v>
      </c>
    </row>
    <row r="1640" spans="1:14" x14ac:dyDescent="0.35">
      <c r="A1640" s="1">
        <v>3183</v>
      </c>
      <c r="B1640">
        <v>15</v>
      </c>
      <c r="C1640">
        <v>76</v>
      </c>
      <c r="D1640">
        <v>0</v>
      </c>
      <c r="E1640">
        <v>0</v>
      </c>
      <c r="F1640">
        <v>3</v>
      </c>
      <c r="G1640">
        <v>8</v>
      </c>
      <c r="H1640">
        <v>2</v>
      </c>
      <c r="I1640">
        <v>5000</v>
      </c>
      <c r="J1640">
        <v>4</v>
      </c>
      <c r="K1640">
        <v>0</v>
      </c>
      <c r="L1640" s="4">
        <v>0.75705294249591015</v>
      </c>
      <c r="M1640" s="4">
        <v>0.24294705750408979</v>
      </c>
      <c r="N1640">
        <v>4</v>
      </c>
    </row>
    <row r="1641" spans="1:14" x14ac:dyDescent="0.35">
      <c r="A1641" s="1">
        <v>3168</v>
      </c>
      <c r="B1641">
        <v>7</v>
      </c>
      <c r="C1641">
        <v>32</v>
      </c>
      <c r="D1641">
        <v>5</v>
      </c>
      <c r="E1641">
        <v>2</v>
      </c>
      <c r="F1641">
        <v>3</v>
      </c>
      <c r="G1641">
        <v>3</v>
      </c>
      <c r="H1641">
        <v>2</v>
      </c>
      <c r="I1641">
        <v>50</v>
      </c>
      <c r="J1641">
        <v>7</v>
      </c>
      <c r="K1641">
        <v>0</v>
      </c>
      <c r="L1641" s="4">
        <v>0.75727847126288739</v>
      </c>
      <c r="M1641" s="4">
        <v>0.24272152873711261</v>
      </c>
      <c r="N1641">
        <v>4</v>
      </c>
    </row>
    <row r="1642" spans="1:14" x14ac:dyDescent="0.35">
      <c r="A1642" s="1">
        <v>2142</v>
      </c>
      <c r="B1642">
        <v>10</v>
      </c>
      <c r="C1642">
        <v>51</v>
      </c>
      <c r="D1642">
        <v>2</v>
      </c>
      <c r="E1642">
        <v>1</v>
      </c>
      <c r="F1642">
        <v>0</v>
      </c>
      <c r="G1642">
        <v>4</v>
      </c>
      <c r="H1642">
        <v>3</v>
      </c>
      <c r="I1642">
        <v>0.01</v>
      </c>
      <c r="J1642">
        <v>8</v>
      </c>
      <c r="K1642">
        <v>0</v>
      </c>
      <c r="L1642" s="4">
        <v>0.75742357560274665</v>
      </c>
      <c r="M1642" s="4">
        <v>0.2425764243972533</v>
      </c>
      <c r="N1642">
        <v>4</v>
      </c>
    </row>
    <row r="1643" spans="1:14" x14ac:dyDescent="0.35">
      <c r="A1643" s="1">
        <v>1873</v>
      </c>
      <c r="B1643">
        <v>8</v>
      </c>
      <c r="C1643">
        <v>47</v>
      </c>
      <c r="D1643">
        <v>2</v>
      </c>
      <c r="E1643">
        <v>0</v>
      </c>
      <c r="F1643">
        <v>1</v>
      </c>
      <c r="G1643">
        <v>7</v>
      </c>
      <c r="H1643">
        <v>3</v>
      </c>
      <c r="I1643">
        <v>0.01</v>
      </c>
      <c r="J1643">
        <v>5</v>
      </c>
      <c r="K1643">
        <v>1</v>
      </c>
      <c r="L1643" s="4">
        <v>0.75742558938173365</v>
      </c>
      <c r="M1643" s="4">
        <v>0.24257441061826629</v>
      </c>
      <c r="N1643">
        <v>4</v>
      </c>
    </row>
    <row r="1644" spans="1:14" x14ac:dyDescent="0.35">
      <c r="A1644" s="1">
        <v>3484</v>
      </c>
      <c r="B1644">
        <v>9</v>
      </c>
      <c r="C1644">
        <v>53</v>
      </c>
      <c r="D1644">
        <v>1</v>
      </c>
      <c r="E1644">
        <v>0</v>
      </c>
      <c r="F1644">
        <v>3</v>
      </c>
      <c r="G1644">
        <v>8</v>
      </c>
      <c r="H1644">
        <v>0</v>
      </c>
      <c r="I1644">
        <v>13000</v>
      </c>
      <c r="J1644">
        <v>5</v>
      </c>
      <c r="K1644">
        <v>0</v>
      </c>
      <c r="L1644" s="4">
        <v>0.75749569903944614</v>
      </c>
      <c r="M1644" s="4">
        <v>0.24250430096055389</v>
      </c>
      <c r="N1644">
        <v>4</v>
      </c>
    </row>
    <row r="1645" spans="1:14" x14ac:dyDescent="0.35">
      <c r="A1645" s="1">
        <v>3244</v>
      </c>
      <c r="B1645">
        <v>11</v>
      </c>
      <c r="C1645">
        <v>60</v>
      </c>
      <c r="D1645">
        <v>3</v>
      </c>
      <c r="E1645">
        <v>0</v>
      </c>
      <c r="F1645">
        <v>3</v>
      </c>
      <c r="G1645">
        <v>8</v>
      </c>
      <c r="H1645">
        <v>0</v>
      </c>
      <c r="I1645">
        <v>6000</v>
      </c>
      <c r="J1645">
        <v>2</v>
      </c>
      <c r="K1645">
        <v>0</v>
      </c>
      <c r="L1645" s="4">
        <v>0.75777512746900677</v>
      </c>
      <c r="M1645" s="4">
        <v>0.24222487253099331</v>
      </c>
      <c r="N1645">
        <v>4</v>
      </c>
    </row>
    <row r="1646" spans="1:14" x14ac:dyDescent="0.35">
      <c r="A1646" s="1">
        <v>3460</v>
      </c>
      <c r="B1646">
        <v>10</v>
      </c>
      <c r="C1646">
        <v>58</v>
      </c>
      <c r="D1646">
        <v>0</v>
      </c>
      <c r="E1646">
        <v>0</v>
      </c>
      <c r="F1646">
        <v>3</v>
      </c>
      <c r="G1646">
        <v>3</v>
      </c>
      <c r="H1646">
        <v>0</v>
      </c>
      <c r="I1646">
        <v>13000</v>
      </c>
      <c r="J1646">
        <v>6</v>
      </c>
      <c r="K1646">
        <v>0</v>
      </c>
      <c r="L1646" s="4">
        <v>0.75788438266539304</v>
      </c>
      <c r="M1646" s="4">
        <v>0.24211561733460699</v>
      </c>
      <c r="N1646">
        <v>4</v>
      </c>
    </row>
    <row r="1647" spans="1:14" x14ac:dyDescent="0.35">
      <c r="A1647" s="1">
        <v>1515</v>
      </c>
      <c r="B1647">
        <v>12</v>
      </c>
      <c r="C1647">
        <v>53</v>
      </c>
      <c r="D1647">
        <v>1</v>
      </c>
      <c r="E1647">
        <v>2</v>
      </c>
      <c r="F1647">
        <v>4</v>
      </c>
      <c r="G1647">
        <v>9</v>
      </c>
      <c r="H1647">
        <v>2</v>
      </c>
      <c r="I1647">
        <v>1000</v>
      </c>
      <c r="J1647">
        <v>4</v>
      </c>
      <c r="K1647">
        <v>0</v>
      </c>
      <c r="L1647" s="4">
        <v>0.75792873231295732</v>
      </c>
      <c r="M1647" s="4">
        <v>0.2420712676870426</v>
      </c>
      <c r="N1647">
        <v>4</v>
      </c>
    </row>
    <row r="1648" spans="1:14" x14ac:dyDescent="0.35">
      <c r="A1648" s="1">
        <v>4070</v>
      </c>
      <c r="B1648">
        <v>9</v>
      </c>
      <c r="C1648">
        <v>53</v>
      </c>
      <c r="D1648">
        <v>1</v>
      </c>
      <c r="E1648">
        <v>0</v>
      </c>
      <c r="F1648">
        <v>3</v>
      </c>
      <c r="G1648">
        <v>8</v>
      </c>
      <c r="H1648">
        <v>0</v>
      </c>
      <c r="I1648">
        <v>14000</v>
      </c>
      <c r="J1648">
        <v>1</v>
      </c>
      <c r="K1648">
        <v>0</v>
      </c>
      <c r="L1648" s="4">
        <v>0.75814337266202281</v>
      </c>
      <c r="M1648" s="4">
        <v>0.24185662733797719</v>
      </c>
      <c r="N1648">
        <v>4</v>
      </c>
    </row>
    <row r="1649" spans="1:14" x14ac:dyDescent="0.35">
      <c r="A1649" s="1">
        <v>2899</v>
      </c>
      <c r="B1649">
        <v>6</v>
      </c>
      <c r="C1649">
        <v>40</v>
      </c>
      <c r="D1649">
        <v>0</v>
      </c>
      <c r="E1649">
        <v>0</v>
      </c>
      <c r="F1649">
        <v>3</v>
      </c>
      <c r="G1649">
        <v>3</v>
      </c>
      <c r="H1649">
        <v>2</v>
      </c>
      <c r="I1649">
        <v>3000</v>
      </c>
      <c r="J1649">
        <v>1</v>
      </c>
      <c r="K1649">
        <v>1</v>
      </c>
      <c r="L1649" s="4">
        <v>0.75830621090227412</v>
      </c>
      <c r="M1649" s="4">
        <v>0.24169378909772579</v>
      </c>
      <c r="N1649">
        <v>4</v>
      </c>
    </row>
    <row r="1650" spans="1:14" x14ac:dyDescent="0.35">
      <c r="A1650" s="1">
        <v>496</v>
      </c>
      <c r="B1650">
        <v>10</v>
      </c>
      <c r="C1650">
        <v>51</v>
      </c>
      <c r="D1650">
        <v>4</v>
      </c>
      <c r="E1650">
        <v>1</v>
      </c>
      <c r="F1650">
        <v>3</v>
      </c>
      <c r="G1650">
        <v>8</v>
      </c>
      <c r="H1650">
        <v>0</v>
      </c>
      <c r="I1650">
        <v>12000</v>
      </c>
      <c r="J1650">
        <v>8</v>
      </c>
      <c r="K1650">
        <v>1</v>
      </c>
      <c r="L1650" s="4">
        <v>0.75897601290498218</v>
      </c>
      <c r="M1650" s="4">
        <v>0.24102398709501779</v>
      </c>
      <c r="N1650">
        <v>4</v>
      </c>
    </row>
    <row r="1651" spans="1:14" x14ac:dyDescent="0.35">
      <c r="A1651" s="1">
        <v>4286</v>
      </c>
      <c r="B1651">
        <v>9</v>
      </c>
      <c r="C1651">
        <v>50</v>
      </c>
      <c r="D1651">
        <v>4</v>
      </c>
      <c r="E1651">
        <v>0</v>
      </c>
      <c r="F1651">
        <v>2</v>
      </c>
      <c r="G1651">
        <v>6</v>
      </c>
      <c r="H1651">
        <v>3</v>
      </c>
      <c r="I1651">
        <v>0.01</v>
      </c>
      <c r="J1651">
        <v>8</v>
      </c>
      <c r="K1651">
        <v>0</v>
      </c>
      <c r="L1651" s="4">
        <v>0.75898200382014724</v>
      </c>
      <c r="M1651" s="4">
        <v>0.24101799617985281</v>
      </c>
      <c r="N1651">
        <v>4</v>
      </c>
    </row>
    <row r="1652" spans="1:14" x14ac:dyDescent="0.35">
      <c r="A1652" s="1">
        <v>339</v>
      </c>
      <c r="B1652">
        <v>8</v>
      </c>
      <c r="C1652">
        <v>42</v>
      </c>
      <c r="D1652">
        <v>3</v>
      </c>
      <c r="E1652">
        <v>1</v>
      </c>
      <c r="F1652">
        <v>3</v>
      </c>
      <c r="G1652">
        <v>3</v>
      </c>
      <c r="H1652">
        <v>2</v>
      </c>
      <c r="I1652">
        <v>2000</v>
      </c>
      <c r="J1652">
        <v>5</v>
      </c>
      <c r="K1652">
        <v>0</v>
      </c>
      <c r="L1652" s="4">
        <v>0.75899622132756184</v>
      </c>
      <c r="M1652" s="4">
        <v>0.24100377867243811</v>
      </c>
      <c r="N1652">
        <v>4</v>
      </c>
    </row>
    <row r="1653" spans="1:14" x14ac:dyDescent="0.35">
      <c r="A1653" s="1">
        <v>1455</v>
      </c>
      <c r="B1653">
        <v>10</v>
      </c>
      <c r="C1653">
        <v>56</v>
      </c>
      <c r="D1653">
        <v>2</v>
      </c>
      <c r="E1653">
        <v>0</v>
      </c>
      <c r="F1653">
        <v>0</v>
      </c>
      <c r="G1653">
        <v>4</v>
      </c>
      <c r="H1653">
        <v>3</v>
      </c>
      <c r="I1653">
        <v>0.01</v>
      </c>
      <c r="J1653">
        <v>5</v>
      </c>
      <c r="K1653">
        <v>1</v>
      </c>
      <c r="L1653" s="4">
        <v>0.7591186948447699</v>
      </c>
      <c r="M1653" s="4">
        <v>0.2408813051552301</v>
      </c>
      <c r="N1653">
        <v>4</v>
      </c>
    </row>
    <row r="1654" spans="1:14" x14ac:dyDescent="0.35">
      <c r="A1654" s="1">
        <v>4295</v>
      </c>
      <c r="B1654">
        <v>11</v>
      </c>
      <c r="C1654">
        <v>62</v>
      </c>
      <c r="D1654">
        <v>3</v>
      </c>
      <c r="E1654">
        <v>0</v>
      </c>
      <c r="F1654">
        <v>0</v>
      </c>
      <c r="G1654">
        <v>4</v>
      </c>
      <c r="H1654">
        <v>0</v>
      </c>
      <c r="I1654">
        <v>10000</v>
      </c>
      <c r="J1654">
        <v>1</v>
      </c>
      <c r="K1654">
        <v>1</v>
      </c>
      <c r="L1654" s="4">
        <v>0.75923235372391984</v>
      </c>
      <c r="M1654" s="4">
        <v>0.24076764627608011</v>
      </c>
      <c r="N1654">
        <v>4</v>
      </c>
    </row>
    <row r="1655" spans="1:14" x14ac:dyDescent="0.35">
      <c r="A1655" s="1">
        <v>1015</v>
      </c>
      <c r="B1655">
        <v>9</v>
      </c>
      <c r="C1655">
        <v>48</v>
      </c>
      <c r="D1655">
        <v>2</v>
      </c>
      <c r="E1655">
        <v>1</v>
      </c>
      <c r="F1655">
        <v>0</v>
      </c>
      <c r="G1655">
        <v>2</v>
      </c>
      <c r="H1655">
        <v>2</v>
      </c>
      <c r="I1655">
        <v>3000</v>
      </c>
      <c r="J1655">
        <v>2</v>
      </c>
      <c r="K1655">
        <v>0</v>
      </c>
      <c r="L1655" s="4">
        <v>0.75945384141096683</v>
      </c>
      <c r="M1655" s="4">
        <v>0.24054615858903311</v>
      </c>
      <c r="N1655">
        <v>4</v>
      </c>
    </row>
    <row r="1656" spans="1:14" x14ac:dyDescent="0.35">
      <c r="A1656" s="1">
        <v>2251</v>
      </c>
      <c r="B1656">
        <v>9</v>
      </c>
      <c r="C1656">
        <v>50</v>
      </c>
      <c r="D1656">
        <v>5</v>
      </c>
      <c r="E1656">
        <v>0</v>
      </c>
      <c r="F1656">
        <v>2</v>
      </c>
      <c r="G1656">
        <v>1</v>
      </c>
      <c r="H1656">
        <v>3</v>
      </c>
      <c r="I1656">
        <v>0.01</v>
      </c>
      <c r="J1656">
        <v>4</v>
      </c>
      <c r="K1656">
        <v>1</v>
      </c>
      <c r="L1656" s="4">
        <v>0.75971212719510794</v>
      </c>
      <c r="M1656" s="4">
        <v>0.24028787280489211</v>
      </c>
      <c r="N1656">
        <v>4</v>
      </c>
    </row>
    <row r="1657" spans="1:14" x14ac:dyDescent="0.35">
      <c r="A1657" s="1">
        <v>835</v>
      </c>
      <c r="B1657">
        <v>11</v>
      </c>
      <c r="C1657">
        <v>53</v>
      </c>
      <c r="D1657">
        <v>4</v>
      </c>
      <c r="E1657">
        <v>1</v>
      </c>
      <c r="F1657">
        <v>3</v>
      </c>
      <c r="G1657">
        <v>3</v>
      </c>
      <c r="H1657">
        <v>3</v>
      </c>
      <c r="I1657">
        <v>0.01</v>
      </c>
      <c r="J1657">
        <v>5</v>
      </c>
      <c r="K1657">
        <v>0</v>
      </c>
      <c r="L1657" s="4">
        <v>0.75978144677799697</v>
      </c>
      <c r="M1657" s="4">
        <v>0.24021855322200311</v>
      </c>
      <c r="N1657">
        <v>4</v>
      </c>
    </row>
    <row r="1658" spans="1:14" x14ac:dyDescent="0.35">
      <c r="A1658" s="1">
        <v>1358</v>
      </c>
      <c r="B1658">
        <v>8</v>
      </c>
      <c r="C1658">
        <v>41</v>
      </c>
      <c r="D1658">
        <v>5</v>
      </c>
      <c r="E1658">
        <v>1</v>
      </c>
      <c r="F1658">
        <v>1</v>
      </c>
      <c r="G1658">
        <v>7</v>
      </c>
      <c r="H1658">
        <v>3</v>
      </c>
      <c r="I1658">
        <v>0.01</v>
      </c>
      <c r="J1658">
        <v>5</v>
      </c>
      <c r="K1658">
        <v>0</v>
      </c>
      <c r="L1658" s="4">
        <v>0.75986832932497916</v>
      </c>
      <c r="M1658" s="4">
        <v>0.24013167067502081</v>
      </c>
      <c r="N1658">
        <v>4</v>
      </c>
    </row>
    <row r="1659" spans="1:14" x14ac:dyDescent="0.35">
      <c r="A1659" s="1">
        <v>3766</v>
      </c>
      <c r="B1659">
        <v>14</v>
      </c>
      <c r="C1659">
        <v>72</v>
      </c>
      <c r="D1659">
        <v>2</v>
      </c>
      <c r="E1659">
        <v>0</v>
      </c>
      <c r="F1659">
        <v>2</v>
      </c>
      <c r="G1659">
        <v>6</v>
      </c>
      <c r="H1659">
        <v>2</v>
      </c>
      <c r="I1659">
        <v>3026.67</v>
      </c>
      <c r="J1659">
        <v>7</v>
      </c>
      <c r="K1659">
        <v>0</v>
      </c>
      <c r="L1659" s="4">
        <v>0.75990103946334897</v>
      </c>
      <c r="M1659" s="4">
        <v>0.24009896053665111</v>
      </c>
      <c r="N1659">
        <v>4</v>
      </c>
    </row>
    <row r="1660" spans="1:14" x14ac:dyDescent="0.35">
      <c r="A1660" s="1">
        <v>1543</v>
      </c>
      <c r="B1660">
        <v>5</v>
      </c>
      <c r="C1660">
        <v>36</v>
      </c>
      <c r="D1660">
        <v>2</v>
      </c>
      <c r="E1660">
        <v>0</v>
      </c>
      <c r="F1660">
        <v>0</v>
      </c>
      <c r="G1660">
        <v>2</v>
      </c>
      <c r="H1660">
        <v>3</v>
      </c>
      <c r="I1660">
        <v>0.01</v>
      </c>
      <c r="J1660">
        <v>4</v>
      </c>
      <c r="K1660">
        <v>1</v>
      </c>
      <c r="L1660" s="4">
        <v>0.7601074504995472</v>
      </c>
      <c r="M1660" s="4">
        <v>0.2398925495004528</v>
      </c>
      <c r="N1660">
        <v>4</v>
      </c>
    </row>
    <row r="1661" spans="1:14" x14ac:dyDescent="0.35">
      <c r="A1661" s="1">
        <v>3171</v>
      </c>
      <c r="B1661">
        <v>8</v>
      </c>
      <c r="C1661">
        <v>48</v>
      </c>
      <c r="D1661">
        <v>2</v>
      </c>
      <c r="E1661">
        <v>0</v>
      </c>
      <c r="F1661">
        <v>0</v>
      </c>
      <c r="G1661">
        <v>4</v>
      </c>
      <c r="H1661">
        <v>3</v>
      </c>
      <c r="I1661">
        <v>0.01</v>
      </c>
      <c r="J1661">
        <v>5</v>
      </c>
      <c r="K1661">
        <v>1</v>
      </c>
      <c r="L1661" s="4">
        <v>0.76022205885860195</v>
      </c>
      <c r="M1661" s="4">
        <v>0.23977794114139811</v>
      </c>
      <c r="N1661">
        <v>4</v>
      </c>
    </row>
    <row r="1662" spans="1:14" x14ac:dyDescent="0.35">
      <c r="A1662" s="1">
        <v>1404</v>
      </c>
      <c r="B1662">
        <v>12</v>
      </c>
      <c r="C1662">
        <v>63</v>
      </c>
      <c r="D1662">
        <v>3</v>
      </c>
      <c r="E1662">
        <v>0</v>
      </c>
      <c r="F1662">
        <v>1</v>
      </c>
      <c r="G1662">
        <v>7</v>
      </c>
      <c r="H1662">
        <v>3</v>
      </c>
      <c r="I1662">
        <v>0.01</v>
      </c>
      <c r="J1662">
        <v>4</v>
      </c>
      <c r="K1662">
        <v>0</v>
      </c>
      <c r="L1662" s="4">
        <v>0.76026216683041481</v>
      </c>
      <c r="M1662" s="4">
        <v>0.23973783316958511</v>
      </c>
      <c r="N1662">
        <v>4</v>
      </c>
    </row>
    <row r="1663" spans="1:14" x14ac:dyDescent="0.35">
      <c r="A1663" s="1">
        <v>4275</v>
      </c>
      <c r="B1663">
        <v>4</v>
      </c>
      <c r="C1663">
        <v>30</v>
      </c>
      <c r="D1663">
        <v>5</v>
      </c>
      <c r="E1663">
        <v>0</v>
      </c>
      <c r="F1663">
        <v>3</v>
      </c>
      <c r="G1663">
        <v>3</v>
      </c>
      <c r="H1663">
        <v>2</v>
      </c>
      <c r="I1663">
        <v>2830</v>
      </c>
      <c r="J1663">
        <v>6</v>
      </c>
      <c r="K1663">
        <v>0</v>
      </c>
      <c r="L1663" s="4">
        <v>0.76032696688466861</v>
      </c>
      <c r="M1663" s="4">
        <v>0.23967303311533131</v>
      </c>
      <c r="N1663">
        <v>4</v>
      </c>
    </row>
    <row r="1664" spans="1:14" x14ac:dyDescent="0.35">
      <c r="A1664" s="1">
        <v>1291</v>
      </c>
      <c r="B1664">
        <v>9</v>
      </c>
      <c r="C1664">
        <v>51</v>
      </c>
      <c r="D1664">
        <v>5</v>
      </c>
      <c r="E1664">
        <v>0</v>
      </c>
      <c r="F1664">
        <v>0</v>
      </c>
      <c r="G1664">
        <v>11</v>
      </c>
      <c r="H1664">
        <v>2</v>
      </c>
      <c r="I1664">
        <v>500</v>
      </c>
      <c r="J1664">
        <v>9</v>
      </c>
      <c r="K1664">
        <v>0</v>
      </c>
      <c r="L1664" s="4">
        <v>0.76098336795593413</v>
      </c>
      <c r="M1664" s="4">
        <v>0.2390166320440659</v>
      </c>
      <c r="N1664">
        <v>4</v>
      </c>
    </row>
    <row r="1665" spans="1:14" x14ac:dyDescent="0.35">
      <c r="A1665" s="1">
        <v>251</v>
      </c>
      <c r="B1665">
        <v>7</v>
      </c>
      <c r="C1665">
        <v>44</v>
      </c>
      <c r="D1665">
        <v>4</v>
      </c>
      <c r="E1665">
        <v>0</v>
      </c>
      <c r="F1665">
        <v>0</v>
      </c>
      <c r="G1665">
        <v>2</v>
      </c>
      <c r="H1665">
        <v>2</v>
      </c>
      <c r="I1665">
        <v>600</v>
      </c>
      <c r="J1665">
        <v>1</v>
      </c>
      <c r="K1665">
        <v>0</v>
      </c>
      <c r="L1665" s="4">
        <v>0.76109773501863087</v>
      </c>
      <c r="M1665" s="4">
        <v>0.23890226498136921</v>
      </c>
      <c r="N1665">
        <v>4</v>
      </c>
    </row>
    <row r="1666" spans="1:14" x14ac:dyDescent="0.35">
      <c r="A1666" s="1">
        <v>3282</v>
      </c>
      <c r="B1666">
        <v>9</v>
      </c>
      <c r="C1666">
        <v>50</v>
      </c>
      <c r="D1666">
        <v>3</v>
      </c>
      <c r="E1666">
        <v>0</v>
      </c>
      <c r="F1666">
        <v>3</v>
      </c>
      <c r="G1666">
        <v>8</v>
      </c>
      <c r="H1666">
        <v>3</v>
      </c>
      <c r="I1666">
        <v>0.01</v>
      </c>
      <c r="J1666">
        <v>9</v>
      </c>
      <c r="K1666">
        <v>0</v>
      </c>
      <c r="L1666" s="4">
        <v>0.7611368803684444</v>
      </c>
      <c r="M1666" s="4">
        <v>0.23886311963155549</v>
      </c>
      <c r="N1666">
        <v>4</v>
      </c>
    </row>
    <row r="1667" spans="1:14" x14ac:dyDescent="0.35">
      <c r="A1667" s="1">
        <v>1926</v>
      </c>
      <c r="B1667">
        <v>9</v>
      </c>
      <c r="C1667">
        <v>50</v>
      </c>
      <c r="D1667">
        <v>4</v>
      </c>
      <c r="E1667">
        <v>0</v>
      </c>
      <c r="F1667">
        <v>3</v>
      </c>
      <c r="G1667">
        <v>3</v>
      </c>
      <c r="H1667">
        <v>3</v>
      </c>
      <c r="I1667">
        <v>0.01</v>
      </c>
      <c r="J1667">
        <v>8</v>
      </c>
      <c r="K1667">
        <v>0</v>
      </c>
      <c r="L1667" s="4">
        <v>0.76116238029017147</v>
      </c>
      <c r="M1667" s="4">
        <v>0.2388376197098285</v>
      </c>
      <c r="N1667">
        <v>4</v>
      </c>
    </row>
    <row r="1668" spans="1:14" x14ac:dyDescent="0.35">
      <c r="A1668" s="1">
        <v>4177</v>
      </c>
      <c r="B1668">
        <v>10</v>
      </c>
      <c r="C1668">
        <v>55</v>
      </c>
      <c r="D1668">
        <v>1</v>
      </c>
      <c r="E1668">
        <v>0</v>
      </c>
      <c r="F1668">
        <v>3</v>
      </c>
      <c r="G1668">
        <v>8</v>
      </c>
      <c r="H1668">
        <v>3</v>
      </c>
      <c r="I1668">
        <v>0.01</v>
      </c>
      <c r="J1668">
        <v>11</v>
      </c>
      <c r="K1668">
        <v>0</v>
      </c>
      <c r="L1668" s="4">
        <v>0.76149609168768451</v>
      </c>
      <c r="M1668" s="4">
        <v>0.23850390831231541</v>
      </c>
      <c r="N1668">
        <v>4</v>
      </c>
    </row>
    <row r="1669" spans="1:14" x14ac:dyDescent="0.35">
      <c r="A1669" s="1">
        <v>107</v>
      </c>
      <c r="B1669">
        <v>8</v>
      </c>
      <c r="C1669">
        <v>49</v>
      </c>
      <c r="D1669">
        <v>3</v>
      </c>
      <c r="E1669">
        <v>0</v>
      </c>
      <c r="F1669">
        <v>1</v>
      </c>
      <c r="G1669">
        <v>12</v>
      </c>
      <c r="H1669">
        <v>0</v>
      </c>
      <c r="I1669">
        <v>12000</v>
      </c>
      <c r="J1669">
        <v>5</v>
      </c>
      <c r="K1669">
        <v>1</v>
      </c>
      <c r="L1669" s="4">
        <v>0.76157697549995151</v>
      </c>
      <c r="M1669" s="4">
        <v>0.23842302450004851</v>
      </c>
      <c r="N1669">
        <v>4</v>
      </c>
    </row>
    <row r="1670" spans="1:14" x14ac:dyDescent="0.35">
      <c r="A1670" s="1">
        <v>3866</v>
      </c>
      <c r="B1670">
        <v>11</v>
      </c>
      <c r="C1670">
        <v>58</v>
      </c>
      <c r="D1670">
        <v>2</v>
      </c>
      <c r="E1670">
        <v>0</v>
      </c>
      <c r="F1670">
        <v>4</v>
      </c>
      <c r="G1670">
        <v>9</v>
      </c>
      <c r="H1670">
        <v>3</v>
      </c>
      <c r="I1670">
        <v>0.01</v>
      </c>
      <c r="J1670">
        <v>8</v>
      </c>
      <c r="K1670">
        <v>0</v>
      </c>
      <c r="L1670" s="4">
        <v>0.76165523982780847</v>
      </c>
      <c r="M1670" s="4">
        <v>0.2383447601721915</v>
      </c>
      <c r="N1670">
        <v>4</v>
      </c>
    </row>
    <row r="1671" spans="1:14" x14ac:dyDescent="0.35">
      <c r="A1671" s="1">
        <v>784</v>
      </c>
      <c r="B1671">
        <v>8</v>
      </c>
      <c r="C1671">
        <v>49</v>
      </c>
      <c r="D1671">
        <v>0</v>
      </c>
      <c r="E1671">
        <v>0</v>
      </c>
      <c r="F1671">
        <v>1</v>
      </c>
      <c r="G1671">
        <v>7</v>
      </c>
      <c r="H1671">
        <v>2</v>
      </c>
      <c r="I1671">
        <v>0.02</v>
      </c>
      <c r="J1671">
        <v>5</v>
      </c>
      <c r="K1671">
        <v>0</v>
      </c>
      <c r="L1671" s="4">
        <v>0.76175903637185649</v>
      </c>
      <c r="M1671" s="4">
        <v>0.23824096362814351</v>
      </c>
      <c r="N1671">
        <v>4</v>
      </c>
    </row>
    <row r="1672" spans="1:14" x14ac:dyDescent="0.35">
      <c r="A1672" s="1">
        <v>1286</v>
      </c>
      <c r="B1672">
        <v>9</v>
      </c>
      <c r="C1672">
        <v>55</v>
      </c>
      <c r="D1672">
        <v>2</v>
      </c>
      <c r="E1672">
        <v>0</v>
      </c>
      <c r="F1672">
        <v>0</v>
      </c>
      <c r="G1672">
        <v>2</v>
      </c>
      <c r="H1672">
        <v>0</v>
      </c>
      <c r="I1672">
        <v>12053.82</v>
      </c>
      <c r="J1672">
        <v>10</v>
      </c>
      <c r="K1672">
        <v>1</v>
      </c>
      <c r="L1672" s="4">
        <v>0.76179329934675111</v>
      </c>
      <c r="M1672" s="4">
        <v>0.23820670065324889</v>
      </c>
      <c r="N1672">
        <v>4</v>
      </c>
    </row>
    <row r="1673" spans="1:14" x14ac:dyDescent="0.35">
      <c r="A1673" s="1">
        <v>1694</v>
      </c>
      <c r="B1673">
        <v>7</v>
      </c>
      <c r="C1673">
        <v>45</v>
      </c>
      <c r="D1673">
        <v>2</v>
      </c>
      <c r="E1673">
        <v>0</v>
      </c>
      <c r="F1673">
        <v>0</v>
      </c>
      <c r="G1673">
        <v>4</v>
      </c>
      <c r="H1673">
        <v>2</v>
      </c>
      <c r="I1673">
        <v>3500</v>
      </c>
      <c r="J1673">
        <v>8</v>
      </c>
      <c r="K1673">
        <v>0</v>
      </c>
      <c r="L1673" s="4">
        <v>0.76198384120134477</v>
      </c>
      <c r="M1673" s="4">
        <v>0.23801615879865529</v>
      </c>
      <c r="N1673">
        <v>4</v>
      </c>
    </row>
    <row r="1674" spans="1:14" x14ac:dyDescent="0.35">
      <c r="A1674" s="1">
        <v>1438</v>
      </c>
      <c r="B1674">
        <v>10</v>
      </c>
      <c r="C1674">
        <v>58</v>
      </c>
      <c r="D1674">
        <v>2</v>
      </c>
      <c r="E1674">
        <v>0</v>
      </c>
      <c r="F1674">
        <v>0</v>
      </c>
      <c r="G1674">
        <v>11</v>
      </c>
      <c r="H1674">
        <v>0</v>
      </c>
      <c r="I1674">
        <v>6000</v>
      </c>
      <c r="J1674">
        <v>6</v>
      </c>
      <c r="K1674">
        <v>0</v>
      </c>
      <c r="L1674" s="4">
        <v>0.76199360654083959</v>
      </c>
      <c r="M1674" s="4">
        <v>0.23800639345916039</v>
      </c>
      <c r="N1674">
        <v>4</v>
      </c>
    </row>
    <row r="1675" spans="1:14" x14ac:dyDescent="0.35">
      <c r="A1675" s="1">
        <v>412</v>
      </c>
      <c r="B1675">
        <v>6</v>
      </c>
      <c r="C1675">
        <v>39</v>
      </c>
      <c r="D1675">
        <v>5</v>
      </c>
      <c r="E1675">
        <v>0</v>
      </c>
      <c r="F1675">
        <v>0</v>
      </c>
      <c r="G1675">
        <v>2</v>
      </c>
      <c r="H1675">
        <v>3</v>
      </c>
      <c r="I1675">
        <v>0.01</v>
      </c>
      <c r="J1675">
        <v>8</v>
      </c>
      <c r="K1675">
        <v>1</v>
      </c>
      <c r="L1675" s="4">
        <v>0.76202985785766297</v>
      </c>
      <c r="M1675" s="4">
        <v>0.237970142142337</v>
      </c>
      <c r="N1675">
        <v>4</v>
      </c>
    </row>
    <row r="1676" spans="1:14" x14ac:dyDescent="0.35">
      <c r="A1676" s="1">
        <v>975</v>
      </c>
      <c r="B1676">
        <v>9</v>
      </c>
      <c r="C1676">
        <v>49</v>
      </c>
      <c r="D1676">
        <v>3</v>
      </c>
      <c r="E1676">
        <v>1</v>
      </c>
      <c r="F1676">
        <v>0</v>
      </c>
      <c r="G1676">
        <v>11</v>
      </c>
      <c r="H1676">
        <v>0</v>
      </c>
      <c r="I1676">
        <v>6105.32</v>
      </c>
      <c r="J1676">
        <v>24</v>
      </c>
      <c r="K1676">
        <v>0</v>
      </c>
      <c r="L1676" s="4">
        <v>0.76210795145355159</v>
      </c>
      <c r="M1676" s="4">
        <v>0.23789204854644841</v>
      </c>
      <c r="N1676">
        <v>4</v>
      </c>
    </row>
    <row r="1677" spans="1:14" x14ac:dyDescent="0.35">
      <c r="A1677" s="1">
        <v>960</v>
      </c>
      <c r="B1677">
        <v>8</v>
      </c>
      <c r="C1677">
        <v>50</v>
      </c>
      <c r="D1677">
        <v>0</v>
      </c>
      <c r="E1677">
        <v>0</v>
      </c>
      <c r="F1677">
        <v>3</v>
      </c>
      <c r="G1677">
        <v>3</v>
      </c>
      <c r="H1677">
        <v>0</v>
      </c>
      <c r="I1677">
        <v>6000</v>
      </c>
      <c r="J1677">
        <v>1</v>
      </c>
      <c r="K1677">
        <v>0</v>
      </c>
      <c r="L1677" s="4">
        <v>0.76221521517846713</v>
      </c>
      <c r="M1677" s="4">
        <v>0.2377847848215329</v>
      </c>
      <c r="N1677">
        <v>4</v>
      </c>
    </row>
    <row r="1678" spans="1:14" x14ac:dyDescent="0.35">
      <c r="A1678" s="1">
        <v>1795</v>
      </c>
      <c r="B1678">
        <v>8</v>
      </c>
      <c r="C1678">
        <v>47</v>
      </c>
      <c r="D1678">
        <v>3</v>
      </c>
      <c r="E1678">
        <v>0</v>
      </c>
      <c r="F1678">
        <v>1</v>
      </c>
      <c r="G1678">
        <v>7</v>
      </c>
      <c r="H1678">
        <v>3</v>
      </c>
      <c r="I1678">
        <v>0.01</v>
      </c>
      <c r="J1678">
        <v>5</v>
      </c>
      <c r="K1678">
        <v>0</v>
      </c>
      <c r="L1678" s="4">
        <v>0.76222542069225807</v>
      </c>
      <c r="M1678" s="4">
        <v>0.2377745793077419</v>
      </c>
      <c r="N1678">
        <v>4</v>
      </c>
    </row>
    <row r="1679" spans="1:14" x14ac:dyDescent="0.35">
      <c r="A1679" s="1">
        <v>1680</v>
      </c>
      <c r="B1679">
        <v>9</v>
      </c>
      <c r="C1679">
        <v>51</v>
      </c>
      <c r="D1679">
        <v>5</v>
      </c>
      <c r="E1679">
        <v>0</v>
      </c>
      <c r="F1679">
        <v>0</v>
      </c>
      <c r="G1679">
        <v>4</v>
      </c>
      <c r="H1679">
        <v>3</v>
      </c>
      <c r="I1679">
        <v>0.01</v>
      </c>
      <c r="J1679">
        <v>8</v>
      </c>
      <c r="K1679">
        <v>0</v>
      </c>
      <c r="L1679" s="4">
        <v>0.76237671322254685</v>
      </c>
      <c r="M1679" s="4">
        <v>0.2376232867774532</v>
      </c>
      <c r="N1679">
        <v>4</v>
      </c>
    </row>
    <row r="1680" spans="1:14" x14ac:dyDescent="0.35">
      <c r="A1680" s="1">
        <v>2390</v>
      </c>
      <c r="B1680">
        <v>11</v>
      </c>
      <c r="C1680">
        <v>63</v>
      </c>
      <c r="D1680">
        <v>0</v>
      </c>
      <c r="E1680">
        <v>0</v>
      </c>
      <c r="F1680">
        <v>1</v>
      </c>
      <c r="G1680">
        <v>7</v>
      </c>
      <c r="H1680">
        <v>0</v>
      </c>
      <c r="I1680">
        <v>12125.1</v>
      </c>
      <c r="J1680">
        <v>5</v>
      </c>
      <c r="K1680">
        <v>0</v>
      </c>
      <c r="L1680" s="4">
        <v>0.76243400172148734</v>
      </c>
      <c r="M1680" s="4">
        <v>0.23756599827851271</v>
      </c>
      <c r="N1680">
        <v>4</v>
      </c>
    </row>
    <row r="1681" spans="1:14" x14ac:dyDescent="0.35">
      <c r="A1681" s="1">
        <v>2777</v>
      </c>
      <c r="B1681">
        <v>9</v>
      </c>
      <c r="C1681">
        <v>51</v>
      </c>
      <c r="D1681">
        <v>1</v>
      </c>
      <c r="E1681">
        <v>0</v>
      </c>
      <c r="F1681">
        <v>3</v>
      </c>
      <c r="G1681">
        <v>8</v>
      </c>
      <c r="H1681">
        <v>3</v>
      </c>
      <c r="I1681">
        <v>0.01</v>
      </c>
      <c r="J1681">
        <v>9</v>
      </c>
      <c r="K1681">
        <v>0</v>
      </c>
      <c r="L1681" s="4">
        <v>0.76251019852438462</v>
      </c>
      <c r="M1681" s="4">
        <v>0.23748980147561541</v>
      </c>
      <c r="N1681">
        <v>4</v>
      </c>
    </row>
    <row r="1682" spans="1:14" x14ac:dyDescent="0.35">
      <c r="A1682" s="1">
        <v>1608</v>
      </c>
      <c r="B1682">
        <v>8</v>
      </c>
      <c r="C1682">
        <v>49</v>
      </c>
      <c r="D1682">
        <v>3</v>
      </c>
      <c r="E1682">
        <v>0</v>
      </c>
      <c r="F1682">
        <v>3</v>
      </c>
      <c r="G1682">
        <v>3</v>
      </c>
      <c r="H1682">
        <v>0</v>
      </c>
      <c r="I1682">
        <v>11000.01</v>
      </c>
      <c r="J1682">
        <v>8</v>
      </c>
      <c r="K1682">
        <v>0</v>
      </c>
      <c r="L1682" s="4">
        <v>0.76251996115341447</v>
      </c>
      <c r="M1682" s="4">
        <v>0.2374800388465855</v>
      </c>
      <c r="N1682">
        <v>4</v>
      </c>
    </row>
    <row r="1683" spans="1:14" x14ac:dyDescent="0.35">
      <c r="A1683" s="1">
        <v>4065</v>
      </c>
      <c r="B1683">
        <v>9</v>
      </c>
      <c r="C1683">
        <v>51</v>
      </c>
      <c r="D1683">
        <v>2</v>
      </c>
      <c r="E1683">
        <v>0</v>
      </c>
      <c r="F1683">
        <v>3</v>
      </c>
      <c r="G1683">
        <v>3</v>
      </c>
      <c r="H1683">
        <v>3</v>
      </c>
      <c r="I1683">
        <v>0.01</v>
      </c>
      <c r="J1683">
        <v>8</v>
      </c>
      <c r="K1683">
        <v>0</v>
      </c>
      <c r="L1683" s="4">
        <v>0.76253559757707046</v>
      </c>
      <c r="M1683" s="4">
        <v>0.2374644024229296</v>
      </c>
      <c r="N1683">
        <v>4</v>
      </c>
    </row>
    <row r="1684" spans="1:14" x14ac:dyDescent="0.35">
      <c r="A1684" s="1">
        <v>1195</v>
      </c>
      <c r="B1684">
        <v>13</v>
      </c>
      <c r="C1684">
        <v>69</v>
      </c>
      <c r="D1684">
        <v>1</v>
      </c>
      <c r="E1684">
        <v>0</v>
      </c>
      <c r="F1684">
        <v>1</v>
      </c>
      <c r="G1684">
        <v>7</v>
      </c>
      <c r="H1684">
        <v>2</v>
      </c>
      <c r="I1684">
        <v>1800</v>
      </c>
      <c r="J1684">
        <v>8</v>
      </c>
      <c r="K1684">
        <v>0</v>
      </c>
      <c r="L1684" s="4">
        <v>0.76256358948848635</v>
      </c>
      <c r="M1684" s="4">
        <v>0.2374364105115136</v>
      </c>
      <c r="N1684">
        <v>4</v>
      </c>
    </row>
    <row r="1685" spans="1:14" x14ac:dyDescent="0.35">
      <c r="A1685" s="1">
        <v>1309</v>
      </c>
      <c r="B1685">
        <v>6</v>
      </c>
      <c r="C1685">
        <v>40</v>
      </c>
      <c r="D1685">
        <v>1</v>
      </c>
      <c r="E1685">
        <v>0</v>
      </c>
      <c r="F1685">
        <v>3</v>
      </c>
      <c r="G1685">
        <v>3</v>
      </c>
      <c r="H1685">
        <v>2</v>
      </c>
      <c r="I1685">
        <v>1200.01</v>
      </c>
      <c r="J1685">
        <v>5</v>
      </c>
      <c r="K1685">
        <v>0</v>
      </c>
      <c r="L1685" s="4">
        <v>0.76268887444109157</v>
      </c>
      <c r="M1685" s="4">
        <v>0.2373111255589084</v>
      </c>
      <c r="N1685">
        <v>4</v>
      </c>
    </row>
    <row r="1686" spans="1:14" x14ac:dyDescent="0.35">
      <c r="A1686" s="1">
        <v>2931</v>
      </c>
      <c r="B1686">
        <v>9</v>
      </c>
      <c r="C1686">
        <v>51</v>
      </c>
      <c r="D1686">
        <v>2</v>
      </c>
      <c r="E1686">
        <v>0</v>
      </c>
      <c r="F1686">
        <v>3</v>
      </c>
      <c r="G1686">
        <v>3</v>
      </c>
      <c r="H1686">
        <v>3</v>
      </c>
      <c r="I1686">
        <v>0.01</v>
      </c>
      <c r="J1686">
        <v>6</v>
      </c>
      <c r="K1686">
        <v>1</v>
      </c>
      <c r="L1686" s="4">
        <v>0.76300066826181545</v>
      </c>
      <c r="M1686" s="4">
        <v>0.2369993317381846</v>
      </c>
      <c r="N1686">
        <v>4</v>
      </c>
    </row>
    <row r="1687" spans="1:14" x14ac:dyDescent="0.35">
      <c r="A1687" s="1">
        <v>3964</v>
      </c>
      <c r="B1687">
        <v>9</v>
      </c>
      <c r="C1687">
        <v>51</v>
      </c>
      <c r="D1687">
        <v>5</v>
      </c>
      <c r="E1687">
        <v>0</v>
      </c>
      <c r="F1687">
        <v>2</v>
      </c>
      <c r="G1687">
        <v>1</v>
      </c>
      <c r="H1687">
        <v>2</v>
      </c>
      <c r="I1687">
        <v>1000</v>
      </c>
      <c r="J1687">
        <v>1</v>
      </c>
      <c r="K1687">
        <v>0</v>
      </c>
      <c r="L1687" s="4">
        <v>0.76305609041659683</v>
      </c>
      <c r="M1687" s="4">
        <v>0.23694390958340319</v>
      </c>
      <c r="N1687">
        <v>4</v>
      </c>
    </row>
    <row r="1688" spans="1:14" x14ac:dyDescent="0.35">
      <c r="A1688" s="1">
        <v>1013</v>
      </c>
      <c r="B1688">
        <v>9</v>
      </c>
      <c r="C1688">
        <v>51</v>
      </c>
      <c r="D1688">
        <v>5</v>
      </c>
      <c r="E1688">
        <v>0</v>
      </c>
      <c r="F1688">
        <v>0</v>
      </c>
      <c r="G1688">
        <v>4</v>
      </c>
      <c r="H1688">
        <v>3</v>
      </c>
      <c r="I1688">
        <v>0.01</v>
      </c>
      <c r="J1688">
        <v>5</v>
      </c>
      <c r="K1688">
        <v>0</v>
      </c>
      <c r="L1688" s="4">
        <v>0.76307440527910053</v>
      </c>
      <c r="M1688" s="4">
        <v>0.2369255947208995</v>
      </c>
      <c r="N1688">
        <v>4</v>
      </c>
    </row>
    <row r="1689" spans="1:14" x14ac:dyDescent="0.35">
      <c r="A1689" s="1">
        <v>3752</v>
      </c>
      <c r="B1689">
        <v>8</v>
      </c>
      <c r="C1689">
        <v>47</v>
      </c>
      <c r="D1689">
        <v>2</v>
      </c>
      <c r="E1689">
        <v>0</v>
      </c>
      <c r="F1689">
        <v>3</v>
      </c>
      <c r="G1689">
        <v>3</v>
      </c>
      <c r="H1689">
        <v>3</v>
      </c>
      <c r="I1689">
        <v>0.01</v>
      </c>
      <c r="J1689">
        <v>8</v>
      </c>
      <c r="K1689">
        <v>0</v>
      </c>
      <c r="L1689" s="4">
        <v>0.76308232496842621</v>
      </c>
      <c r="M1689" s="4">
        <v>0.23691767503157379</v>
      </c>
      <c r="N1689">
        <v>4</v>
      </c>
    </row>
    <row r="1690" spans="1:14" x14ac:dyDescent="0.35">
      <c r="A1690" s="1">
        <v>4243</v>
      </c>
      <c r="B1690">
        <v>10</v>
      </c>
      <c r="C1690">
        <v>57</v>
      </c>
      <c r="D1690">
        <v>3</v>
      </c>
      <c r="E1690">
        <v>0</v>
      </c>
      <c r="F1690">
        <v>3</v>
      </c>
      <c r="G1690">
        <v>3</v>
      </c>
      <c r="H1690">
        <v>0</v>
      </c>
      <c r="I1690">
        <v>10000</v>
      </c>
      <c r="J1690">
        <v>2</v>
      </c>
      <c r="K1690">
        <v>1</v>
      </c>
      <c r="L1690" s="4">
        <v>0.76311306703686332</v>
      </c>
      <c r="M1690" s="4">
        <v>0.2368869329631367</v>
      </c>
      <c r="N1690">
        <v>4</v>
      </c>
    </row>
    <row r="1691" spans="1:14" x14ac:dyDescent="0.35">
      <c r="A1691" s="1">
        <v>143</v>
      </c>
      <c r="B1691">
        <v>9</v>
      </c>
      <c r="C1691">
        <v>53</v>
      </c>
      <c r="D1691">
        <v>1</v>
      </c>
      <c r="E1691">
        <v>0</v>
      </c>
      <c r="F1691">
        <v>0</v>
      </c>
      <c r="G1691">
        <v>11</v>
      </c>
      <c r="H1691">
        <v>2</v>
      </c>
      <c r="I1691">
        <v>5000</v>
      </c>
      <c r="J1691">
        <v>5</v>
      </c>
      <c r="K1691">
        <v>0</v>
      </c>
      <c r="L1691" s="4">
        <v>0.7633447509543797</v>
      </c>
      <c r="M1691" s="4">
        <v>0.2366552490456203</v>
      </c>
      <c r="N1691">
        <v>4</v>
      </c>
    </row>
    <row r="1692" spans="1:14" x14ac:dyDescent="0.35">
      <c r="A1692" s="1">
        <v>4434</v>
      </c>
      <c r="B1692">
        <v>8</v>
      </c>
      <c r="C1692">
        <v>47</v>
      </c>
      <c r="D1692">
        <v>5</v>
      </c>
      <c r="E1692">
        <v>0</v>
      </c>
      <c r="F1692">
        <v>0</v>
      </c>
      <c r="G1692">
        <v>4</v>
      </c>
      <c r="H1692">
        <v>3</v>
      </c>
      <c r="I1692">
        <v>0.01</v>
      </c>
      <c r="J1692">
        <v>6</v>
      </c>
      <c r="K1692">
        <v>0</v>
      </c>
      <c r="L1692" s="4">
        <v>0.76338823914579335</v>
      </c>
      <c r="M1692" s="4">
        <v>0.2366117608542066</v>
      </c>
      <c r="N1692">
        <v>4</v>
      </c>
    </row>
    <row r="1693" spans="1:14" x14ac:dyDescent="0.35">
      <c r="A1693" s="1">
        <v>3875</v>
      </c>
      <c r="B1693">
        <v>9</v>
      </c>
      <c r="C1693">
        <v>51</v>
      </c>
      <c r="D1693">
        <v>3</v>
      </c>
      <c r="E1693">
        <v>0</v>
      </c>
      <c r="F1693">
        <v>3</v>
      </c>
      <c r="G1693">
        <v>8</v>
      </c>
      <c r="H1693">
        <v>2</v>
      </c>
      <c r="I1693">
        <v>1000</v>
      </c>
      <c r="J1693">
        <v>10</v>
      </c>
      <c r="K1693">
        <v>0</v>
      </c>
      <c r="L1693" s="4">
        <v>0.76354036824872473</v>
      </c>
      <c r="M1693" s="4">
        <v>0.2364596317512753</v>
      </c>
      <c r="N1693">
        <v>4</v>
      </c>
    </row>
    <row r="1694" spans="1:14" x14ac:dyDescent="0.35">
      <c r="A1694" s="1">
        <v>102</v>
      </c>
      <c r="B1694">
        <v>11</v>
      </c>
      <c r="C1694">
        <v>59</v>
      </c>
      <c r="D1694">
        <v>4</v>
      </c>
      <c r="E1694">
        <v>0</v>
      </c>
      <c r="F1694">
        <v>0</v>
      </c>
      <c r="G1694">
        <v>11</v>
      </c>
      <c r="H1694">
        <v>3</v>
      </c>
      <c r="I1694">
        <v>0.01</v>
      </c>
      <c r="J1694">
        <v>6</v>
      </c>
      <c r="K1694">
        <v>1</v>
      </c>
      <c r="L1694" s="4">
        <v>0.76394023850538073</v>
      </c>
      <c r="M1694" s="4">
        <v>0.2360597614946193</v>
      </c>
      <c r="N1694">
        <v>4</v>
      </c>
    </row>
    <row r="1695" spans="1:14" x14ac:dyDescent="0.35">
      <c r="A1695" s="1">
        <v>1259</v>
      </c>
      <c r="B1695">
        <v>8</v>
      </c>
      <c r="C1695">
        <v>43</v>
      </c>
      <c r="D1695">
        <v>3</v>
      </c>
      <c r="E1695">
        <v>1</v>
      </c>
      <c r="F1695">
        <v>0</v>
      </c>
      <c r="G1695">
        <v>4</v>
      </c>
      <c r="H1695">
        <v>3</v>
      </c>
      <c r="I1695">
        <v>0.01</v>
      </c>
      <c r="J1695">
        <v>5</v>
      </c>
      <c r="K1695">
        <v>0</v>
      </c>
      <c r="L1695" s="4">
        <v>0.76401279675496969</v>
      </c>
      <c r="M1695" s="4">
        <v>0.23598720324503039</v>
      </c>
      <c r="N1695">
        <v>4</v>
      </c>
    </row>
    <row r="1696" spans="1:14" x14ac:dyDescent="0.35">
      <c r="A1696" s="1">
        <v>2561</v>
      </c>
      <c r="B1696">
        <v>10</v>
      </c>
      <c r="C1696">
        <v>54</v>
      </c>
      <c r="D1696">
        <v>5</v>
      </c>
      <c r="E1696">
        <v>0</v>
      </c>
      <c r="F1696">
        <v>1</v>
      </c>
      <c r="G1696">
        <v>12</v>
      </c>
      <c r="H1696">
        <v>3</v>
      </c>
      <c r="I1696">
        <v>0.01</v>
      </c>
      <c r="J1696">
        <v>8</v>
      </c>
      <c r="K1696">
        <v>0</v>
      </c>
      <c r="L1696" s="4">
        <v>0.76402942944623109</v>
      </c>
      <c r="M1696" s="4">
        <v>0.23597057055376891</v>
      </c>
      <c r="N1696">
        <v>4</v>
      </c>
    </row>
    <row r="1697" spans="1:14" x14ac:dyDescent="0.35">
      <c r="A1697" s="1">
        <v>2156</v>
      </c>
      <c r="B1697">
        <v>7</v>
      </c>
      <c r="C1697">
        <v>45</v>
      </c>
      <c r="D1697">
        <v>3</v>
      </c>
      <c r="E1697">
        <v>0</v>
      </c>
      <c r="F1697">
        <v>0</v>
      </c>
      <c r="G1697">
        <v>2</v>
      </c>
      <c r="H1697">
        <v>2</v>
      </c>
      <c r="I1697">
        <v>5000</v>
      </c>
      <c r="J1697">
        <v>9</v>
      </c>
      <c r="K1697">
        <v>0</v>
      </c>
      <c r="L1697" s="4">
        <v>0.76408517214809168</v>
      </c>
      <c r="M1697" s="4">
        <v>0.23591482785190829</v>
      </c>
      <c r="N1697">
        <v>4</v>
      </c>
    </row>
    <row r="1698" spans="1:14" x14ac:dyDescent="0.35">
      <c r="A1698" s="1">
        <v>1203</v>
      </c>
      <c r="B1698">
        <v>14</v>
      </c>
      <c r="C1698">
        <v>64</v>
      </c>
      <c r="D1698">
        <v>1</v>
      </c>
      <c r="E1698">
        <v>2</v>
      </c>
      <c r="F1698">
        <v>0</v>
      </c>
      <c r="G1698">
        <v>4</v>
      </c>
      <c r="H1698">
        <v>2</v>
      </c>
      <c r="I1698">
        <v>3000</v>
      </c>
      <c r="J1698">
        <v>1</v>
      </c>
      <c r="K1698">
        <v>0</v>
      </c>
      <c r="L1698" s="4">
        <v>0.76410548484053709</v>
      </c>
      <c r="M1698" s="4">
        <v>0.23589451515946289</v>
      </c>
      <c r="N1698">
        <v>4</v>
      </c>
    </row>
    <row r="1699" spans="1:14" x14ac:dyDescent="0.35">
      <c r="A1699" s="1">
        <v>2180</v>
      </c>
      <c r="B1699">
        <v>7</v>
      </c>
      <c r="C1699">
        <v>46</v>
      </c>
      <c r="D1699">
        <v>2</v>
      </c>
      <c r="E1699">
        <v>0</v>
      </c>
      <c r="F1699">
        <v>1</v>
      </c>
      <c r="G1699">
        <v>7</v>
      </c>
      <c r="H1699">
        <v>0</v>
      </c>
      <c r="I1699">
        <v>9000</v>
      </c>
      <c r="J1699">
        <v>5</v>
      </c>
      <c r="K1699">
        <v>0</v>
      </c>
      <c r="L1699" s="4">
        <v>0.76416008757689746</v>
      </c>
      <c r="M1699" s="4">
        <v>0.23583991242310259</v>
      </c>
      <c r="N1699">
        <v>4</v>
      </c>
    </row>
    <row r="1700" spans="1:14" x14ac:dyDescent="0.35">
      <c r="A1700" s="1">
        <v>2399</v>
      </c>
      <c r="B1700">
        <v>7</v>
      </c>
      <c r="C1700">
        <v>41</v>
      </c>
      <c r="D1700">
        <v>4</v>
      </c>
      <c r="E1700">
        <v>1</v>
      </c>
      <c r="F1700">
        <v>0</v>
      </c>
      <c r="G1700">
        <v>4</v>
      </c>
      <c r="H1700">
        <v>0</v>
      </c>
      <c r="I1700">
        <v>6315</v>
      </c>
      <c r="J1700">
        <v>10</v>
      </c>
      <c r="K1700">
        <v>0</v>
      </c>
      <c r="L1700" s="4">
        <v>0.76419971996541081</v>
      </c>
      <c r="M1700" s="4">
        <v>0.23580028003458919</v>
      </c>
      <c r="N1700">
        <v>4</v>
      </c>
    </row>
    <row r="1701" spans="1:14" x14ac:dyDescent="0.35">
      <c r="A1701" s="1">
        <v>3063</v>
      </c>
      <c r="B1701">
        <v>11</v>
      </c>
      <c r="C1701">
        <v>56</v>
      </c>
      <c r="D1701">
        <v>3</v>
      </c>
      <c r="E1701">
        <v>1</v>
      </c>
      <c r="F1701">
        <v>0</v>
      </c>
      <c r="G1701">
        <v>2</v>
      </c>
      <c r="H1701">
        <v>2</v>
      </c>
      <c r="I1701">
        <v>480</v>
      </c>
      <c r="J1701">
        <v>0</v>
      </c>
      <c r="K1701">
        <v>0</v>
      </c>
      <c r="L1701" s="4">
        <v>0.76433177965592425</v>
      </c>
      <c r="M1701" s="4">
        <v>0.23566822034407581</v>
      </c>
      <c r="N1701">
        <v>4</v>
      </c>
    </row>
    <row r="1702" spans="1:14" x14ac:dyDescent="0.35">
      <c r="A1702" s="1">
        <v>3263</v>
      </c>
      <c r="B1702">
        <v>12</v>
      </c>
      <c r="C1702">
        <v>59</v>
      </c>
      <c r="D1702">
        <v>2</v>
      </c>
      <c r="E1702">
        <v>1</v>
      </c>
      <c r="F1702">
        <v>2</v>
      </c>
      <c r="G1702">
        <v>1</v>
      </c>
      <c r="H1702">
        <v>3</v>
      </c>
      <c r="I1702">
        <v>0.01</v>
      </c>
      <c r="J1702">
        <v>5</v>
      </c>
      <c r="K1702">
        <v>0</v>
      </c>
      <c r="L1702" s="4">
        <v>0.76437169201145372</v>
      </c>
      <c r="M1702" s="4">
        <v>0.23562830798854631</v>
      </c>
      <c r="N1702">
        <v>4</v>
      </c>
    </row>
    <row r="1703" spans="1:14" x14ac:dyDescent="0.35">
      <c r="A1703" s="1">
        <v>3350</v>
      </c>
      <c r="B1703">
        <v>9</v>
      </c>
      <c r="C1703">
        <v>47</v>
      </c>
      <c r="D1703">
        <v>2</v>
      </c>
      <c r="E1703">
        <v>1</v>
      </c>
      <c r="F1703">
        <v>0</v>
      </c>
      <c r="G1703">
        <v>10</v>
      </c>
      <c r="H1703">
        <v>3</v>
      </c>
      <c r="I1703">
        <v>0.01</v>
      </c>
      <c r="J1703">
        <v>5</v>
      </c>
      <c r="K1703">
        <v>0</v>
      </c>
      <c r="L1703" s="4">
        <v>0.76466350144248885</v>
      </c>
      <c r="M1703" s="4">
        <v>0.2353364985575111</v>
      </c>
      <c r="N1703">
        <v>4</v>
      </c>
    </row>
    <row r="1704" spans="1:14" x14ac:dyDescent="0.35">
      <c r="A1704" s="1">
        <v>4015</v>
      </c>
      <c r="B1704">
        <v>10</v>
      </c>
      <c r="C1704">
        <v>55</v>
      </c>
      <c r="D1704">
        <v>4</v>
      </c>
      <c r="E1704">
        <v>0</v>
      </c>
      <c r="F1704">
        <v>0</v>
      </c>
      <c r="G1704">
        <v>11</v>
      </c>
      <c r="H1704">
        <v>3</v>
      </c>
      <c r="I1704">
        <v>0.01</v>
      </c>
      <c r="J1704">
        <v>5</v>
      </c>
      <c r="K1704">
        <v>0</v>
      </c>
      <c r="L1704" s="4">
        <v>0.76471602442936459</v>
      </c>
      <c r="M1704" s="4">
        <v>0.23528397557063541</v>
      </c>
      <c r="N1704">
        <v>4</v>
      </c>
    </row>
    <row r="1705" spans="1:14" x14ac:dyDescent="0.35">
      <c r="A1705" s="1">
        <v>698</v>
      </c>
      <c r="B1705">
        <v>11</v>
      </c>
      <c r="C1705">
        <v>56</v>
      </c>
      <c r="D1705">
        <v>5</v>
      </c>
      <c r="E1705">
        <v>1</v>
      </c>
      <c r="F1705">
        <v>0</v>
      </c>
      <c r="G1705">
        <v>11</v>
      </c>
      <c r="H1705">
        <v>0</v>
      </c>
      <c r="I1705">
        <v>6000</v>
      </c>
      <c r="J1705">
        <v>2</v>
      </c>
      <c r="K1705">
        <v>0</v>
      </c>
      <c r="L1705" s="4">
        <v>0.76478596226942508</v>
      </c>
      <c r="M1705" s="4">
        <v>0.23521403773057489</v>
      </c>
      <c r="N1705">
        <v>4</v>
      </c>
    </row>
    <row r="1706" spans="1:14" x14ac:dyDescent="0.35">
      <c r="A1706" s="1">
        <v>2421</v>
      </c>
      <c r="B1706">
        <v>11</v>
      </c>
      <c r="C1706">
        <v>51</v>
      </c>
      <c r="D1706">
        <v>2</v>
      </c>
      <c r="E1706">
        <v>2</v>
      </c>
      <c r="F1706">
        <v>1</v>
      </c>
      <c r="G1706">
        <v>5</v>
      </c>
      <c r="H1706">
        <v>2</v>
      </c>
      <c r="I1706">
        <v>3000</v>
      </c>
      <c r="J1706">
        <v>5</v>
      </c>
      <c r="K1706">
        <v>0</v>
      </c>
      <c r="L1706" s="4">
        <v>0.76481996124138218</v>
      </c>
      <c r="M1706" s="4">
        <v>0.2351800387586179</v>
      </c>
      <c r="N1706">
        <v>4</v>
      </c>
    </row>
    <row r="1707" spans="1:14" x14ac:dyDescent="0.35">
      <c r="A1707" s="1">
        <v>2914</v>
      </c>
      <c r="B1707">
        <v>9</v>
      </c>
      <c r="C1707">
        <v>53</v>
      </c>
      <c r="D1707">
        <v>3</v>
      </c>
      <c r="E1707">
        <v>0</v>
      </c>
      <c r="F1707">
        <v>3</v>
      </c>
      <c r="G1707">
        <v>3</v>
      </c>
      <c r="H1707">
        <v>0</v>
      </c>
      <c r="I1707">
        <v>6000</v>
      </c>
      <c r="J1707">
        <v>2</v>
      </c>
      <c r="K1707">
        <v>1</v>
      </c>
      <c r="L1707" s="4">
        <v>0.76482011360758684</v>
      </c>
      <c r="M1707" s="4">
        <v>0.23517988639241311</v>
      </c>
      <c r="N1707">
        <v>4</v>
      </c>
    </row>
    <row r="1708" spans="1:14" x14ac:dyDescent="0.35">
      <c r="A1708" s="1">
        <v>1035</v>
      </c>
      <c r="B1708">
        <v>7</v>
      </c>
      <c r="C1708">
        <v>45</v>
      </c>
      <c r="D1708">
        <v>1</v>
      </c>
      <c r="E1708">
        <v>0</v>
      </c>
      <c r="F1708">
        <v>1</v>
      </c>
      <c r="G1708">
        <v>5</v>
      </c>
      <c r="H1708">
        <v>2</v>
      </c>
      <c r="I1708">
        <v>1000</v>
      </c>
      <c r="J1708">
        <v>4</v>
      </c>
      <c r="K1708">
        <v>0</v>
      </c>
      <c r="L1708" s="4">
        <v>0.76501375243515635</v>
      </c>
      <c r="M1708" s="4">
        <v>0.23498624756484371</v>
      </c>
      <c r="N1708">
        <v>4</v>
      </c>
    </row>
    <row r="1709" spans="1:14" x14ac:dyDescent="0.35">
      <c r="A1709" s="1">
        <v>2114</v>
      </c>
      <c r="B1709">
        <v>10</v>
      </c>
      <c r="C1709">
        <v>50</v>
      </c>
      <c r="D1709">
        <v>3</v>
      </c>
      <c r="E1709">
        <v>1</v>
      </c>
      <c r="F1709">
        <v>1</v>
      </c>
      <c r="G1709">
        <v>12</v>
      </c>
      <c r="H1709">
        <v>3</v>
      </c>
      <c r="I1709">
        <v>0.01</v>
      </c>
      <c r="J1709">
        <v>5</v>
      </c>
      <c r="K1709">
        <v>0</v>
      </c>
      <c r="L1709" s="4">
        <v>0.76511501776364521</v>
      </c>
      <c r="M1709" s="4">
        <v>0.23488498223635471</v>
      </c>
      <c r="N1709">
        <v>4</v>
      </c>
    </row>
    <row r="1710" spans="1:14" x14ac:dyDescent="0.35">
      <c r="A1710" s="1">
        <v>790</v>
      </c>
      <c r="B1710">
        <v>11</v>
      </c>
      <c r="C1710">
        <v>61</v>
      </c>
      <c r="D1710">
        <v>4</v>
      </c>
      <c r="E1710">
        <v>0</v>
      </c>
      <c r="F1710">
        <v>3</v>
      </c>
      <c r="G1710">
        <v>3</v>
      </c>
      <c r="H1710">
        <v>0</v>
      </c>
      <c r="I1710">
        <v>12000</v>
      </c>
      <c r="J1710">
        <v>8</v>
      </c>
      <c r="K1710">
        <v>0</v>
      </c>
      <c r="L1710" s="4">
        <v>0.7653379562922118</v>
      </c>
      <c r="M1710" s="4">
        <v>0.2346620437077882</v>
      </c>
      <c r="N1710">
        <v>4</v>
      </c>
    </row>
    <row r="1711" spans="1:14" x14ac:dyDescent="0.35">
      <c r="A1711" s="1">
        <v>4412</v>
      </c>
      <c r="B1711">
        <v>9</v>
      </c>
      <c r="C1711">
        <v>52</v>
      </c>
      <c r="D1711">
        <v>5</v>
      </c>
      <c r="E1711">
        <v>0</v>
      </c>
      <c r="F1711">
        <v>0</v>
      </c>
      <c r="G1711">
        <v>4</v>
      </c>
      <c r="H1711">
        <v>2</v>
      </c>
      <c r="I1711">
        <v>2000</v>
      </c>
      <c r="J1711">
        <v>5</v>
      </c>
      <c r="K1711">
        <v>0</v>
      </c>
      <c r="L1711" s="4">
        <v>0.76540584068328488</v>
      </c>
      <c r="M1711" s="4">
        <v>0.2345941593167151</v>
      </c>
      <c r="N1711">
        <v>4</v>
      </c>
    </row>
    <row r="1712" spans="1:14" x14ac:dyDescent="0.35">
      <c r="A1712" s="1">
        <v>2007</v>
      </c>
      <c r="B1712">
        <v>8</v>
      </c>
      <c r="C1712">
        <v>35</v>
      </c>
      <c r="D1712">
        <v>5</v>
      </c>
      <c r="E1712">
        <v>2</v>
      </c>
      <c r="F1712">
        <v>4</v>
      </c>
      <c r="G1712">
        <v>9</v>
      </c>
      <c r="H1712">
        <v>3</v>
      </c>
      <c r="I1712">
        <v>0.01</v>
      </c>
      <c r="J1712">
        <v>5</v>
      </c>
      <c r="K1712">
        <v>0</v>
      </c>
      <c r="L1712" s="4">
        <v>0.76542293233009939</v>
      </c>
      <c r="M1712" s="4">
        <v>0.23457706766990061</v>
      </c>
      <c r="N1712">
        <v>4</v>
      </c>
    </row>
    <row r="1713" spans="1:14" x14ac:dyDescent="0.35">
      <c r="A1713" s="1">
        <v>3553</v>
      </c>
      <c r="B1713">
        <v>12</v>
      </c>
      <c r="C1713">
        <v>59</v>
      </c>
      <c r="D1713">
        <v>3</v>
      </c>
      <c r="E1713">
        <v>1</v>
      </c>
      <c r="F1713">
        <v>3</v>
      </c>
      <c r="G1713">
        <v>3</v>
      </c>
      <c r="H1713">
        <v>2</v>
      </c>
      <c r="I1713">
        <v>800</v>
      </c>
      <c r="J1713">
        <v>16</v>
      </c>
      <c r="K1713">
        <v>0</v>
      </c>
      <c r="L1713" s="4">
        <v>0.76549910812142485</v>
      </c>
      <c r="M1713" s="4">
        <v>0.23450089187857509</v>
      </c>
      <c r="N1713">
        <v>4</v>
      </c>
    </row>
    <row r="1714" spans="1:14" x14ac:dyDescent="0.35">
      <c r="A1714" s="1">
        <v>1799</v>
      </c>
      <c r="B1714">
        <v>8</v>
      </c>
      <c r="C1714">
        <v>49</v>
      </c>
      <c r="D1714">
        <v>2</v>
      </c>
      <c r="E1714">
        <v>0</v>
      </c>
      <c r="F1714">
        <v>3</v>
      </c>
      <c r="G1714">
        <v>8</v>
      </c>
      <c r="H1714">
        <v>0</v>
      </c>
      <c r="I1714">
        <v>6000</v>
      </c>
      <c r="J1714">
        <v>2</v>
      </c>
      <c r="K1714">
        <v>1</v>
      </c>
      <c r="L1714" s="4">
        <v>0.76556872266679155</v>
      </c>
      <c r="M1714" s="4">
        <v>0.2344312773332084</v>
      </c>
      <c r="N1714">
        <v>4</v>
      </c>
    </row>
    <row r="1715" spans="1:14" x14ac:dyDescent="0.35">
      <c r="A1715" s="1">
        <v>3524</v>
      </c>
      <c r="B1715">
        <v>7</v>
      </c>
      <c r="C1715">
        <v>41</v>
      </c>
      <c r="D1715">
        <v>1</v>
      </c>
      <c r="E1715">
        <v>1</v>
      </c>
      <c r="F1715">
        <v>3</v>
      </c>
      <c r="G1715">
        <v>3</v>
      </c>
      <c r="H1715">
        <v>0</v>
      </c>
      <c r="I1715">
        <v>6053.35</v>
      </c>
      <c r="J1715">
        <v>5</v>
      </c>
      <c r="K1715">
        <v>0</v>
      </c>
      <c r="L1715" s="4">
        <v>0.76558875538312643</v>
      </c>
      <c r="M1715" s="4">
        <v>0.2344112446168736</v>
      </c>
      <c r="N1715">
        <v>4</v>
      </c>
    </row>
    <row r="1716" spans="1:14" x14ac:dyDescent="0.35">
      <c r="A1716" s="1">
        <v>4385</v>
      </c>
      <c r="B1716">
        <v>5</v>
      </c>
      <c r="C1716">
        <v>35</v>
      </c>
      <c r="D1716">
        <v>1</v>
      </c>
      <c r="E1716">
        <v>0</v>
      </c>
      <c r="F1716">
        <v>3</v>
      </c>
      <c r="G1716">
        <v>8</v>
      </c>
      <c r="H1716">
        <v>3</v>
      </c>
      <c r="I1716">
        <v>0.01</v>
      </c>
      <c r="J1716">
        <v>5</v>
      </c>
      <c r="K1716">
        <v>0</v>
      </c>
      <c r="L1716" s="4">
        <v>0.76561572292634128</v>
      </c>
      <c r="M1716" s="4">
        <v>0.23438427707365869</v>
      </c>
      <c r="N1716">
        <v>4</v>
      </c>
    </row>
    <row r="1717" spans="1:14" x14ac:dyDescent="0.35">
      <c r="A1717" s="1">
        <v>3630</v>
      </c>
      <c r="B1717">
        <v>8</v>
      </c>
      <c r="C1717">
        <v>51</v>
      </c>
      <c r="D1717">
        <v>0</v>
      </c>
      <c r="E1717">
        <v>0</v>
      </c>
      <c r="F1717">
        <v>2</v>
      </c>
      <c r="G1717">
        <v>1</v>
      </c>
      <c r="H1717">
        <v>0</v>
      </c>
      <c r="I1717">
        <v>6000</v>
      </c>
      <c r="J1717">
        <v>2</v>
      </c>
      <c r="K1717">
        <v>0</v>
      </c>
      <c r="L1717" s="4">
        <v>0.76572866317482624</v>
      </c>
      <c r="M1717" s="4">
        <v>0.23427133682517379</v>
      </c>
      <c r="N1717">
        <v>4</v>
      </c>
    </row>
    <row r="1718" spans="1:14" x14ac:dyDescent="0.35">
      <c r="A1718" s="1">
        <v>1902</v>
      </c>
      <c r="B1718">
        <v>11</v>
      </c>
      <c r="C1718">
        <v>62</v>
      </c>
      <c r="D1718">
        <v>5</v>
      </c>
      <c r="E1718">
        <v>0</v>
      </c>
      <c r="F1718">
        <v>0</v>
      </c>
      <c r="G1718">
        <v>2</v>
      </c>
      <c r="H1718">
        <v>0</v>
      </c>
      <c r="I1718">
        <v>12000</v>
      </c>
      <c r="J1718">
        <v>2</v>
      </c>
      <c r="K1718">
        <v>0</v>
      </c>
      <c r="L1718" s="4">
        <v>0.76595212983531824</v>
      </c>
      <c r="M1718" s="4">
        <v>0.2340478701646817</v>
      </c>
      <c r="N1718">
        <v>4</v>
      </c>
    </row>
    <row r="1719" spans="1:14" x14ac:dyDescent="0.35">
      <c r="A1719" s="1">
        <v>2562</v>
      </c>
      <c r="B1719">
        <v>12</v>
      </c>
      <c r="C1719">
        <v>59</v>
      </c>
      <c r="D1719">
        <v>1</v>
      </c>
      <c r="E1719">
        <v>1</v>
      </c>
      <c r="F1719">
        <v>3</v>
      </c>
      <c r="G1719">
        <v>3</v>
      </c>
      <c r="H1719">
        <v>3</v>
      </c>
      <c r="I1719">
        <v>0.01</v>
      </c>
      <c r="J1719">
        <v>7</v>
      </c>
      <c r="K1719">
        <v>0</v>
      </c>
      <c r="L1719" s="4">
        <v>0.76626312553889919</v>
      </c>
      <c r="M1719" s="4">
        <v>0.23373687446110089</v>
      </c>
      <c r="N1719">
        <v>4</v>
      </c>
    </row>
    <row r="1720" spans="1:14" x14ac:dyDescent="0.35">
      <c r="A1720" s="1">
        <v>3123</v>
      </c>
      <c r="B1720">
        <v>13</v>
      </c>
      <c r="C1720">
        <v>68</v>
      </c>
      <c r="D1720">
        <v>3</v>
      </c>
      <c r="E1720">
        <v>0</v>
      </c>
      <c r="F1720">
        <v>1</v>
      </c>
      <c r="G1720">
        <v>12</v>
      </c>
      <c r="H1720">
        <v>2</v>
      </c>
      <c r="I1720">
        <v>1000</v>
      </c>
      <c r="J1720">
        <v>8</v>
      </c>
      <c r="K1720">
        <v>1</v>
      </c>
      <c r="L1720" s="4">
        <v>0.76637487873979171</v>
      </c>
      <c r="M1720" s="4">
        <v>0.23362512126020829</v>
      </c>
      <c r="N1720">
        <v>4</v>
      </c>
    </row>
    <row r="1721" spans="1:14" x14ac:dyDescent="0.35">
      <c r="A1721" s="1">
        <v>2506</v>
      </c>
      <c r="B1721">
        <v>10</v>
      </c>
      <c r="C1721">
        <v>51</v>
      </c>
      <c r="D1721">
        <v>2</v>
      </c>
      <c r="E1721">
        <v>1</v>
      </c>
      <c r="F1721">
        <v>1</v>
      </c>
      <c r="G1721">
        <v>7</v>
      </c>
      <c r="H1721">
        <v>3</v>
      </c>
      <c r="I1721">
        <v>0.01</v>
      </c>
      <c r="J1721">
        <v>4</v>
      </c>
      <c r="K1721">
        <v>1</v>
      </c>
      <c r="L1721" s="4">
        <v>0.76649758651688171</v>
      </c>
      <c r="M1721" s="4">
        <v>0.23350241348311829</v>
      </c>
      <c r="N1721">
        <v>4</v>
      </c>
    </row>
    <row r="1722" spans="1:14" x14ac:dyDescent="0.35">
      <c r="A1722" s="1">
        <v>2900</v>
      </c>
      <c r="B1722">
        <v>8</v>
      </c>
      <c r="C1722">
        <v>47</v>
      </c>
      <c r="D1722">
        <v>5</v>
      </c>
      <c r="E1722">
        <v>0</v>
      </c>
      <c r="F1722">
        <v>1</v>
      </c>
      <c r="G1722">
        <v>12</v>
      </c>
      <c r="H1722">
        <v>2</v>
      </c>
      <c r="I1722">
        <v>3000</v>
      </c>
      <c r="J1722">
        <v>8</v>
      </c>
      <c r="K1722">
        <v>1</v>
      </c>
      <c r="L1722" s="4">
        <v>0.76714702294804538</v>
      </c>
      <c r="M1722" s="4">
        <v>0.2328529770519546</v>
      </c>
      <c r="N1722">
        <v>4</v>
      </c>
    </row>
    <row r="1723" spans="1:14" x14ac:dyDescent="0.35">
      <c r="A1723" s="1">
        <v>3467</v>
      </c>
      <c r="B1723">
        <v>8</v>
      </c>
      <c r="C1723">
        <v>47</v>
      </c>
      <c r="D1723">
        <v>3</v>
      </c>
      <c r="E1723">
        <v>0</v>
      </c>
      <c r="F1723">
        <v>1</v>
      </c>
      <c r="G1723">
        <v>12</v>
      </c>
      <c r="H1723">
        <v>3</v>
      </c>
      <c r="I1723">
        <v>0.01</v>
      </c>
      <c r="J1723">
        <v>5</v>
      </c>
      <c r="K1723">
        <v>0</v>
      </c>
      <c r="L1723" s="4">
        <v>0.76716404884525846</v>
      </c>
      <c r="M1723" s="4">
        <v>0.23283595115474151</v>
      </c>
      <c r="N1723">
        <v>4</v>
      </c>
    </row>
    <row r="1724" spans="1:14" x14ac:dyDescent="0.35">
      <c r="A1724" s="1">
        <v>2437</v>
      </c>
      <c r="B1724">
        <v>7</v>
      </c>
      <c r="C1724">
        <v>32</v>
      </c>
      <c r="D1724">
        <v>3</v>
      </c>
      <c r="E1724">
        <v>2</v>
      </c>
      <c r="F1724">
        <v>4</v>
      </c>
      <c r="G1724">
        <v>9</v>
      </c>
      <c r="H1724">
        <v>3</v>
      </c>
      <c r="I1724">
        <v>0.01</v>
      </c>
      <c r="J1724">
        <v>5</v>
      </c>
      <c r="K1724">
        <v>0</v>
      </c>
      <c r="L1724" s="4">
        <v>0.76731909742121318</v>
      </c>
      <c r="M1724" s="4">
        <v>0.23268090257878679</v>
      </c>
      <c r="N1724">
        <v>4</v>
      </c>
    </row>
    <row r="1725" spans="1:14" x14ac:dyDescent="0.35">
      <c r="A1725" s="1">
        <v>3390</v>
      </c>
      <c r="B1725">
        <v>9</v>
      </c>
      <c r="C1725">
        <v>49</v>
      </c>
      <c r="D1725">
        <v>2</v>
      </c>
      <c r="E1725">
        <v>1</v>
      </c>
      <c r="F1725">
        <v>1</v>
      </c>
      <c r="G1725">
        <v>12</v>
      </c>
      <c r="H1725">
        <v>0</v>
      </c>
      <c r="I1725">
        <v>9600</v>
      </c>
      <c r="J1725">
        <v>3</v>
      </c>
      <c r="K1725">
        <v>0</v>
      </c>
      <c r="L1725" s="4">
        <v>0.76731974882172427</v>
      </c>
      <c r="M1725" s="4">
        <v>0.23268025117827579</v>
      </c>
      <c r="N1725">
        <v>4</v>
      </c>
    </row>
    <row r="1726" spans="1:14" x14ac:dyDescent="0.35">
      <c r="A1726" s="1">
        <v>4057</v>
      </c>
      <c r="B1726">
        <v>7</v>
      </c>
      <c r="C1726">
        <v>47</v>
      </c>
      <c r="D1726">
        <v>2</v>
      </c>
      <c r="E1726">
        <v>0</v>
      </c>
      <c r="F1726">
        <v>0</v>
      </c>
      <c r="G1726">
        <v>4</v>
      </c>
      <c r="H1726">
        <v>0</v>
      </c>
      <c r="I1726">
        <v>10000</v>
      </c>
      <c r="J1726">
        <v>1</v>
      </c>
      <c r="K1726">
        <v>0</v>
      </c>
      <c r="L1726" s="4">
        <v>0.76753307230923351</v>
      </c>
      <c r="M1726" s="4">
        <v>0.23246692769076649</v>
      </c>
      <c r="N1726">
        <v>4</v>
      </c>
    </row>
    <row r="1727" spans="1:14" x14ac:dyDescent="0.35">
      <c r="A1727" s="1">
        <v>1386</v>
      </c>
      <c r="B1727">
        <v>9</v>
      </c>
      <c r="C1727">
        <v>48</v>
      </c>
      <c r="D1727">
        <v>2</v>
      </c>
      <c r="E1727">
        <v>1</v>
      </c>
      <c r="F1727">
        <v>1</v>
      </c>
      <c r="G1727">
        <v>7</v>
      </c>
      <c r="H1727">
        <v>2</v>
      </c>
      <c r="I1727">
        <v>100</v>
      </c>
      <c r="J1727">
        <v>14</v>
      </c>
      <c r="K1727">
        <v>0</v>
      </c>
      <c r="L1727" s="4">
        <v>0.76760047454648073</v>
      </c>
      <c r="M1727" s="4">
        <v>0.2323995254535193</v>
      </c>
      <c r="N1727">
        <v>4</v>
      </c>
    </row>
    <row r="1728" spans="1:14" x14ac:dyDescent="0.35">
      <c r="A1728" s="1">
        <v>3369</v>
      </c>
      <c r="B1728">
        <v>8</v>
      </c>
      <c r="C1728">
        <v>49</v>
      </c>
      <c r="D1728">
        <v>2</v>
      </c>
      <c r="E1728">
        <v>0</v>
      </c>
      <c r="F1728">
        <v>2</v>
      </c>
      <c r="G1728">
        <v>1</v>
      </c>
      <c r="H1728">
        <v>2</v>
      </c>
      <c r="I1728">
        <v>82.57</v>
      </c>
      <c r="J1728">
        <v>16</v>
      </c>
      <c r="K1728">
        <v>0</v>
      </c>
      <c r="L1728" s="4">
        <v>0.76784308948102653</v>
      </c>
      <c r="M1728" s="4">
        <v>0.2321569105189735</v>
      </c>
      <c r="N1728">
        <v>4</v>
      </c>
    </row>
    <row r="1729" spans="1:14" x14ac:dyDescent="0.35">
      <c r="A1729" s="1">
        <v>17</v>
      </c>
      <c r="B1729">
        <v>8</v>
      </c>
      <c r="C1729">
        <v>50</v>
      </c>
      <c r="D1729">
        <v>1</v>
      </c>
      <c r="E1729">
        <v>0</v>
      </c>
      <c r="F1729">
        <v>0</v>
      </c>
      <c r="G1729">
        <v>4</v>
      </c>
      <c r="H1729">
        <v>2</v>
      </c>
      <c r="I1729">
        <v>4800</v>
      </c>
      <c r="J1729">
        <v>5</v>
      </c>
      <c r="K1729">
        <v>0</v>
      </c>
      <c r="L1729" s="4">
        <v>0.76784751386338113</v>
      </c>
      <c r="M1729" s="4">
        <v>0.2321524861366189</v>
      </c>
      <c r="N1729">
        <v>4</v>
      </c>
    </row>
    <row r="1730" spans="1:14" x14ac:dyDescent="0.35">
      <c r="A1730" s="1">
        <v>1848</v>
      </c>
      <c r="B1730">
        <v>7</v>
      </c>
      <c r="C1730">
        <v>45</v>
      </c>
      <c r="D1730">
        <v>1</v>
      </c>
      <c r="E1730">
        <v>0</v>
      </c>
      <c r="F1730">
        <v>1</v>
      </c>
      <c r="G1730">
        <v>7</v>
      </c>
      <c r="H1730">
        <v>2</v>
      </c>
      <c r="I1730">
        <v>100</v>
      </c>
      <c r="J1730">
        <v>1</v>
      </c>
      <c r="K1730">
        <v>0</v>
      </c>
      <c r="L1730" s="4">
        <v>0.76792848392245017</v>
      </c>
      <c r="M1730" s="4">
        <v>0.23207151607754981</v>
      </c>
      <c r="N1730">
        <v>4</v>
      </c>
    </row>
    <row r="1731" spans="1:14" x14ac:dyDescent="0.35">
      <c r="A1731" s="1">
        <v>3548</v>
      </c>
      <c r="B1731">
        <v>9</v>
      </c>
      <c r="C1731">
        <v>51</v>
      </c>
      <c r="D1731">
        <v>2</v>
      </c>
      <c r="E1731">
        <v>0</v>
      </c>
      <c r="F1731">
        <v>3</v>
      </c>
      <c r="G1731">
        <v>8</v>
      </c>
      <c r="H1731">
        <v>3</v>
      </c>
      <c r="I1731">
        <v>0.01</v>
      </c>
      <c r="J1731">
        <v>5</v>
      </c>
      <c r="K1731">
        <v>0</v>
      </c>
      <c r="L1731" s="4">
        <v>0.76815703446181427</v>
      </c>
      <c r="M1731" s="4">
        <v>0.23184296553818581</v>
      </c>
      <c r="N1731">
        <v>4</v>
      </c>
    </row>
    <row r="1732" spans="1:14" x14ac:dyDescent="0.35">
      <c r="A1732" s="1">
        <v>3747</v>
      </c>
      <c r="B1732">
        <v>11</v>
      </c>
      <c r="C1732">
        <v>60</v>
      </c>
      <c r="D1732">
        <v>3</v>
      </c>
      <c r="E1732">
        <v>0</v>
      </c>
      <c r="F1732">
        <v>3</v>
      </c>
      <c r="G1732">
        <v>3</v>
      </c>
      <c r="H1732">
        <v>2</v>
      </c>
      <c r="I1732">
        <v>3000</v>
      </c>
      <c r="J1732">
        <v>8</v>
      </c>
      <c r="K1732">
        <v>0</v>
      </c>
      <c r="L1732" s="4">
        <v>0.7682077988819338</v>
      </c>
      <c r="M1732" s="4">
        <v>0.2317922011180662</v>
      </c>
      <c r="N1732">
        <v>4</v>
      </c>
    </row>
    <row r="1733" spans="1:14" x14ac:dyDescent="0.35">
      <c r="A1733" s="1">
        <v>4252</v>
      </c>
      <c r="B1733">
        <v>8</v>
      </c>
      <c r="C1733">
        <v>48</v>
      </c>
      <c r="D1733">
        <v>2</v>
      </c>
      <c r="E1733">
        <v>0</v>
      </c>
      <c r="F1733">
        <v>1</v>
      </c>
      <c r="G1733">
        <v>7</v>
      </c>
      <c r="H1733">
        <v>3</v>
      </c>
      <c r="I1733">
        <v>0.01</v>
      </c>
      <c r="J1733">
        <v>5</v>
      </c>
      <c r="K1733">
        <v>1</v>
      </c>
      <c r="L1733" s="4">
        <v>0.76830953063956764</v>
      </c>
      <c r="M1733" s="4">
        <v>0.23169046936043239</v>
      </c>
      <c r="N1733">
        <v>4</v>
      </c>
    </row>
    <row r="1734" spans="1:14" x14ac:dyDescent="0.35">
      <c r="A1734" s="1">
        <v>4061</v>
      </c>
      <c r="B1734">
        <v>7</v>
      </c>
      <c r="C1734">
        <v>43</v>
      </c>
      <c r="D1734">
        <v>3</v>
      </c>
      <c r="E1734">
        <v>0</v>
      </c>
      <c r="F1734">
        <v>3</v>
      </c>
      <c r="G1734">
        <v>3</v>
      </c>
      <c r="H1734">
        <v>3</v>
      </c>
      <c r="I1734">
        <v>0.01</v>
      </c>
      <c r="J1734">
        <v>8</v>
      </c>
      <c r="K1734">
        <v>1</v>
      </c>
      <c r="L1734" s="4">
        <v>0.7683428211257558</v>
      </c>
      <c r="M1734" s="4">
        <v>0.2316571788742442</v>
      </c>
      <c r="N1734">
        <v>4</v>
      </c>
    </row>
    <row r="1735" spans="1:14" x14ac:dyDescent="0.35">
      <c r="A1735" s="1">
        <v>494</v>
      </c>
      <c r="B1735">
        <v>7</v>
      </c>
      <c r="C1735">
        <v>43</v>
      </c>
      <c r="D1735">
        <v>2</v>
      </c>
      <c r="E1735">
        <v>0</v>
      </c>
      <c r="F1735">
        <v>3</v>
      </c>
      <c r="G1735">
        <v>8</v>
      </c>
      <c r="H1735">
        <v>3</v>
      </c>
      <c r="I1735">
        <v>0.01</v>
      </c>
      <c r="J1735">
        <v>8</v>
      </c>
      <c r="K1735">
        <v>0</v>
      </c>
      <c r="L1735" s="4">
        <v>0.76854652345244701</v>
      </c>
      <c r="M1735" s="4">
        <v>0.23145347654755299</v>
      </c>
      <c r="N1735">
        <v>4</v>
      </c>
    </row>
    <row r="1736" spans="1:14" x14ac:dyDescent="0.35">
      <c r="A1736" s="1">
        <v>884</v>
      </c>
      <c r="B1736">
        <v>8</v>
      </c>
      <c r="C1736">
        <v>48</v>
      </c>
      <c r="D1736">
        <v>4</v>
      </c>
      <c r="E1736">
        <v>0</v>
      </c>
      <c r="F1736">
        <v>1</v>
      </c>
      <c r="G1736">
        <v>7</v>
      </c>
      <c r="H1736">
        <v>2</v>
      </c>
      <c r="I1736">
        <v>2045.67</v>
      </c>
      <c r="J1736">
        <v>8</v>
      </c>
      <c r="K1736">
        <v>0</v>
      </c>
      <c r="L1736" s="4">
        <v>0.76856618259232268</v>
      </c>
      <c r="M1736" s="4">
        <v>0.23143381740767741</v>
      </c>
      <c r="N1736">
        <v>4</v>
      </c>
    </row>
    <row r="1737" spans="1:14" x14ac:dyDescent="0.35">
      <c r="A1737" s="1">
        <v>3281</v>
      </c>
      <c r="B1737">
        <v>9</v>
      </c>
      <c r="C1737">
        <v>55</v>
      </c>
      <c r="D1737">
        <v>0</v>
      </c>
      <c r="E1737">
        <v>0</v>
      </c>
      <c r="F1737">
        <v>3</v>
      </c>
      <c r="G1737">
        <v>3</v>
      </c>
      <c r="H1737">
        <v>0</v>
      </c>
      <c r="I1737">
        <v>12000</v>
      </c>
      <c r="J1737">
        <v>8</v>
      </c>
      <c r="K1737">
        <v>0</v>
      </c>
      <c r="L1737" s="4">
        <v>0.76912053742700437</v>
      </c>
      <c r="M1737" s="4">
        <v>0.23087946257299569</v>
      </c>
      <c r="N1737">
        <v>4</v>
      </c>
    </row>
    <row r="1738" spans="1:14" x14ac:dyDescent="0.35">
      <c r="A1738" s="1">
        <v>4030</v>
      </c>
      <c r="B1738">
        <v>11</v>
      </c>
      <c r="C1738">
        <v>61</v>
      </c>
      <c r="D1738">
        <v>2</v>
      </c>
      <c r="E1738">
        <v>0</v>
      </c>
      <c r="F1738">
        <v>0</v>
      </c>
      <c r="G1738">
        <v>4</v>
      </c>
      <c r="H1738">
        <v>3</v>
      </c>
      <c r="I1738">
        <v>0.01</v>
      </c>
      <c r="J1738">
        <v>5</v>
      </c>
      <c r="K1738">
        <v>0</v>
      </c>
      <c r="L1738" s="4">
        <v>0.76941407378063198</v>
      </c>
      <c r="M1738" s="4">
        <v>0.23058592621936799</v>
      </c>
      <c r="N1738">
        <v>4</v>
      </c>
    </row>
    <row r="1739" spans="1:14" x14ac:dyDescent="0.35">
      <c r="A1739" s="1">
        <v>1483</v>
      </c>
      <c r="B1739">
        <v>8</v>
      </c>
      <c r="C1739">
        <v>39</v>
      </c>
      <c r="D1739">
        <v>1</v>
      </c>
      <c r="E1739">
        <v>2</v>
      </c>
      <c r="F1739">
        <v>3</v>
      </c>
      <c r="G1739">
        <v>3</v>
      </c>
      <c r="H1739">
        <v>2</v>
      </c>
      <c r="I1739">
        <v>1600</v>
      </c>
      <c r="J1739">
        <v>9</v>
      </c>
      <c r="K1739">
        <v>0</v>
      </c>
      <c r="L1739" s="4">
        <v>0.76941977892207647</v>
      </c>
      <c r="M1739" s="4">
        <v>0.2305802210779235</v>
      </c>
      <c r="N1739">
        <v>4</v>
      </c>
    </row>
    <row r="1740" spans="1:14" x14ac:dyDescent="0.35">
      <c r="A1740" s="1">
        <v>2196</v>
      </c>
      <c r="B1740">
        <v>6</v>
      </c>
      <c r="C1740">
        <v>39</v>
      </c>
      <c r="D1740">
        <v>3</v>
      </c>
      <c r="E1740">
        <v>0</v>
      </c>
      <c r="F1740">
        <v>3</v>
      </c>
      <c r="G1740">
        <v>3</v>
      </c>
      <c r="H1740">
        <v>3</v>
      </c>
      <c r="I1740">
        <v>0.01</v>
      </c>
      <c r="J1740">
        <v>5</v>
      </c>
      <c r="K1740">
        <v>1</v>
      </c>
      <c r="L1740" s="4">
        <v>0.7695645992690846</v>
      </c>
      <c r="M1740" s="4">
        <v>0.2304354007309154</v>
      </c>
      <c r="N1740">
        <v>4</v>
      </c>
    </row>
    <row r="1741" spans="1:14" x14ac:dyDescent="0.35">
      <c r="A1741" s="1">
        <v>1211</v>
      </c>
      <c r="B1741">
        <v>13</v>
      </c>
      <c r="C1741">
        <v>69</v>
      </c>
      <c r="D1741">
        <v>3</v>
      </c>
      <c r="E1741">
        <v>0</v>
      </c>
      <c r="F1741">
        <v>0</v>
      </c>
      <c r="G1741">
        <v>11</v>
      </c>
      <c r="H1741">
        <v>2</v>
      </c>
      <c r="I1741">
        <v>2500</v>
      </c>
      <c r="J1741">
        <v>12</v>
      </c>
      <c r="K1741">
        <v>0</v>
      </c>
      <c r="L1741" s="4">
        <v>0.76970673194350181</v>
      </c>
      <c r="M1741" s="4">
        <v>0.23029326805649819</v>
      </c>
      <c r="N1741">
        <v>4</v>
      </c>
    </row>
    <row r="1742" spans="1:14" x14ac:dyDescent="0.35">
      <c r="A1742" s="1">
        <v>3725</v>
      </c>
      <c r="B1742">
        <v>16</v>
      </c>
      <c r="C1742">
        <v>77</v>
      </c>
      <c r="D1742">
        <v>1</v>
      </c>
      <c r="E1742">
        <v>1</v>
      </c>
      <c r="F1742">
        <v>0</v>
      </c>
      <c r="G1742">
        <v>11</v>
      </c>
      <c r="H1742">
        <v>2</v>
      </c>
      <c r="I1742">
        <v>1500</v>
      </c>
      <c r="J1742">
        <v>6</v>
      </c>
      <c r="K1742">
        <v>0</v>
      </c>
      <c r="L1742" s="4">
        <v>0.77013757847558151</v>
      </c>
      <c r="M1742" s="4">
        <v>0.22986242152441849</v>
      </c>
      <c r="N1742">
        <v>4</v>
      </c>
    </row>
    <row r="1743" spans="1:14" x14ac:dyDescent="0.35">
      <c r="A1743" s="1">
        <v>3152</v>
      </c>
      <c r="B1743">
        <v>8</v>
      </c>
      <c r="C1743">
        <v>51</v>
      </c>
      <c r="D1743">
        <v>0</v>
      </c>
      <c r="E1743">
        <v>0</v>
      </c>
      <c r="F1743">
        <v>3</v>
      </c>
      <c r="G1743">
        <v>3</v>
      </c>
      <c r="H1743">
        <v>0</v>
      </c>
      <c r="I1743">
        <v>12000</v>
      </c>
      <c r="J1743">
        <v>5</v>
      </c>
      <c r="K1743">
        <v>0</v>
      </c>
      <c r="L1743" s="4">
        <v>0.77033943985808651</v>
      </c>
      <c r="M1743" s="4">
        <v>0.22966056014191341</v>
      </c>
      <c r="N1743">
        <v>4</v>
      </c>
    </row>
    <row r="1744" spans="1:14" x14ac:dyDescent="0.35">
      <c r="A1744" s="1">
        <v>1792</v>
      </c>
      <c r="B1744">
        <v>9</v>
      </c>
      <c r="C1744">
        <v>48</v>
      </c>
      <c r="D1744">
        <v>4</v>
      </c>
      <c r="E1744">
        <v>1</v>
      </c>
      <c r="F1744">
        <v>0</v>
      </c>
      <c r="G1744">
        <v>4</v>
      </c>
      <c r="H1744">
        <v>2</v>
      </c>
      <c r="I1744">
        <v>4000</v>
      </c>
      <c r="J1744">
        <v>1</v>
      </c>
      <c r="K1744">
        <v>0</v>
      </c>
      <c r="L1744" s="4">
        <v>0.77081965578598444</v>
      </c>
      <c r="M1744" s="4">
        <v>0.22918034421401559</v>
      </c>
      <c r="N1744">
        <v>4</v>
      </c>
    </row>
    <row r="1745" spans="1:14" x14ac:dyDescent="0.35">
      <c r="A1745" s="1">
        <v>1102</v>
      </c>
      <c r="B1745">
        <v>10</v>
      </c>
      <c r="C1745">
        <v>51</v>
      </c>
      <c r="D1745">
        <v>1</v>
      </c>
      <c r="E1745">
        <v>1</v>
      </c>
      <c r="F1745">
        <v>4</v>
      </c>
      <c r="G1745">
        <v>9</v>
      </c>
      <c r="H1745">
        <v>2</v>
      </c>
      <c r="I1745">
        <v>3000</v>
      </c>
      <c r="J1745">
        <v>1</v>
      </c>
      <c r="K1745">
        <v>0</v>
      </c>
      <c r="L1745" s="4">
        <v>0.77093527104691673</v>
      </c>
      <c r="M1745" s="4">
        <v>0.22906472895308319</v>
      </c>
      <c r="N1745">
        <v>4</v>
      </c>
    </row>
    <row r="1746" spans="1:14" x14ac:dyDescent="0.35">
      <c r="A1746" s="1">
        <v>257</v>
      </c>
      <c r="B1746">
        <v>10</v>
      </c>
      <c r="C1746">
        <v>51</v>
      </c>
      <c r="D1746">
        <v>3</v>
      </c>
      <c r="E1746">
        <v>1</v>
      </c>
      <c r="F1746">
        <v>1</v>
      </c>
      <c r="G1746">
        <v>7</v>
      </c>
      <c r="H1746">
        <v>3</v>
      </c>
      <c r="I1746">
        <v>0.01</v>
      </c>
      <c r="J1746">
        <v>5</v>
      </c>
      <c r="K1746">
        <v>0</v>
      </c>
      <c r="L1746" s="4">
        <v>0.77094529339407514</v>
      </c>
      <c r="M1746" s="4">
        <v>0.22905470660592481</v>
      </c>
      <c r="N1746">
        <v>4</v>
      </c>
    </row>
    <row r="1747" spans="1:14" x14ac:dyDescent="0.35">
      <c r="A1747" s="1">
        <v>1115</v>
      </c>
      <c r="B1747">
        <v>7</v>
      </c>
      <c r="C1747">
        <v>44</v>
      </c>
      <c r="D1747">
        <v>2</v>
      </c>
      <c r="E1747">
        <v>0</v>
      </c>
      <c r="F1747">
        <v>3</v>
      </c>
      <c r="G1747">
        <v>8</v>
      </c>
      <c r="H1747">
        <v>2</v>
      </c>
      <c r="I1747">
        <v>2000</v>
      </c>
      <c r="J1747">
        <v>7</v>
      </c>
      <c r="K1747">
        <v>1</v>
      </c>
      <c r="L1747" s="4">
        <v>0.77106720340792867</v>
      </c>
      <c r="M1747" s="4">
        <v>0.2289327965920713</v>
      </c>
      <c r="N1747">
        <v>4</v>
      </c>
    </row>
    <row r="1748" spans="1:14" x14ac:dyDescent="0.35">
      <c r="A1748" s="1">
        <v>2624</v>
      </c>
      <c r="B1748">
        <v>8</v>
      </c>
      <c r="C1748">
        <v>42</v>
      </c>
      <c r="D1748">
        <v>4</v>
      </c>
      <c r="E1748">
        <v>1</v>
      </c>
      <c r="F1748">
        <v>1</v>
      </c>
      <c r="G1748">
        <v>12</v>
      </c>
      <c r="H1748">
        <v>3</v>
      </c>
      <c r="I1748">
        <v>0.01</v>
      </c>
      <c r="J1748">
        <v>4</v>
      </c>
      <c r="K1748">
        <v>0</v>
      </c>
      <c r="L1748" s="4">
        <v>0.77110500997369935</v>
      </c>
      <c r="M1748" s="4">
        <v>0.22889499002630059</v>
      </c>
      <c r="N1748">
        <v>4</v>
      </c>
    </row>
    <row r="1749" spans="1:14" x14ac:dyDescent="0.35">
      <c r="A1749" s="1">
        <v>3222</v>
      </c>
      <c r="B1749">
        <v>8</v>
      </c>
      <c r="C1749">
        <v>51</v>
      </c>
      <c r="D1749">
        <v>3</v>
      </c>
      <c r="E1749">
        <v>0</v>
      </c>
      <c r="F1749">
        <v>0</v>
      </c>
      <c r="G1749">
        <v>4</v>
      </c>
      <c r="H1749">
        <v>0</v>
      </c>
      <c r="I1749">
        <v>7022.66</v>
      </c>
      <c r="J1749">
        <v>7</v>
      </c>
      <c r="K1749">
        <v>0</v>
      </c>
      <c r="L1749" s="4">
        <v>0.7711473612971198</v>
      </c>
      <c r="M1749" s="4">
        <v>0.22885263870288011</v>
      </c>
      <c r="N1749">
        <v>4</v>
      </c>
    </row>
    <row r="1750" spans="1:14" x14ac:dyDescent="0.35">
      <c r="A1750" s="1">
        <v>3968</v>
      </c>
      <c r="B1750">
        <v>13</v>
      </c>
      <c r="C1750">
        <v>57</v>
      </c>
      <c r="D1750">
        <v>4</v>
      </c>
      <c r="E1750">
        <v>2</v>
      </c>
      <c r="F1750">
        <v>4</v>
      </c>
      <c r="G1750">
        <v>9</v>
      </c>
      <c r="H1750">
        <v>2</v>
      </c>
      <c r="I1750">
        <v>3000</v>
      </c>
      <c r="J1750">
        <v>3</v>
      </c>
      <c r="K1750">
        <v>0</v>
      </c>
      <c r="L1750" s="4">
        <v>0.77123633779785028</v>
      </c>
      <c r="M1750" s="4">
        <v>0.22876366220214969</v>
      </c>
      <c r="N1750">
        <v>4</v>
      </c>
    </row>
    <row r="1751" spans="1:14" x14ac:dyDescent="0.35">
      <c r="A1751" s="1">
        <v>2355</v>
      </c>
      <c r="B1751">
        <v>7</v>
      </c>
      <c r="C1751">
        <v>43</v>
      </c>
      <c r="D1751">
        <v>5</v>
      </c>
      <c r="E1751">
        <v>0</v>
      </c>
      <c r="F1751">
        <v>0</v>
      </c>
      <c r="G1751">
        <v>11</v>
      </c>
      <c r="H1751">
        <v>3</v>
      </c>
      <c r="I1751">
        <v>0.01</v>
      </c>
      <c r="J1751">
        <v>4</v>
      </c>
      <c r="K1751">
        <v>1</v>
      </c>
      <c r="L1751" s="4">
        <v>0.77124669034992466</v>
      </c>
      <c r="M1751" s="4">
        <v>0.22875330965007529</v>
      </c>
      <c r="N1751">
        <v>4</v>
      </c>
    </row>
    <row r="1752" spans="1:14" x14ac:dyDescent="0.35">
      <c r="A1752" s="1">
        <v>1367</v>
      </c>
      <c r="B1752">
        <v>8</v>
      </c>
      <c r="C1752">
        <v>48</v>
      </c>
      <c r="D1752">
        <v>2</v>
      </c>
      <c r="E1752">
        <v>0</v>
      </c>
      <c r="F1752">
        <v>3</v>
      </c>
      <c r="G1752">
        <v>8</v>
      </c>
      <c r="H1752">
        <v>2</v>
      </c>
      <c r="I1752">
        <v>3920</v>
      </c>
      <c r="J1752">
        <v>1</v>
      </c>
      <c r="K1752">
        <v>0</v>
      </c>
      <c r="L1752" s="4">
        <v>0.7713486417934966</v>
      </c>
      <c r="M1752" s="4">
        <v>0.2286513582065034</v>
      </c>
      <c r="N1752">
        <v>4</v>
      </c>
    </row>
    <row r="1753" spans="1:14" x14ac:dyDescent="0.35">
      <c r="A1753" s="1">
        <v>2201</v>
      </c>
      <c r="B1753">
        <v>7</v>
      </c>
      <c r="C1753">
        <v>43</v>
      </c>
      <c r="D1753">
        <v>5</v>
      </c>
      <c r="E1753">
        <v>0</v>
      </c>
      <c r="F1753">
        <v>2</v>
      </c>
      <c r="G1753">
        <v>1</v>
      </c>
      <c r="H1753">
        <v>3</v>
      </c>
      <c r="I1753">
        <v>0.01</v>
      </c>
      <c r="J1753">
        <v>5</v>
      </c>
      <c r="K1753">
        <v>1</v>
      </c>
      <c r="L1753" s="4">
        <v>0.77136484076606171</v>
      </c>
      <c r="M1753" s="4">
        <v>0.22863515923393829</v>
      </c>
      <c r="N1753">
        <v>4</v>
      </c>
    </row>
    <row r="1754" spans="1:14" x14ac:dyDescent="0.35">
      <c r="A1754" s="1">
        <v>3702</v>
      </c>
      <c r="B1754">
        <v>6</v>
      </c>
      <c r="C1754">
        <v>41</v>
      </c>
      <c r="D1754">
        <v>2</v>
      </c>
      <c r="E1754">
        <v>0</v>
      </c>
      <c r="F1754">
        <v>0</v>
      </c>
      <c r="G1754">
        <v>4</v>
      </c>
      <c r="H1754">
        <v>3</v>
      </c>
      <c r="I1754">
        <v>0.01</v>
      </c>
      <c r="J1754">
        <v>8</v>
      </c>
      <c r="K1754">
        <v>0</v>
      </c>
      <c r="L1754" s="4">
        <v>0.77140457178317057</v>
      </c>
      <c r="M1754" s="4">
        <v>0.2285954282168294</v>
      </c>
      <c r="N1754">
        <v>4</v>
      </c>
    </row>
    <row r="1755" spans="1:14" x14ac:dyDescent="0.35">
      <c r="A1755" s="1">
        <v>3148</v>
      </c>
      <c r="B1755">
        <v>8</v>
      </c>
      <c r="C1755">
        <v>48</v>
      </c>
      <c r="D1755">
        <v>3</v>
      </c>
      <c r="E1755">
        <v>0</v>
      </c>
      <c r="F1755">
        <v>1</v>
      </c>
      <c r="G1755">
        <v>7</v>
      </c>
      <c r="H1755">
        <v>3</v>
      </c>
      <c r="I1755">
        <v>0.01</v>
      </c>
      <c r="J1755">
        <v>11</v>
      </c>
      <c r="K1755">
        <v>1</v>
      </c>
      <c r="L1755" s="4">
        <v>0.77160258982711971</v>
      </c>
      <c r="M1755" s="4">
        <v>0.22839741017288029</v>
      </c>
      <c r="N1755">
        <v>4</v>
      </c>
    </row>
    <row r="1756" spans="1:14" x14ac:dyDescent="0.35">
      <c r="A1756" s="1">
        <v>533</v>
      </c>
      <c r="B1756">
        <v>12</v>
      </c>
      <c r="C1756">
        <v>64</v>
      </c>
      <c r="D1756">
        <v>2</v>
      </c>
      <c r="E1756">
        <v>0</v>
      </c>
      <c r="F1756">
        <v>3</v>
      </c>
      <c r="G1756">
        <v>3</v>
      </c>
      <c r="H1756">
        <v>3</v>
      </c>
      <c r="I1756">
        <v>0.01</v>
      </c>
      <c r="J1756">
        <v>8</v>
      </c>
      <c r="K1756">
        <v>1</v>
      </c>
      <c r="L1756" s="4">
        <v>0.77166556022815547</v>
      </c>
      <c r="M1756" s="4">
        <v>0.22833443977184459</v>
      </c>
      <c r="N1756">
        <v>4</v>
      </c>
    </row>
    <row r="1757" spans="1:14" x14ac:dyDescent="0.35">
      <c r="A1757" s="1">
        <v>1098</v>
      </c>
      <c r="B1757">
        <v>8</v>
      </c>
      <c r="C1757">
        <v>51</v>
      </c>
      <c r="D1757">
        <v>2</v>
      </c>
      <c r="E1757">
        <v>0</v>
      </c>
      <c r="F1757">
        <v>0</v>
      </c>
      <c r="G1757">
        <v>11</v>
      </c>
      <c r="H1757">
        <v>0</v>
      </c>
      <c r="I1757">
        <v>11700</v>
      </c>
      <c r="J1757">
        <v>8</v>
      </c>
      <c r="K1757">
        <v>1</v>
      </c>
      <c r="L1757" s="4">
        <v>0.77172962911266207</v>
      </c>
      <c r="M1757" s="4">
        <v>0.22827037088733801</v>
      </c>
      <c r="N1757">
        <v>4</v>
      </c>
    </row>
    <row r="1758" spans="1:14" x14ac:dyDescent="0.35">
      <c r="A1758" s="1">
        <v>1830</v>
      </c>
      <c r="B1758">
        <v>7</v>
      </c>
      <c r="C1758">
        <v>46</v>
      </c>
      <c r="D1758">
        <v>2</v>
      </c>
      <c r="E1758">
        <v>0</v>
      </c>
      <c r="F1758">
        <v>3</v>
      </c>
      <c r="G1758">
        <v>3</v>
      </c>
      <c r="H1758">
        <v>0</v>
      </c>
      <c r="I1758">
        <v>6000</v>
      </c>
      <c r="J1758">
        <v>2</v>
      </c>
      <c r="K1758">
        <v>0</v>
      </c>
      <c r="L1758" s="4">
        <v>0.77192353855866902</v>
      </c>
      <c r="M1758" s="4">
        <v>0.22807646144133101</v>
      </c>
      <c r="N1758">
        <v>4</v>
      </c>
    </row>
    <row r="1759" spans="1:14" x14ac:dyDescent="0.35">
      <c r="A1759" s="1">
        <v>3974</v>
      </c>
      <c r="B1759">
        <v>7</v>
      </c>
      <c r="C1759">
        <v>40</v>
      </c>
      <c r="D1759">
        <v>1</v>
      </c>
      <c r="E1759">
        <v>1</v>
      </c>
      <c r="F1759">
        <v>3</v>
      </c>
      <c r="G1759">
        <v>3</v>
      </c>
      <c r="H1759">
        <v>2</v>
      </c>
      <c r="I1759">
        <v>1000</v>
      </c>
      <c r="J1759">
        <v>5</v>
      </c>
      <c r="K1759">
        <v>0</v>
      </c>
      <c r="L1759" s="4">
        <v>0.77198600724557997</v>
      </c>
      <c r="M1759" s="4">
        <v>0.22801399275442</v>
      </c>
      <c r="N1759">
        <v>4</v>
      </c>
    </row>
    <row r="1760" spans="1:14" x14ac:dyDescent="0.35">
      <c r="A1760" s="1">
        <v>112</v>
      </c>
      <c r="B1760">
        <v>10</v>
      </c>
      <c r="C1760">
        <v>51</v>
      </c>
      <c r="D1760">
        <v>2</v>
      </c>
      <c r="E1760">
        <v>1</v>
      </c>
      <c r="F1760">
        <v>3</v>
      </c>
      <c r="G1760">
        <v>3</v>
      </c>
      <c r="H1760">
        <v>3</v>
      </c>
      <c r="I1760">
        <v>0.01</v>
      </c>
      <c r="J1760">
        <v>7</v>
      </c>
      <c r="K1760">
        <v>0</v>
      </c>
      <c r="L1760" s="4">
        <v>0.7720064473470607</v>
      </c>
      <c r="M1760" s="4">
        <v>0.2279935526529393</v>
      </c>
      <c r="N1760">
        <v>4</v>
      </c>
    </row>
    <row r="1761" spans="1:14" x14ac:dyDescent="0.35">
      <c r="A1761" s="1">
        <v>650</v>
      </c>
      <c r="B1761">
        <v>5</v>
      </c>
      <c r="C1761">
        <v>35</v>
      </c>
      <c r="D1761">
        <v>5</v>
      </c>
      <c r="E1761">
        <v>0</v>
      </c>
      <c r="F1761">
        <v>3</v>
      </c>
      <c r="G1761">
        <v>3</v>
      </c>
      <c r="H1761">
        <v>2</v>
      </c>
      <c r="I1761">
        <v>1800</v>
      </c>
      <c r="J1761">
        <v>1</v>
      </c>
      <c r="K1761">
        <v>0</v>
      </c>
      <c r="L1761" s="4">
        <v>0.77201245278623476</v>
      </c>
      <c r="M1761" s="4">
        <v>0.2279875472137653</v>
      </c>
      <c r="N1761">
        <v>4</v>
      </c>
    </row>
    <row r="1762" spans="1:14" x14ac:dyDescent="0.35">
      <c r="A1762" s="1">
        <v>174</v>
      </c>
      <c r="B1762">
        <v>9</v>
      </c>
      <c r="C1762">
        <v>47</v>
      </c>
      <c r="D1762">
        <v>5</v>
      </c>
      <c r="E1762">
        <v>1</v>
      </c>
      <c r="F1762">
        <v>0</v>
      </c>
      <c r="G1762">
        <v>4</v>
      </c>
      <c r="H1762">
        <v>3</v>
      </c>
      <c r="I1762">
        <v>0.01</v>
      </c>
      <c r="J1762">
        <v>8</v>
      </c>
      <c r="K1762">
        <v>1</v>
      </c>
      <c r="L1762" s="4">
        <v>0.77215768244820204</v>
      </c>
      <c r="M1762" s="4">
        <v>0.22784231755179801</v>
      </c>
      <c r="N1762">
        <v>4</v>
      </c>
    </row>
    <row r="1763" spans="1:14" x14ac:dyDescent="0.35">
      <c r="A1763" s="1">
        <v>4141</v>
      </c>
      <c r="B1763">
        <v>8</v>
      </c>
      <c r="C1763">
        <v>48</v>
      </c>
      <c r="D1763">
        <v>3</v>
      </c>
      <c r="E1763">
        <v>0</v>
      </c>
      <c r="F1763">
        <v>2</v>
      </c>
      <c r="G1763">
        <v>1</v>
      </c>
      <c r="H1763">
        <v>3</v>
      </c>
      <c r="I1763">
        <v>0.01</v>
      </c>
      <c r="J1763">
        <v>5</v>
      </c>
      <c r="K1763">
        <v>0</v>
      </c>
      <c r="L1763" s="4">
        <v>0.77216575094189488</v>
      </c>
      <c r="M1763" s="4">
        <v>0.22783424905810509</v>
      </c>
      <c r="N1763">
        <v>4</v>
      </c>
    </row>
    <row r="1764" spans="1:14" x14ac:dyDescent="0.35">
      <c r="A1764" s="1">
        <v>557</v>
      </c>
      <c r="B1764">
        <v>15</v>
      </c>
      <c r="C1764">
        <v>78</v>
      </c>
      <c r="D1764">
        <v>3</v>
      </c>
      <c r="E1764">
        <v>0</v>
      </c>
      <c r="F1764">
        <v>0</v>
      </c>
      <c r="G1764">
        <v>2</v>
      </c>
      <c r="H1764">
        <v>2</v>
      </c>
      <c r="I1764">
        <v>2000</v>
      </c>
      <c r="J1764">
        <v>5</v>
      </c>
      <c r="K1764">
        <v>1</v>
      </c>
      <c r="L1764" s="4">
        <v>0.77227150703711045</v>
      </c>
      <c r="M1764" s="4">
        <v>0.22772849296288949</v>
      </c>
      <c r="N1764">
        <v>4</v>
      </c>
    </row>
    <row r="1765" spans="1:14" x14ac:dyDescent="0.35">
      <c r="A1765" s="1">
        <v>355</v>
      </c>
      <c r="B1765">
        <v>8</v>
      </c>
      <c r="C1765">
        <v>48</v>
      </c>
      <c r="D1765">
        <v>5</v>
      </c>
      <c r="E1765">
        <v>0</v>
      </c>
      <c r="F1765">
        <v>0</v>
      </c>
      <c r="G1765">
        <v>11</v>
      </c>
      <c r="H1765">
        <v>2</v>
      </c>
      <c r="I1765">
        <v>500</v>
      </c>
      <c r="J1765">
        <v>8</v>
      </c>
      <c r="K1765">
        <v>0</v>
      </c>
      <c r="L1765" s="4">
        <v>0.77251353044986271</v>
      </c>
      <c r="M1765" s="4">
        <v>0.22748646955013729</v>
      </c>
      <c r="N1765">
        <v>4</v>
      </c>
    </row>
    <row r="1766" spans="1:14" x14ac:dyDescent="0.35">
      <c r="A1766" s="1">
        <v>2618</v>
      </c>
      <c r="B1766">
        <v>10</v>
      </c>
      <c r="C1766">
        <v>59</v>
      </c>
      <c r="D1766">
        <v>2</v>
      </c>
      <c r="E1766">
        <v>0</v>
      </c>
      <c r="F1766">
        <v>2</v>
      </c>
      <c r="G1766">
        <v>1</v>
      </c>
      <c r="H1766">
        <v>0</v>
      </c>
      <c r="I1766">
        <v>7000</v>
      </c>
      <c r="J1766">
        <v>6</v>
      </c>
      <c r="K1766">
        <v>0</v>
      </c>
      <c r="L1766" s="4">
        <v>0.7727944276374954</v>
      </c>
      <c r="M1766" s="4">
        <v>0.2272055723625046</v>
      </c>
      <c r="N1766">
        <v>4</v>
      </c>
    </row>
    <row r="1767" spans="1:14" x14ac:dyDescent="0.35">
      <c r="A1767" s="1">
        <v>3734</v>
      </c>
      <c r="B1767">
        <v>9</v>
      </c>
      <c r="C1767">
        <v>52</v>
      </c>
      <c r="D1767">
        <v>5</v>
      </c>
      <c r="E1767">
        <v>0</v>
      </c>
      <c r="F1767">
        <v>0</v>
      </c>
      <c r="G1767">
        <v>4</v>
      </c>
      <c r="H1767">
        <v>3</v>
      </c>
      <c r="I1767">
        <v>0.01</v>
      </c>
      <c r="J1767">
        <v>9</v>
      </c>
      <c r="K1767">
        <v>0</v>
      </c>
      <c r="L1767" s="4">
        <v>0.7728795561635925</v>
      </c>
      <c r="M1767" s="4">
        <v>0.2271204438364075</v>
      </c>
      <c r="N1767">
        <v>4</v>
      </c>
    </row>
    <row r="1768" spans="1:14" x14ac:dyDescent="0.35">
      <c r="A1768" s="1">
        <v>2272</v>
      </c>
      <c r="B1768">
        <v>4</v>
      </c>
      <c r="C1768">
        <v>32</v>
      </c>
      <c r="D1768">
        <v>3</v>
      </c>
      <c r="E1768">
        <v>0</v>
      </c>
      <c r="F1768">
        <v>0</v>
      </c>
      <c r="G1768">
        <v>11</v>
      </c>
      <c r="H1768">
        <v>3</v>
      </c>
      <c r="I1768">
        <v>0.01</v>
      </c>
      <c r="J1768">
        <v>8</v>
      </c>
      <c r="K1768">
        <v>0</v>
      </c>
      <c r="L1768" s="4">
        <v>0.77326813293161367</v>
      </c>
      <c r="M1768" s="4">
        <v>0.22673186706838641</v>
      </c>
      <c r="N1768">
        <v>4</v>
      </c>
    </row>
    <row r="1769" spans="1:14" x14ac:dyDescent="0.35">
      <c r="A1769" s="1">
        <v>491</v>
      </c>
      <c r="B1769">
        <v>9</v>
      </c>
      <c r="C1769">
        <v>48</v>
      </c>
      <c r="D1769">
        <v>3</v>
      </c>
      <c r="E1769">
        <v>1</v>
      </c>
      <c r="F1769">
        <v>0</v>
      </c>
      <c r="G1769">
        <v>4</v>
      </c>
      <c r="H1769">
        <v>3</v>
      </c>
      <c r="I1769">
        <v>0.01</v>
      </c>
      <c r="J1769">
        <v>8</v>
      </c>
      <c r="K1769">
        <v>0</v>
      </c>
      <c r="L1769" s="4">
        <v>0.77348649441166017</v>
      </c>
      <c r="M1769" s="4">
        <v>0.2265135055883398</v>
      </c>
      <c r="N1769">
        <v>4</v>
      </c>
    </row>
    <row r="1770" spans="1:14" x14ac:dyDescent="0.35">
      <c r="A1770" s="1">
        <v>756</v>
      </c>
      <c r="B1770">
        <v>7</v>
      </c>
      <c r="C1770">
        <v>40</v>
      </c>
      <c r="D1770">
        <v>5</v>
      </c>
      <c r="E1770">
        <v>1</v>
      </c>
      <c r="F1770">
        <v>0</v>
      </c>
      <c r="G1770">
        <v>2</v>
      </c>
      <c r="H1770">
        <v>2</v>
      </c>
      <c r="I1770">
        <v>1320</v>
      </c>
      <c r="J1770">
        <v>9</v>
      </c>
      <c r="K1770">
        <v>0</v>
      </c>
      <c r="L1770" s="4">
        <v>0.77352963810388087</v>
      </c>
      <c r="M1770" s="4">
        <v>0.22647036189611919</v>
      </c>
      <c r="N1770">
        <v>4</v>
      </c>
    </row>
    <row r="1771" spans="1:14" x14ac:dyDescent="0.35">
      <c r="A1771" s="1">
        <v>1398</v>
      </c>
      <c r="B1771">
        <v>12</v>
      </c>
      <c r="C1771">
        <v>60</v>
      </c>
      <c r="D1771">
        <v>1</v>
      </c>
      <c r="E1771">
        <v>1</v>
      </c>
      <c r="F1771">
        <v>3</v>
      </c>
      <c r="G1771">
        <v>8</v>
      </c>
      <c r="H1771">
        <v>2</v>
      </c>
      <c r="I1771">
        <v>1000</v>
      </c>
      <c r="J1771">
        <v>7</v>
      </c>
      <c r="K1771">
        <v>0</v>
      </c>
      <c r="L1771" s="4">
        <v>0.77370091582172129</v>
      </c>
      <c r="M1771" s="4">
        <v>0.22629908417827871</v>
      </c>
      <c r="N1771">
        <v>4</v>
      </c>
    </row>
    <row r="1772" spans="1:14" x14ac:dyDescent="0.35">
      <c r="A1772" s="1">
        <v>904</v>
      </c>
      <c r="B1772">
        <v>8</v>
      </c>
      <c r="C1772">
        <v>48</v>
      </c>
      <c r="D1772">
        <v>5</v>
      </c>
      <c r="E1772">
        <v>0</v>
      </c>
      <c r="F1772">
        <v>0</v>
      </c>
      <c r="G1772">
        <v>11</v>
      </c>
      <c r="H1772">
        <v>2</v>
      </c>
      <c r="I1772">
        <v>1620</v>
      </c>
      <c r="J1772">
        <v>1</v>
      </c>
      <c r="K1772">
        <v>0</v>
      </c>
      <c r="L1772" s="4">
        <v>0.77377474405536706</v>
      </c>
      <c r="M1772" s="4">
        <v>0.22622525594463291</v>
      </c>
      <c r="N1772">
        <v>4</v>
      </c>
    </row>
    <row r="1773" spans="1:14" x14ac:dyDescent="0.35">
      <c r="A1773" s="1">
        <v>2371</v>
      </c>
      <c r="B1773">
        <v>10</v>
      </c>
      <c r="C1773">
        <v>57</v>
      </c>
      <c r="D1773">
        <v>2</v>
      </c>
      <c r="E1773">
        <v>0</v>
      </c>
      <c r="F1773">
        <v>3</v>
      </c>
      <c r="G1773">
        <v>3</v>
      </c>
      <c r="H1773">
        <v>2</v>
      </c>
      <c r="I1773">
        <v>3053.35</v>
      </c>
      <c r="J1773">
        <v>12</v>
      </c>
      <c r="K1773">
        <v>1</v>
      </c>
      <c r="L1773" s="4">
        <v>0.77379855960401356</v>
      </c>
      <c r="M1773" s="4">
        <v>0.22620144039598639</v>
      </c>
      <c r="N1773">
        <v>4</v>
      </c>
    </row>
    <row r="1774" spans="1:14" x14ac:dyDescent="0.35">
      <c r="A1774" s="1">
        <v>3515</v>
      </c>
      <c r="B1774">
        <v>8</v>
      </c>
      <c r="C1774">
        <v>48</v>
      </c>
      <c r="D1774">
        <v>5</v>
      </c>
      <c r="E1774">
        <v>0</v>
      </c>
      <c r="F1774">
        <v>0</v>
      </c>
      <c r="G1774">
        <v>4</v>
      </c>
      <c r="H1774">
        <v>3</v>
      </c>
      <c r="I1774">
        <v>0.01</v>
      </c>
      <c r="J1774">
        <v>7</v>
      </c>
      <c r="K1774">
        <v>0</v>
      </c>
      <c r="L1774" s="4">
        <v>0.77385963492062304</v>
      </c>
      <c r="M1774" s="4">
        <v>0.22614036507937699</v>
      </c>
      <c r="N1774">
        <v>4</v>
      </c>
    </row>
    <row r="1775" spans="1:14" x14ac:dyDescent="0.35">
      <c r="A1775" s="1">
        <v>1876</v>
      </c>
      <c r="B1775">
        <v>8</v>
      </c>
      <c r="C1775">
        <v>51</v>
      </c>
      <c r="D1775">
        <v>2</v>
      </c>
      <c r="E1775">
        <v>0</v>
      </c>
      <c r="F1775">
        <v>1</v>
      </c>
      <c r="G1775">
        <v>5</v>
      </c>
      <c r="H1775">
        <v>0</v>
      </c>
      <c r="I1775">
        <v>6000</v>
      </c>
      <c r="J1775">
        <v>2</v>
      </c>
      <c r="K1775">
        <v>0</v>
      </c>
      <c r="L1775" s="4">
        <v>0.77390361215786196</v>
      </c>
      <c r="M1775" s="4">
        <v>0.22609638784213801</v>
      </c>
      <c r="N1775">
        <v>4</v>
      </c>
    </row>
    <row r="1776" spans="1:14" x14ac:dyDescent="0.35">
      <c r="A1776" s="1">
        <v>3640</v>
      </c>
      <c r="B1776">
        <v>7</v>
      </c>
      <c r="C1776">
        <v>41</v>
      </c>
      <c r="D1776">
        <v>2</v>
      </c>
      <c r="E1776">
        <v>1</v>
      </c>
      <c r="F1776">
        <v>0</v>
      </c>
      <c r="G1776">
        <v>4</v>
      </c>
      <c r="H1776">
        <v>2</v>
      </c>
      <c r="I1776">
        <v>455</v>
      </c>
      <c r="J1776">
        <v>1</v>
      </c>
      <c r="K1776">
        <v>1</v>
      </c>
      <c r="L1776" s="4">
        <v>0.77421549123256184</v>
      </c>
      <c r="M1776" s="4">
        <v>0.22578450876743819</v>
      </c>
      <c r="N1776">
        <v>4</v>
      </c>
    </row>
    <row r="1777" spans="1:14" x14ac:dyDescent="0.35">
      <c r="A1777" s="1">
        <v>962</v>
      </c>
      <c r="B1777">
        <v>10</v>
      </c>
      <c r="C1777">
        <v>54</v>
      </c>
      <c r="D1777">
        <v>1</v>
      </c>
      <c r="E1777">
        <v>1</v>
      </c>
      <c r="F1777">
        <v>3</v>
      </c>
      <c r="G1777">
        <v>3</v>
      </c>
      <c r="H1777">
        <v>0</v>
      </c>
      <c r="I1777">
        <v>6000</v>
      </c>
      <c r="J1777">
        <v>5</v>
      </c>
      <c r="K1777">
        <v>0</v>
      </c>
      <c r="L1777" s="4">
        <v>0.77465103036613747</v>
      </c>
      <c r="M1777" s="4">
        <v>0.2253489696338625</v>
      </c>
      <c r="N1777">
        <v>4</v>
      </c>
    </row>
    <row r="1778" spans="1:14" x14ac:dyDescent="0.35">
      <c r="A1778" s="1">
        <v>2890</v>
      </c>
      <c r="B1778">
        <v>8</v>
      </c>
      <c r="C1778">
        <v>51</v>
      </c>
      <c r="D1778">
        <v>2</v>
      </c>
      <c r="E1778">
        <v>0</v>
      </c>
      <c r="F1778">
        <v>2</v>
      </c>
      <c r="G1778">
        <v>1</v>
      </c>
      <c r="H1778">
        <v>0</v>
      </c>
      <c r="I1778">
        <v>6000</v>
      </c>
      <c r="J1778">
        <v>2</v>
      </c>
      <c r="K1778">
        <v>1</v>
      </c>
      <c r="L1778" s="4">
        <v>0.77503316327903327</v>
      </c>
      <c r="M1778" s="4">
        <v>0.22496683672096671</v>
      </c>
      <c r="N1778">
        <v>4</v>
      </c>
    </row>
    <row r="1779" spans="1:14" x14ac:dyDescent="0.35">
      <c r="A1779" s="1">
        <v>228</v>
      </c>
      <c r="B1779">
        <v>8</v>
      </c>
      <c r="C1779">
        <v>50</v>
      </c>
      <c r="D1779">
        <v>3</v>
      </c>
      <c r="E1779">
        <v>0</v>
      </c>
      <c r="F1779">
        <v>3</v>
      </c>
      <c r="G1779">
        <v>3</v>
      </c>
      <c r="H1779">
        <v>0</v>
      </c>
      <c r="I1779">
        <v>6000</v>
      </c>
      <c r="J1779">
        <v>5</v>
      </c>
      <c r="K1779">
        <v>0</v>
      </c>
      <c r="L1779" s="4">
        <v>0.77532547737219504</v>
      </c>
      <c r="M1779" s="4">
        <v>0.22467452262780491</v>
      </c>
      <c r="N1779">
        <v>4</v>
      </c>
    </row>
    <row r="1780" spans="1:14" x14ac:dyDescent="0.35">
      <c r="A1780" s="1">
        <v>2921</v>
      </c>
      <c r="B1780">
        <v>7</v>
      </c>
      <c r="C1780">
        <v>43</v>
      </c>
      <c r="D1780">
        <v>5</v>
      </c>
      <c r="E1780">
        <v>0</v>
      </c>
      <c r="F1780">
        <v>3</v>
      </c>
      <c r="G1780">
        <v>8</v>
      </c>
      <c r="H1780">
        <v>2</v>
      </c>
      <c r="I1780">
        <v>50.01</v>
      </c>
      <c r="J1780">
        <v>5</v>
      </c>
      <c r="K1780">
        <v>1</v>
      </c>
      <c r="L1780" s="4">
        <v>0.77535382736640757</v>
      </c>
      <c r="M1780" s="4">
        <v>0.22464617263359241</v>
      </c>
      <c r="N1780">
        <v>4</v>
      </c>
    </row>
    <row r="1781" spans="1:14" x14ac:dyDescent="0.35">
      <c r="A1781" s="1">
        <v>2441</v>
      </c>
      <c r="B1781">
        <v>11</v>
      </c>
      <c r="C1781">
        <v>54</v>
      </c>
      <c r="D1781">
        <v>4</v>
      </c>
      <c r="E1781">
        <v>1</v>
      </c>
      <c r="F1781">
        <v>3</v>
      </c>
      <c r="G1781">
        <v>8</v>
      </c>
      <c r="H1781">
        <v>3</v>
      </c>
      <c r="I1781">
        <v>0.01</v>
      </c>
      <c r="J1781">
        <v>5</v>
      </c>
      <c r="K1781">
        <v>0</v>
      </c>
      <c r="L1781" s="4">
        <v>0.77540776025866787</v>
      </c>
      <c r="M1781" s="4">
        <v>0.22459223974133219</v>
      </c>
      <c r="N1781">
        <v>4</v>
      </c>
    </row>
    <row r="1782" spans="1:14" x14ac:dyDescent="0.35">
      <c r="A1782" s="1">
        <v>3490</v>
      </c>
      <c r="B1782">
        <v>8</v>
      </c>
      <c r="C1782">
        <v>42</v>
      </c>
      <c r="D1782">
        <v>5</v>
      </c>
      <c r="E1782">
        <v>1</v>
      </c>
      <c r="F1782">
        <v>1</v>
      </c>
      <c r="G1782">
        <v>12</v>
      </c>
      <c r="H1782">
        <v>3</v>
      </c>
      <c r="I1782">
        <v>0.01</v>
      </c>
      <c r="J1782">
        <v>5</v>
      </c>
      <c r="K1782">
        <v>0</v>
      </c>
      <c r="L1782" s="4">
        <v>0.77549066110635034</v>
      </c>
      <c r="M1782" s="4">
        <v>0.2245093388936496</v>
      </c>
      <c r="N1782">
        <v>5</v>
      </c>
    </row>
    <row r="1783" spans="1:14" x14ac:dyDescent="0.35">
      <c r="A1783" s="1">
        <v>1833</v>
      </c>
      <c r="B1783">
        <v>12</v>
      </c>
      <c r="C1783">
        <v>65</v>
      </c>
      <c r="D1783">
        <v>5</v>
      </c>
      <c r="E1783">
        <v>0</v>
      </c>
      <c r="F1783">
        <v>3</v>
      </c>
      <c r="G1783">
        <v>8</v>
      </c>
      <c r="H1783">
        <v>0</v>
      </c>
      <c r="I1783">
        <v>6000</v>
      </c>
      <c r="J1783">
        <v>10</v>
      </c>
      <c r="K1783">
        <v>0</v>
      </c>
      <c r="L1783" s="4">
        <v>0.77556340101392185</v>
      </c>
      <c r="M1783" s="4">
        <v>0.22443659898607821</v>
      </c>
      <c r="N1783">
        <v>5</v>
      </c>
    </row>
    <row r="1784" spans="1:14" x14ac:dyDescent="0.35">
      <c r="A1784" s="1">
        <v>4128</v>
      </c>
      <c r="B1784">
        <v>8</v>
      </c>
      <c r="C1784">
        <v>49</v>
      </c>
      <c r="D1784">
        <v>3</v>
      </c>
      <c r="E1784">
        <v>0</v>
      </c>
      <c r="F1784">
        <v>0</v>
      </c>
      <c r="G1784">
        <v>4</v>
      </c>
      <c r="H1784">
        <v>3</v>
      </c>
      <c r="I1784">
        <v>0.01</v>
      </c>
      <c r="J1784">
        <v>5</v>
      </c>
      <c r="K1784">
        <v>0</v>
      </c>
      <c r="L1784" s="4">
        <v>0.77562900232236853</v>
      </c>
      <c r="M1784" s="4">
        <v>0.2243709976776315</v>
      </c>
      <c r="N1784">
        <v>5</v>
      </c>
    </row>
    <row r="1785" spans="1:14" x14ac:dyDescent="0.35">
      <c r="A1785" s="1">
        <v>1393</v>
      </c>
      <c r="B1785">
        <v>11</v>
      </c>
      <c r="C1785">
        <v>57</v>
      </c>
      <c r="D1785">
        <v>3</v>
      </c>
      <c r="E1785">
        <v>1</v>
      </c>
      <c r="F1785">
        <v>3</v>
      </c>
      <c r="G1785">
        <v>8</v>
      </c>
      <c r="H1785">
        <v>0</v>
      </c>
      <c r="I1785">
        <v>5017.55</v>
      </c>
      <c r="J1785">
        <v>14</v>
      </c>
      <c r="K1785">
        <v>0</v>
      </c>
      <c r="L1785" s="4">
        <v>0.77584878782645583</v>
      </c>
      <c r="M1785" s="4">
        <v>0.22415121217354411</v>
      </c>
      <c r="N1785">
        <v>5</v>
      </c>
    </row>
    <row r="1786" spans="1:14" x14ac:dyDescent="0.35">
      <c r="A1786" s="1">
        <v>1809</v>
      </c>
      <c r="B1786">
        <v>8</v>
      </c>
      <c r="C1786">
        <v>50</v>
      </c>
      <c r="D1786">
        <v>1</v>
      </c>
      <c r="E1786">
        <v>0</v>
      </c>
      <c r="F1786">
        <v>1</v>
      </c>
      <c r="G1786">
        <v>5</v>
      </c>
      <c r="H1786">
        <v>2</v>
      </c>
      <c r="I1786">
        <v>100</v>
      </c>
      <c r="J1786">
        <v>1</v>
      </c>
      <c r="K1786">
        <v>0</v>
      </c>
      <c r="L1786" s="4">
        <v>0.77605518626212044</v>
      </c>
      <c r="M1786" s="4">
        <v>0.2239448137378795</v>
      </c>
      <c r="N1786">
        <v>5</v>
      </c>
    </row>
    <row r="1787" spans="1:14" x14ac:dyDescent="0.35">
      <c r="A1787" s="1">
        <v>616</v>
      </c>
      <c r="B1787">
        <v>8</v>
      </c>
      <c r="C1787">
        <v>50</v>
      </c>
      <c r="D1787">
        <v>0</v>
      </c>
      <c r="E1787">
        <v>0</v>
      </c>
      <c r="F1787">
        <v>1</v>
      </c>
      <c r="G1787">
        <v>12</v>
      </c>
      <c r="H1787">
        <v>2</v>
      </c>
      <c r="I1787">
        <v>2686.88</v>
      </c>
      <c r="J1787">
        <v>7</v>
      </c>
      <c r="K1787">
        <v>0</v>
      </c>
      <c r="L1787" s="4">
        <v>0.77609780658416272</v>
      </c>
      <c r="M1787" s="4">
        <v>0.22390219341583731</v>
      </c>
      <c r="N1787">
        <v>5</v>
      </c>
    </row>
    <row r="1788" spans="1:14" x14ac:dyDescent="0.35">
      <c r="A1788" s="1">
        <v>535</v>
      </c>
      <c r="B1788">
        <v>8</v>
      </c>
      <c r="C1788">
        <v>51</v>
      </c>
      <c r="D1788">
        <v>1</v>
      </c>
      <c r="E1788">
        <v>0</v>
      </c>
      <c r="F1788">
        <v>3</v>
      </c>
      <c r="G1788">
        <v>3</v>
      </c>
      <c r="H1788">
        <v>0</v>
      </c>
      <c r="I1788">
        <v>6107.64</v>
      </c>
      <c r="J1788">
        <v>7</v>
      </c>
      <c r="K1788">
        <v>0</v>
      </c>
      <c r="L1788" s="4">
        <v>0.7761648737392628</v>
      </c>
      <c r="M1788" s="4">
        <v>0.22383512626073729</v>
      </c>
      <c r="N1788">
        <v>5</v>
      </c>
    </row>
    <row r="1789" spans="1:14" x14ac:dyDescent="0.35">
      <c r="A1789" s="1">
        <v>2977</v>
      </c>
      <c r="B1789">
        <v>10</v>
      </c>
      <c r="C1789">
        <v>54</v>
      </c>
      <c r="D1789">
        <v>5</v>
      </c>
      <c r="E1789">
        <v>0</v>
      </c>
      <c r="F1789">
        <v>4</v>
      </c>
      <c r="G1789">
        <v>9</v>
      </c>
      <c r="H1789">
        <v>3</v>
      </c>
      <c r="I1789">
        <v>0.01</v>
      </c>
      <c r="J1789">
        <v>8</v>
      </c>
      <c r="K1789">
        <v>0</v>
      </c>
      <c r="L1789" s="4">
        <v>0.77620825881360211</v>
      </c>
      <c r="M1789" s="4">
        <v>0.22379174118639791</v>
      </c>
      <c r="N1789">
        <v>5</v>
      </c>
    </row>
    <row r="1790" spans="1:14" x14ac:dyDescent="0.35">
      <c r="A1790" s="1">
        <v>4069</v>
      </c>
      <c r="B1790">
        <v>8</v>
      </c>
      <c r="C1790">
        <v>46</v>
      </c>
      <c r="D1790">
        <v>4</v>
      </c>
      <c r="E1790">
        <v>1</v>
      </c>
      <c r="F1790">
        <v>0</v>
      </c>
      <c r="G1790">
        <v>4</v>
      </c>
      <c r="H1790">
        <v>0</v>
      </c>
      <c r="I1790">
        <v>6000</v>
      </c>
      <c r="J1790">
        <v>2</v>
      </c>
      <c r="K1790">
        <v>0</v>
      </c>
      <c r="L1790" s="4">
        <v>0.77622196617682393</v>
      </c>
      <c r="M1790" s="4">
        <v>0.22377803382317599</v>
      </c>
      <c r="N1790">
        <v>5</v>
      </c>
    </row>
    <row r="1791" spans="1:14" x14ac:dyDescent="0.35">
      <c r="A1791" s="1">
        <v>4160</v>
      </c>
      <c r="B1791">
        <v>12</v>
      </c>
      <c r="C1791">
        <v>62</v>
      </c>
      <c r="D1791">
        <v>4</v>
      </c>
      <c r="E1791">
        <v>1</v>
      </c>
      <c r="F1791">
        <v>0</v>
      </c>
      <c r="G1791">
        <v>4</v>
      </c>
      <c r="H1791">
        <v>1</v>
      </c>
      <c r="I1791">
        <v>24901.94</v>
      </c>
      <c r="J1791">
        <v>3</v>
      </c>
      <c r="K1791">
        <v>0</v>
      </c>
      <c r="L1791" s="4">
        <v>0.77625388060119516</v>
      </c>
      <c r="M1791" s="4">
        <v>0.22374611939880479</v>
      </c>
      <c r="N1791">
        <v>5</v>
      </c>
    </row>
    <row r="1792" spans="1:14" x14ac:dyDescent="0.35">
      <c r="A1792" s="1">
        <v>2070</v>
      </c>
      <c r="B1792">
        <v>9</v>
      </c>
      <c r="C1792">
        <v>52</v>
      </c>
      <c r="D1792">
        <v>5</v>
      </c>
      <c r="E1792">
        <v>0</v>
      </c>
      <c r="F1792">
        <v>2</v>
      </c>
      <c r="G1792">
        <v>6</v>
      </c>
      <c r="H1792">
        <v>2</v>
      </c>
      <c r="I1792">
        <v>5000</v>
      </c>
      <c r="J1792">
        <v>6</v>
      </c>
      <c r="K1792">
        <v>0</v>
      </c>
      <c r="L1792" s="4">
        <v>0.77630443156343087</v>
      </c>
      <c r="M1792" s="4">
        <v>0.22369556843656921</v>
      </c>
      <c r="N1792">
        <v>5</v>
      </c>
    </row>
    <row r="1793" spans="1:14" x14ac:dyDescent="0.35">
      <c r="A1793" s="1">
        <v>898</v>
      </c>
      <c r="B1793">
        <v>10</v>
      </c>
      <c r="C1793">
        <v>51</v>
      </c>
      <c r="D1793">
        <v>1</v>
      </c>
      <c r="E1793">
        <v>2</v>
      </c>
      <c r="F1793">
        <v>0</v>
      </c>
      <c r="G1793">
        <v>4</v>
      </c>
      <c r="H1793">
        <v>1</v>
      </c>
      <c r="I1793">
        <v>50000</v>
      </c>
      <c r="J1793">
        <v>4</v>
      </c>
      <c r="K1793">
        <v>0</v>
      </c>
      <c r="L1793" s="4">
        <v>0.7763174959931971</v>
      </c>
      <c r="M1793" s="4">
        <v>0.2236825040068029</v>
      </c>
      <c r="N1793">
        <v>5</v>
      </c>
    </row>
    <row r="1794" spans="1:14" x14ac:dyDescent="0.35">
      <c r="A1794" s="1">
        <v>403</v>
      </c>
      <c r="B1794">
        <v>12</v>
      </c>
      <c r="C1794">
        <v>59</v>
      </c>
      <c r="D1794">
        <v>4</v>
      </c>
      <c r="E1794">
        <v>1</v>
      </c>
      <c r="F1794">
        <v>3</v>
      </c>
      <c r="G1794">
        <v>8</v>
      </c>
      <c r="H1794">
        <v>2</v>
      </c>
      <c r="I1794">
        <v>1000</v>
      </c>
      <c r="J1794">
        <v>9</v>
      </c>
      <c r="K1794">
        <v>0</v>
      </c>
      <c r="L1794" s="4">
        <v>0.77651845512028639</v>
      </c>
      <c r="M1794" s="4">
        <v>0.22348154487971361</v>
      </c>
      <c r="N1794">
        <v>5</v>
      </c>
    </row>
    <row r="1795" spans="1:14" x14ac:dyDescent="0.35">
      <c r="A1795" s="1">
        <v>2369</v>
      </c>
      <c r="B1795">
        <v>11</v>
      </c>
      <c r="C1795">
        <v>63</v>
      </c>
      <c r="D1795">
        <v>5</v>
      </c>
      <c r="E1795">
        <v>0</v>
      </c>
      <c r="F1795">
        <v>0</v>
      </c>
      <c r="G1795">
        <v>4</v>
      </c>
      <c r="H1795">
        <v>0</v>
      </c>
      <c r="I1795">
        <v>6000</v>
      </c>
      <c r="J1795">
        <v>17</v>
      </c>
      <c r="K1795">
        <v>0</v>
      </c>
      <c r="L1795" s="4">
        <v>0.77680405318804524</v>
      </c>
      <c r="M1795" s="4">
        <v>0.22319594681195479</v>
      </c>
      <c r="N1795">
        <v>5</v>
      </c>
    </row>
    <row r="1796" spans="1:14" x14ac:dyDescent="0.35">
      <c r="A1796" s="1">
        <v>1640</v>
      </c>
      <c r="B1796">
        <v>9</v>
      </c>
      <c r="C1796">
        <v>55</v>
      </c>
      <c r="D1796">
        <v>2</v>
      </c>
      <c r="E1796">
        <v>0</v>
      </c>
      <c r="F1796">
        <v>3</v>
      </c>
      <c r="G1796">
        <v>3</v>
      </c>
      <c r="H1796">
        <v>0</v>
      </c>
      <c r="I1796">
        <v>18204.09</v>
      </c>
      <c r="J1796">
        <v>7</v>
      </c>
      <c r="K1796">
        <v>0</v>
      </c>
      <c r="L1796" s="4">
        <v>0.77682270495168082</v>
      </c>
      <c r="M1796" s="4">
        <v>0.22317729504831921</v>
      </c>
      <c r="N1796">
        <v>5</v>
      </c>
    </row>
    <row r="1797" spans="1:14" x14ac:dyDescent="0.35">
      <c r="A1797" s="1">
        <v>2407</v>
      </c>
      <c r="B1797">
        <v>7</v>
      </c>
      <c r="C1797">
        <v>45</v>
      </c>
      <c r="D1797">
        <v>2</v>
      </c>
      <c r="E1797">
        <v>0</v>
      </c>
      <c r="F1797">
        <v>3</v>
      </c>
      <c r="G1797">
        <v>3</v>
      </c>
      <c r="H1797">
        <v>2</v>
      </c>
      <c r="I1797">
        <v>2000</v>
      </c>
      <c r="J1797">
        <v>5</v>
      </c>
      <c r="K1797">
        <v>0</v>
      </c>
      <c r="L1797" s="4">
        <v>0.77723814151603643</v>
      </c>
      <c r="M1797" s="4">
        <v>0.22276185848396349</v>
      </c>
      <c r="N1797">
        <v>5</v>
      </c>
    </row>
    <row r="1798" spans="1:14" x14ac:dyDescent="0.35">
      <c r="A1798" s="1">
        <v>704</v>
      </c>
      <c r="B1798">
        <v>7</v>
      </c>
      <c r="C1798">
        <v>45</v>
      </c>
      <c r="D1798">
        <v>2</v>
      </c>
      <c r="E1798">
        <v>0</v>
      </c>
      <c r="F1798">
        <v>0</v>
      </c>
      <c r="G1798">
        <v>10</v>
      </c>
      <c r="H1798">
        <v>3</v>
      </c>
      <c r="I1798">
        <v>0.01</v>
      </c>
      <c r="J1798">
        <v>4</v>
      </c>
      <c r="K1798">
        <v>0</v>
      </c>
      <c r="L1798" s="4">
        <v>0.77752731492637772</v>
      </c>
      <c r="M1798" s="4">
        <v>0.22247268507362231</v>
      </c>
      <c r="N1798">
        <v>5</v>
      </c>
    </row>
    <row r="1799" spans="1:14" x14ac:dyDescent="0.35">
      <c r="A1799" s="1">
        <v>222</v>
      </c>
      <c r="B1799">
        <v>12</v>
      </c>
      <c r="C1799">
        <v>61</v>
      </c>
      <c r="D1799">
        <v>4</v>
      </c>
      <c r="E1799">
        <v>1</v>
      </c>
      <c r="F1799">
        <v>0</v>
      </c>
      <c r="G1799">
        <v>2</v>
      </c>
      <c r="H1799">
        <v>2</v>
      </c>
      <c r="I1799">
        <v>1500</v>
      </c>
      <c r="J1799">
        <v>5</v>
      </c>
      <c r="K1799">
        <v>1</v>
      </c>
      <c r="L1799" s="4">
        <v>0.77763940394867559</v>
      </c>
      <c r="M1799" s="4">
        <v>0.22236059605132441</v>
      </c>
      <c r="N1799">
        <v>5</v>
      </c>
    </row>
    <row r="1800" spans="1:14" x14ac:dyDescent="0.35">
      <c r="A1800" s="1">
        <v>4226</v>
      </c>
      <c r="B1800">
        <v>10</v>
      </c>
      <c r="C1800">
        <v>60</v>
      </c>
      <c r="D1800">
        <v>2</v>
      </c>
      <c r="E1800">
        <v>0</v>
      </c>
      <c r="F1800">
        <v>0</v>
      </c>
      <c r="G1800">
        <v>4</v>
      </c>
      <c r="H1800">
        <v>0</v>
      </c>
      <c r="I1800">
        <v>6000</v>
      </c>
      <c r="J1800">
        <v>1</v>
      </c>
      <c r="K1800">
        <v>1</v>
      </c>
      <c r="L1800" s="4">
        <v>0.77764362301157552</v>
      </c>
      <c r="M1800" s="4">
        <v>0.2223563769884245</v>
      </c>
      <c r="N1800">
        <v>5</v>
      </c>
    </row>
    <row r="1801" spans="1:14" x14ac:dyDescent="0.35">
      <c r="A1801" s="1">
        <v>1179</v>
      </c>
      <c r="B1801">
        <v>6</v>
      </c>
      <c r="C1801">
        <v>40</v>
      </c>
      <c r="D1801">
        <v>4</v>
      </c>
      <c r="E1801">
        <v>0</v>
      </c>
      <c r="F1801">
        <v>2</v>
      </c>
      <c r="G1801">
        <v>1</v>
      </c>
      <c r="H1801">
        <v>3</v>
      </c>
      <c r="I1801">
        <v>0.01</v>
      </c>
      <c r="J1801">
        <v>5</v>
      </c>
      <c r="K1801">
        <v>0</v>
      </c>
      <c r="L1801" s="4">
        <v>0.7778060916872872</v>
      </c>
      <c r="M1801" s="4">
        <v>0.2221939083127128</v>
      </c>
      <c r="N1801">
        <v>5</v>
      </c>
    </row>
    <row r="1802" spans="1:14" x14ac:dyDescent="0.35">
      <c r="A1802" s="1">
        <v>2060</v>
      </c>
      <c r="B1802">
        <v>8</v>
      </c>
      <c r="C1802">
        <v>47</v>
      </c>
      <c r="D1802">
        <v>3</v>
      </c>
      <c r="E1802">
        <v>0</v>
      </c>
      <c r="F1802">
        <v>4</v>
      </c>
      <c r="G1802">
        <v>9</v>
      </c>
      <c r="H1802">
        <v>3</v>
      </c>
      <c r="I1802">
        <v>0.01</v>
      </c>
      <c r="J1802">
        <v>11</v>
      </c>
      <c r="K1802">
        <v>0</v>
      </c>
      <c r="L1802" s="4">
        <v>0.77789856093652421</v>
      </c>
      <c r="M1802" s="4">
        <v>0.22210143906347579</v>
      </c>
      <c r="N1802">
        <v>5</v>
      </c>
    </row>
    <row r="1803" spans="1:14" x14ac:dyDescent="0.35">
      <c r="A1803" s="1">
        <v>1068</v>
      </c>
      <c r="B1803">
        <v>8</v>
      </c>
      <c r="C1803">
        <v>51</v>
      </c>
      <c r="D1803">
        <v>1</v>
      </c>
      <c r="E1803">
        <v>0</v>
      </c>
      <c r="F1803">
        <v>0</v>
      </c>
      <c r="G1803">
        <v>4</v>
      </c>
      <c r="H1803">
        <v>2</v>
      </c>
      <c r="I1803">
        <v>3000</v>
      </c>
      <c r="J1803">
        <v>9</v>
      </c>
      <c r="K1803">
        <v>0</v>
      </c>
      <c r="L1803" s="4">
        <v>0.77801402303908063</v>
      </c>
      <c r="M1803" s="4">
        <v>0.2219859769609194</v>
      </c>
      <c r="N1803">
        <v>5</v>
      </c>
    </row>
    <row r="1804" spans="1:14" x14ac:dyDescent="0.35">
      <c r="A1804" s="1">
        <v>170</v>
      </c>
      <c r="B1804">
        <v>9</v>
      </c>
      <c r="C1804">
        <v>45</v>
      </c>
      <c r="D1804">
        <v>2</v>
      </c>
      <c r="E1804">
        <v>2</v>
      </c>
      <c r="F1804">
        <v>3</v>
      </c>
      <c r="G1804">
        <v>3</v>
      </c>
      <c r="H1804">
        <v>0</v>
      </c>
      <c r="I1804">
        <v>10000</v>
      </c>
      <c r="J1804">
        <v>3</v>
      </c>
      <c r="K1804">
        <v>0</v>
      </c>
      <c r="L1804" s="4">
        <v>0.77813293697887964</v>
      </c>
      <c r="M1804" s="4">
        <v>0.2218670630211203</v>
      </c>
      <c r="N1804">
        <v>5</v>
      </c>
    </row>
    <row r="1805" spans="1:14" x14ac:dyDescent="0.35">
      <c r="A1805" s="1">
        <v>992</v>
      </c>
      <c r="B1805">
        <v>9</v>
      </c>
      <c r="C1805">
        <v>52</v>
      </c>
      <c r="D1805">
        <v>2</v>
      </c>
      <c r="E1805">
        <v>0</v>
      </c>
      <c r="F1805">
        <v>3</v>
      </c>
      <c r="G1805">
        <v>8</v>
      </c>
      <c r="H1805">
        <v>3</v>
      </c>
      <c r="I1805">
        <v>0.01</v>
      </c>
      <c r="J1805">
        <v>7</v>
      </c>
      <c r="K1805">
        <v>0</v>
      </c>
      <c r="L1805" s="4">
        <v>0.77825693850233901</v>
      </c>
      <c r="M1805" s="4">
        <v>0.2217430614976609</v>
      </c>
      <c r="N1805">
        <v>5</v>
      </c>
    </row>
    <row r="1806" spans="1:14" x14ac:dyDescent="0.35">
      <c r="A1806" s="1">
        <v>457</v>
      </c>
      <c r="B1806">
        <v>9</v>
      </c>
      <c r="C1806">
        <v>55</v>
      </c>
      <c r="D1806">
        <v>2</v>
      </c>
      <c r="E1806">
        <v>0</v>
      </c>
      <c r="F1806">
        <v>3</v>
      </c>
      <c r="G1806">
        <v>3</v>
      </c>
      <c r="H1806">
        <v>0</v>
      </c>
      <c r="I1806">
        <v>12000</v>
      </c>
      <c r="J1806">
        <v>8</v>
      </c>
      <c r="K1806">
        <v>0</v>
      </c>
      <c r="L1806" s="4">
        <v>0.77832932166876012</v>
      </c>
      <c r="M1806" s="4">
        <v>0.22167067833123991</v>
      </c>
      <c r="N1806">
        <v>5</v>
      </c>
    </row>
    <row r="1807" spans="1:14" x14ac:dyDescent="0.35">
      <c r="A1807" s="1">
        <v>2719</v>
      </c>
      <c r="B1807">
        <v>8</v>
      </c>
      <c r="C1807">
        <v>48</v>
      </c>
      <c r="D1807">
        <v>2</v>
      </c>
      <c r="E1807">
        <v>0</v>
      </c>
      <c r="F1807">
        <v>3</v>
      </c>
      <c r="G1807">
        <v>8</v>
      </c>
      <c r="H1807">
        <v>3</v>
      </c>
      <c r="I1807">
        <v>0.01</v>
      </c>
      <c r="J1807">
        <v>9</v>
      </c>
      <c r="K1807">
        <v>0</v>
      </c>
      <c r="L1807" s="4">
        <v>0.77833486584533917</v>
      </c>
      <c r="M1807" s="4">
        <v>0.22166513415466091</v>
      </c>
      <c r="N1807">
        <v>5</v>
      </c>
    </row>
    <row r="1808" spans="1:14" x14ac:dyDescent="0.35">
      <c r="A1808" s="1">
        <v>1431</v>
      </c>
      <c r="B1808">
        <v>10</v>
      </c>
      <c r="C1808">
        <v>51</v>
      </c>
      <c r="D1808">
        <v>4</v>
      </c>
      <c r="E1808">
        <v>1</v>
      </c>
      <c r="F1808">
        <v>4</v>
      </c>
      <c r="G1808">
        <v>9</v>
      </c>
      <c r="H1808">
        <v>2</v>
      </c>
      <c r="I1808">
        <v>4000</v>
      </c>
      <c r="J1808">
        <v>28</v>
      </c>
      <c r="K1808">
        <v>0</v>
      </c>
      <c r="L1808" s="4">
        <v>0.77837115066741869</v>
      </c>
      <c r="M1808" s="4">
        <v>0.22162884933258131</v>
      </c>
      <c r="N1808">
        <v>5</v>
      </c>
    </row>
    <row r="1809" spans="1:14" x14ac:dyDescent="0.35">
      <c r="A1809" s="1">
        <v>4014</v>
      </c>
      <c r="B1809">
        <v>9</v>
      </c>
      <c r="C1809">
        <v>54</v>
      </c>
      <c r="D1809">
        <v>4</v>
      </c>
      <c r="E1809">
        <v>0</v>
      </c>
      <c r="F1809">
        <v>1</v>
      </c>
      <c r="G1809">
        <v>12</v>
      </c>
      <c r="H1809">
        <v>0</v>
      </c>
      <c r="I1809">
        <v>7000</v>
      </c>
      <c r="J1809">
        <v>2</v>
      </c>
      <c r="K1809">
        <v>0</v>
      </c>
      <c r="L1809" s="4">
        <v>0.7784593132711416</v>
      </c>
      <c r="M1809" s="4">
        <v>0.2215406867288584</v>
      </c>
      <c r="N1809">
        <v>5</v>
      </c>
    </row>
    <row r="1810" spans="1:14" x14ac:dyDescent="0.35">
      <c r="A1810" s="1">
        <v>862</v>
      </c>
      <c r="B1810">
        <v>8</v>
      </c>
      <c r="C1810">
        <v>50</v>
      </c>
      <c r="D1810">
        <v>0</v>
      </c>
      <c r="E1810">
        <v>0</v>
      </c>
      <c r="F1810">
        <v>3</v>
      </c>
      <c r="G1810">
        <v>3</v>
      </c>
      <c r="H1810">
        <v>2</v>
      </c>
      <c r="I1810">
        <v>3000</v>
      </c>
      <c r="J1810">
        <v>1</v>
      </c>
      <c r="K1810">
        <v>0</v>
      </c>
      <c r="L1810" s="4">
        <v>0.77863326678298683</v>
      </c>
      <c r="M1810" s="4">
        <v>0.2213667332170132</v>
      </c>
      <c r="N1810">
        <v>5</v>
      </c>
    </row>
    <row r="1811" spans="1:14" x14ac:dyDescent="0.35">
      <c r="A1811" s="1">
        <v>474</v>
      </c>
      <c r="B1811">
        <v>10</v>
      </c>
      <c r="C1811">
        <v>60</v>
      </c>
      <c r="D1811">
        <v>1</v>
      </c>
      <c r="E1811">
        <v>0</v>
      </c>
      <c r="F1811">
        <v>1</v>
      </c>
      <c r="G1811">
        <v>7</v>
      </c>
      <c r="H1811">
        <v>0</v>
      </c>
      <c r="I1811">
        <v>11000</v>
      </c>
      <c r="J1811">
        <v>4</v>
      </c>
      <c r="K1811">
        <v>0</v>
      </c>
      <c r="L1811" s="4">
        <v>0.77879640857398602</v>
      </c>
      <c r="M1811" s="4">
        <v>0.2212035914260139</v>
      </c>
      <c r="N1811">
        <v>5</v>
      </c>
    </row>
    <row r="1812" spans="1:14" x14ac:dyDescent="0.35">
      <c r="A1812" s="1">
        <v>1757</v>
      </c>
      <c r="B1812">
        <v>7</v>
      </c>
      <c r="C1812">
        <v>39</v>
      </c>
      <c r="D1812">
        <v>3</v>
      </c>
      <c r="E1812">
        <v>1</v>
      </c>
      <c r="F1812">
        <v>3</v>
      </c>
      <c r="G1812">
        <v>3</v>
      </c>
      <c r="H1812">
        <v>3</v>
      </c>
      <c r="I1812">
        <v>0.01</v>
      </c>
      <c r="J1812">
        <v>4</v>
      </c>
      <c r="K1812">
        <v>0</v>
      </c>
      <c r="L1812" s="4">
        <v>0.77883641848098062</v>
      </c>
      <c r="M1812" s="4">
        <v>0.2211635815190193</v>
      </c>
      <c r="N1812">
        <v>5</v>
      </c>
    </row>
    <row r="1813" spans="1:14" x14ac:dyDescent="0.35">
      <c r="A1813" s="1">
        <v>2039</v>
      </c>
      <c r="B1813">
        <v>9</v>
      </c>
      <c r="C1813">
        <v>52</v>
      </c>
      <c r="D1813">
        <v>4</v>
      </c>
      <c r="E1813">
        <v>0</v>
      </c>
      <c r="F1813">
        <v>3</v>
      </c>
      <c r="G1813">
        <v>8</v>
      </c>
      <c r="H1813">
        <v>2</v>
      </c>
      <c r="I1813">
        <v>4000</v>
      </c>
      <c r="J1813">
        <v>6</v>
      </c>
      <c r="K1813">
        <v>0</v>
      </c>
      <c r="L1813" s="4">
        <v>0.77884893369645303</v>
      </c>
      <c r="M1813" s="4">
        <v>0.22115106630354689</v>
      </c>
      <c r="N1813">
        <v>5</v>
      </c>
    </row>
    <row r="1814" spans="1:14" x14ac:dyDescent="0.35">
      <c r="A1814" s="1">
        <v>4176</v>
      </c>
      <c r="B1814">
        <v>8</v>
      </c>
      <c r="C1814">
        <v>50</v>
      </c>
      <c r="D1814">
        <v>2</v>
      </c>
      <c r="E1814">
        <v>0</v>
      </c>
      <c r="F1814">
        <v>0</v>
      </c>
      <c r="G1814">
        <v>10</v>
      </c>
      <c r="H1814">
        <v>2</v>
      </c>
      <c r="I1814">
        <v>3000</v>
      </c>
      <c r="J1814">
        <v>4</v>
      </c>
      <c r="K1814">
        <v>0</v>
      </c>
      <c r="L1814" s="4">
        <v>0.77896089775770405</v>
      </c>
      <c r="M1814" s="4">
        <v>0.22103910224229589</v>
      </c>
      <c r="N1814">
        <v>5</v>
      </c>
    </row>
    <row r="1815" spans="1:14" x14ac:dyDescent="0.35">
      <c r="A1815" s="1">
        <v>3348</v>
      </c>
      <c r="B1815">
        <v>12</v>
      </c>
      <c r="C1815">
        <v>60</v>
      </c>
      <c r="D1815">
        <v>3</v>
      </c>
      <c r="E1815">
        <v>1</v>
      </c>
      <c r="F1815">
        <v>3</v>
      </c>
      <c r="G1815">
        <v>3</v>
      </c>
      <c r="H1815">
        <v>2</v>
      </c>
      <c r="I1815">
        <v>920</v>
      </c>
      <c r="J1815">
        <v>3</v>
      </c>
      <c r="K1815">
        <v>0</v>
      </c>
      <c r="L1815" s="4">
        <v>0.77898387680155534</v>
      </c>
      <c r="M1815" s="4">
        <v>0.2210161231984446</v>
      </c>
      <c r="N1815">
        <v>5</v>
      </c>
    </row>
    <row r="1816" spans="1:14" x14ac:dyDescent="0.35">
      <c r="A1816" s="1">
        <v>2420</v>
      </c>
      <c r="B1816">
        <v>8</v>
      </c>
      <c r="C1816">
        <v>44</v>
      </c>
      <c r="D1816">
        <v>4</v>
      </c>
      <c r="E1816">
        <v>1</v>
      </c>
      <c r="F1816">
        <v>1</v>
      </c>
      <c r="G1816">
        <v>7</v>
      </c>
      <c r="H1816">
        <v>2</v>
      </c>
      <c r="I1816">
        <v>3000</v>
      </c>
      <c r="J1816">
        <v>2</v>
      </c>
      <c r="K1816">
        <v>0</v>
      </c>
      <c r="L1816" s="4">
        <v>0.77923023805307856</v>
      </c>
      <c r="M1816" s="4">
        <v>0.22076976194692149</v>
      </c>
      <c r="N1816">
        <v>5</v>
      </c>
    </row>
    <row r="1817" spans="1:14" x14ac:dyDescent="0.35">
      <c r="A1817" s="1">
        <v>4203</v>
      </c>
      <c r="B1817">
        <v>6</v>
      </c>
      <c r="C1817">
        <v>42</v>
      </c>
      <c r="D1817">
        <v>0</v>
      </c>
      <c r="E1817">
        <v>0</v>
      </c>
      <c r="F1817">
        <v>3</v>
      </c>
      <c r="G1817">
        <v>3</v>
      </c>
      <c r="H1817">
        <v>2</v>
      </c>
      <c r="I1817">
        <v>3000</v>
      </c>
      <c r="J1817">
        <v>3</v>
      </c>
      <c r="K1817">
        <v>0</v>
      </c>
      <c r="L1817" s="4">
        <v>0.77923136731721321</v>
      </c>
      <c r="M1817" s="4">
        <v>0.22076863268278679</v>
      </c>
      <c r="N1817">
        <v>5</v>
      </c>
    </row>
    <row r="1818" spans="1:14" x14ac:dyDescent="0.35">
      <c r="A1818" s="1">
        <v>4417</v>
      </c>
      <c r="B1818">
        <v>8</v>
      </c>
      <c r="C1818">
        <v>50</v>
      </c>
      <c r="D1818">
        <v>5</v>
      </c>
      <c r="E1818">
        <v>0</v>
      </c>
      <c r="F1818">
        <v>1</v>
      </c>
      <c r="G1818">
        <v>7</v>
      </c>
      <c r="H1818">
        <v>0</v>
      </c>
      <c r="I1818">
        <v>6000</v>
      </c>
      <c r="J1818">
        <v>1</v>
      </c>
      <c r="K1818">
        <v>0</v>
      </c>
      <c r="L1818" s="4">
        <v>0.77928141466402767</v>
      </c>
      <c r="M1818" s="4">
        <v>0.2207185853359723</v>
      </c>
      <c r="N1818">
        <v>5</v>
      </c>
    </row>
    <row r="1819" spans="1:14" x14ac:dyDescent="0.35">
      <c r="A1819" s="1">
        <v>825</v>
      </c>
      <c r="B1819">
        <v>7</v>
      </c>
      <c r="C1819">
        <v>44</v>
      </c>
      <c r="D1819">
        <v>3</v>
      </c>
      <c r="E1819">
        <v>0</v>
      </c>
      <c r="F1819">
        <v>3</v>
      </c>
      <c r="G1819">
        <v>3</v>
      </c>
      <c r="H1819">
        <v>3</v>
      </c>
      <c r="I1819">
        <v>0.01</v>
      </c>
      <c r="J1819">
        <v>5</v>
      </c>
      <c r="K1819">
        <v>1</v>
      </c>
      <c r="L1819" s="4">
        <v>0.77954317334564671</v>
      </c>
      <c r="M1819" s="4">
        <v>0.22045682665435329</v>
      </c>
      <c r="N1819">
        <v>5</v>
      </c>
    </row>
    <row r="1820" spans="1:14" x14ac:dyDescent="0.35">
      <c r="A1820" s="1">
        <v>1828</v>
      </c>
      <c r="B1820">
        <v>8</v>
      </c>
      <c r="C1820">
        <v>45</v>
      </c>
      <c r="D1820">
        <v>4</v>
      </c>
      <c r="E1820">
        <v>1</v>
      </c>
      <c r="F1820">
        <v>3</v>
      </c>
      <c r="G1820">
        <v>3</v>
      </c>
      <c r="H1820">
        <v>0</v>
      </c>
      <c r="I1820">
        <v>6000</v>
      </c>
      <c r="J1820">
        <v>2</v>
      </c>
      <c r="K1820">
        <v>0</v>
      </c>
      <c r="L1820" s="4">
        <v>0.77960997402763366</v>
      </c>
      <c r="M1820" s="4">
        <v>0.22039002597236629</v>
      </c>
      <c r="N1820">
        <v>5</v>
      </c>
    </row>
    <row r="1821" spans="1:14" x14ac:dyDescent="0.35">
      <c r="A1821" s="1">
        <v>1785</v>
      </c>
      <c r="B1821">
        <v>10</v>
      </c>
      <c r="C1821">
        <v>52</v>
      </c>
      <c r="D1821">
        <v>3</v>
      </c>
      <c r="E1821">
        <v>1</v>
      </c>
      <c r="F1821">
        <v>3</v>
      </c>
      <c r="G1821">
        <v>3</v>
      </c>
      <c r="H1821">
        <v>2</v>
      </c>
      <c r="I1821">
        <v>2400</v>
      </c>
      <c r="J1821">
        <v>3</v>
      </c>
      <c r="K1821">
        <v>1</v>
      </c>
      <c r="L1821" s="4">
        <v>0.77961316868146868</v>
      </c>
      <c r="M1821" s="4">
        <v>0.2203868313185314</v>
      </c>
      <c r="N1821">
        <v>5</v>
      </c>
    </row>
    <row r="1822" spans="1:14" x14ac:dyDescent="0.35">
      <c r="A1822" s="1">
        <v>1537</v>
      </c>
      <c r="B1822">
        <v>5</v>
      </c>
      <c r="C1822">
        <v>37</v>
      </c>
      <c r="D1822">
        <v>4</v>
      </c>
      <c r="E1822">
        <v>0</v>
      </c>
      <c r="F1822">
        <v>0</v>
      </c>
      <c r="G1822">
        <v>2</v>
      </c>
      <c r="H1822">
        <v>3</v>
      </c>
      <c r="I1822">
        <v>0.01</v>
      </c>
      <c r="J1822">
        <v>5</v>
      </c>
      <c r="K1822">
        <v>0</v>
      </c>
      <c r="L1822" s="4">
        <v>0.77984480023150282</v>
      </c>
      <c r="M1822" s="4">
        <v>0.2201551997684971</v>
      </c>
      <c r="N1822">
        <v>5</v>
      </c>
    </row>
    <row r="1823" spans="1:14" x14ac:dyDescent="0.35">
      <c r="A1823" s="1">
        <v>198</v>
      </c>
      <c r="B1823">
        <v>9</v>
      </c>
      <c r="C1823">
        <v>49</v>
      </c>
      <c r="D1823">
        <v>2</v>
      </c>
      <c r="E1823">
        <v>1</v>
      </c>
      <c r="F1823">
        <v>1</v>
      </c>
      <c r="G1823">
        <v>7</v>
      </c>
      <c r="H1823">
        <v>2</v>
      </c>
      <c r="I1823">
        <v>1920</v>
      </c>
      <c r="J1823">
        <v>4</v>
      </c>
      <c r="K1823">
        <v>0</v>
      </c>
      <c r="L1823" s="4">
        <v>0.77986900138324056</v>
      </c>
      <c r="M1823" s="4">
        <v>0.2201309986167595</v>
      </c>
      <c r="N1823">
        <v>5</v>
      </c>
    </row>
    <row r="1824" spans="1:14" x14ac:dyDescent="0.35">
      <c r="A1824" s="1">
        <v>1479</v>
      </c>
      <c r="B1824">
        <v>13</v>
      </c>
      <c r="C1824">
        <v>70</v>
      </c>
      <c r="D1824">
        <v>4</v>
      </c>
      <c r="E1824">
        <v>0</v>
      </c>
      <c r="F1824">
        <v>0</v>
      </c>
      <c r="G1824">
        <v>4</v>
      </c>
      <c r="H1824">
        <v>2</v>
      </c>
      <c r="I1824">
        <v>4000</v>
      </c>
      <c r="J1824">
        <v>1</v>
      </c>
      <c r="K1824">
        <v>0</v>
      </c>
      <c r="L1824" s="4">
        <v>0.78013010028969076</v>
      </c>
      <c r="M1824" s="4">
        <v>0.21986989971030929</v>
      </c>
      <c r="N1824">
        <v>5</v>
      </c>
    </row>
    <row r="1825" spans="1:14" x14ac:dyDescent="0.35">
      <c r="A1825" s="1">
        <v>3786</v>
      </c>
      <c r="B1825">
        <v>14</v>
      </c>
      <c r="C1825">
        <v>74</v>
      </c>
      <c r="D1825">
        <v>5</v>
      </c>
      <c r="E1825">
        <v>0</v>
      </c>
      <c r="F1825">
        <v>1</v>
      </c>
      <c r="G1825">
        <v>12</v>
      </c>
      <c r="H1825">
        <v>0</v>
      </c>
      <c r="I1825">
        <v>6053.34</v>
      </c>
      <c r="J1825">
        <v>4</v>
      </c>
      <c r="K1825">
        <v>1</v>
      </c>
      <c r="L1825" s="4">
        <v>0.78020465880735812</v>
      </c>
      <c r="M1825" s="4">
        <v>0.21979534119264191</v>
      </c>
      <c r="N1825">
        <v>5</v>
      </c>
    </row>
    <row r="1826" spans="1:14" x14ac:dyDescent="0.35">
      <c r="A1826" s="1">
        <v>3684</v>
      </c>
      <c r="B1826">
        <v>11</v>
      </c>
      <c r="C1826">
        <v>63</v>
      </c>
      <c r="D1826">
        <v>2</v>
      </c>
      <c r="E1826">
        <v>0</v>
      </c>
      <c r="F1826">
        <v>3</v>
      </c>
      <c r="G1826">
        <v>3</v>
      </c>
      <c r="H1826">
        <v>0</v>
      </c>
      <c r="I1826">
        <v>6000</v>
      </c>
      <c r="J1826">
        <v>2</v>
      </c>
      <c r="K1826">
        <v>1</v>
      </c>
      <c r="L1826" s="4">
        <v>0.780278696276828</v>
      </c>
      <c r="M1826" s="4">
        <v>0.219721303723172</v>
      </c>
      <c r="N1826">
        <v>5</v>
      </c>
    </row>
    <row r="1827" spans="1:14" x14ac:dyDescent="0.35">
      <c r="A1827" s="1">
        <v>1031</v>
      </c>
      <c r="B1827">
        <v>5</v>
      </c>
      <c r="C1827">
        <v>32</v>
      </c>
      <c r="D1827">
        <v>1</v>
      </c>
      <c r="E1827">
        <v>1</v>
      </c>
      <c r="F1827">
        <v>3</v>
      </c>
      <c r="G1827">
        <v>3</v>
      </c>
      <c r="H1827">
        <v>3</v>
      </c>
      <c r="I1827">
        <v>0.01</v>
      </c>
      <c r="J1827">
        <v>8</v>
      </c>
      <c r="K1827">
        <v>0</v>
      </c>
      <c r="L1827" s="4">
        <v>0.78029225662018586</v>
      </c>
      <c r="M1827" s="4">
        <v>0.21970774337981411</v>
      </c>
      <c r="N1827">
        <v>5</v>
      </c>
    </row>
    <row r="1828" spans="1:14" x14ac:dyDescent="0.35">
      <c r="A1828" s="1">
        <v>2245</v>
      </c>
      <c r="B1828">
        <v>3</v>
      </c>
      <c r="C1828">
        <v>29</v>
      </c>
      <c r="D1828">
        <v>2</v>
      </c>
      <c r="E1828">
        <v>0</v>
      </c>
      <c r="F1828">
        <v>0</v>
      </c>
      <c r="G1828">
        <v>11</v>
      </c>
      <c r="H1828">
        <v>3</v>
      </c>
      <c r="I1828">
        <v>0.01</v>
      </c>
      <c r="J1828">
        <v>5</v>
      </c>
      <c r="K1828">
        <v>0</v>
      </c>
      <c r="L1828" s="4">
        <v>0.78033262374830592</v>
      </c>
      <c r="M1828" s="4">
        <v>0.21966737625169411</v>
      </c>
      <c r="N1828">
        <v>5</v>
      </c>
    </row>
    <row r="1829" spans="1:14" x14ac:dyDescent="0.35">
      <c r="A1829" s="1">
        <v>3680</v>
      </c>
      <c r="B1829">
        <v>11</v>
      </c>
      <c r="C1829">
        <v>63</v>
      </c>
      <c r="D1829">
        <v>2</v>
      </c>
      <c r="E1829">
        <v>0</v>
      </c>
      <c r="F1829">
        <v>3</v>
      </c>
      <c r="G1829">
        <v>3</v>
      </c>
      <c r="H1829">
        <v>0</v>
      </c>
      <c r="I1829">
        <v>6000</v>
      </c>
      <c r="J1829">
        <v>1</v>
      </c>
      <c r="K1829">
        <v>1</v>
      </c>
      <c r="L1829" s="4">
        <v>0.7804989326134224</v>
      </c>
      <c r="M1829" s="4">
        <v>0.2195010673865776</v>
      </c>
      <c r="N1829">
        <v>5</v>
      </c>
    </row>
    <row r="1830" spans="1:14" x14ac:dyDescent="0.35">
      <c r="A1830" s="1">
        <v>1619</v>
      </c>
      <c r="B1830">
        <v>8</v>
      </c>
      <c r="C1830">
        <v>52</v>
      </c>
      <c r="D1830">
        <v>1</v>
      </c>
      <c r="E1830">
        <v>0</v>
      </c>
      <c r="F1830">
        <v>0</v>
      </c>
      <c r="G1830">
        <v>11</v>
      </c>
      <c r="H1830">
        <v>0</v>
      </c>
      <c r="I1830">
        <v>6000</v>
      </c>
      <c r="J1830">
        <v>2</v>
      </c>
      <c r="K1830">
        <v>0</v>
      </c>
      <c r="L1830" s="4">
        <v>0.78054909102093495</v>
      </c>
      <c r="M1830" s="4">
        <v>0.21945090897906511</v>
      </c>
      <c r="N1830">
        <v>5</v>
      </c>
    </row>
    <row r="1831" spans="1:14" x14ac:dyDescent="0.35">
      <c r="A1831" s="1">
        <v>1726</v>
      </c>
      <c r="B1831">
        <v>8</v>
      </c>
      <c r="C1831">
        <v>48</v>
      </c>
      <c r="D1831">
        <v>5</v>
      </c>
      <c r="E1831">
        <v>0</v>
      </c>
      <c r="F1831">
        <v>3</v>
      </c>
      <c r="G1831">
        <v>3</v>
      </c>
      <c r="H1831">
        <v>2</v>
      </c>
      <c r="I1831">
        <v>600</v>
      </c>
      <c r="J1831">
        <v>4</v>
      </c>
      <c r="K1831">
        <v>0</v>
      </c>
      <c r="L1831" s="4">
        <v>0.7805537651242187</v>
      </c>
      <c r="M1831" s="4">
        <v>0.21944623487578119</v>
      </c>
      <c r="N1831">
        <v>5</v>
      </c>
    </row>
    <row r="1832" spans="1:14" x14ac:dyDescent="0.35">
      <c r="A1832" s="1">
        <v>2107</v>
      </c>
      <c r="B1832">
        <v>7</v>
      </c>
      <c r="C1832">
        <v>46</v>
      </c>
      <c r="D1832">
        <v>4</v>
      </c>
      <c r="E1832">
        <v>0</v>
      </c>
      <c r="F1832">
        <v>3</v>
      </c>
      <c r="G1832">
        <v>3</v>
      </c>
      <c r="H1832">
        <v>0</v>
      </c>
      <c r="I1832">
        <v>7000</v>
      </c>
      <c r="J1832">
        <v>3</v>
      </c>
      <c r="K1832">
        <v>0</v>
      </c>
      <c r="L1832" s="4">
        <v>0.78055665082459569</v>
      </c>
      <c r="M1832" s="4">
        <v>0.21944334917540431</v>
      </c>
      <c r="N1832">
        <v>5</v>
      </c>
    </row>
    <row r="1833" spans="1:14" x14ac:dyDescent="0.35">
      <c r="A1833" s="1">
        <v>315</v>
      </c>
      <c r="B1833">
        <v>8</v>
      </c>
      <c r="C1833">
        <v>50</v>
      </c>
      <c r="D1833">
        <v>2</v>
      </c>
      <c r="E1833">
        <v>0</v>
      </c>
      <c r="F1833">
        <v>0</v>
      </c>
      <c r="G1833">
        <v>4</v>
      </c>
      <c r="H1833">
        <v>3</v>
      </c>
      <c r="I1833">
        <v>0.01</v>
      </c>
      <c r="J1833">
        <v>9</v>
      </c>
      <c r="K1833">
        <v>1</v>
      </c>
      <c r="L1833" s="4">
        <v>0.78058937727710753</v>
      </c>
      <c r="M1833" s="4">
        <v>0.2194106227228925</v>
      </c>
      <c r="N1833">
        <v>5</v>
      </c>
    </row>
    <row r="1834" spans="1:14" x14ac:dyDescent="0.35">
      <c r="A1834" s="1">
        <v>2666</v>
      </c>
      <c r="B1834">
        <v>10</v>
      </c>
      <c r="C1834">
        <v>58</v>
      </c>
      <c r="D1834">
        <v>2</v>
      </c>
      <c r="E1834">
        <v>0</v>
      </c>
      <c r="F1834">
        <v>2</v>
      </c>
      <c r="G1834">
        <v>1</v>
      </c>
      <c r="H1834">
        <v>2</v>
      </c>
      <c r="I1834">
        <v>100</v>
      </c>
      <c r="J1834">
        <v>1</v>
      </c>
      <c r="K1834">
        <v>1</v>
      </c>
      <c r="L1834" s="4">
        <v>0.78066568221506683</v>
      </c>
      <c r="M1834" s="4">
        <v>0.2193343177849332</v>
      </c>
      <c r="N1834">
        <v>5</v>
      </c>
    </row>
    <row r="1835" spans="1:14" x14ac:dyDescent="0.35">
      <c r="A1835" s="1">
        <v>1794</v>
      </c>
      <c r="B1835">
        <v>11</v>
      </c>
      <c r="C1835">
        <v>64</v>
      </c>
      <c r="D1835">
        <v>0</v>
      </c>
      <c r="E1835">
        <v>0</v>
      </c>
      <c r="F1835">
        <v>3</v>
      </c>
      <c r="G1835">
        <v>3</v>
      </c>
      <c r="H1835">
        <v>0</v>
      </c>
      <c r="I1835">
        <v>6053.35</v>
      </c>
      <c r="J1835">
        <v>6</v>
      </c>
      <c r="K1835">
        <v>0</v>
      </c>
      <c r="L1835" s="4">
        <v>0.78068003244606099</v>
      </c>
      <c r="M1835" s="4">
        <v>0.21931996755393901</v>
      </c>
      <c r="N1835">
        <v>5</v>
      </c>
    </row>
    <row r="1836" spans="1:14" x14ac:dyDescent="0.35">
      <c r="A1836" s="1">
        <v>151</v>
      </c>
      <c r="B1836">
        <v>12</v>
      </c>
      <c r="C1836">
        <v>66</v>
      </c>
      <c r="D1836">
        <v>1</v>
      </c>
      <c r="E1836">
        <v>0</v>
      </c>
      <c r="F1836">
        <v>3</v>
      </c>
      <c r="G1836">
        <v>3</v>
      </c>
      <c r="H1836">
        <v>2</v>
      </c>
      <c r="I1836">
        <v>2000</v>
      </c>
      <c r="J1836">
        <v>4</v>
      </c>
      <c r="K1836">
        <v>1</v>
      </c>
      <c r="L1836" s="4">
        <v>0.78068984514388928</v>
      </c>
      <c r="M1836" s="4">
        <v>0.21931015485611069</v>
      </c>
      <c r="N1836">
        <v>5</v>
      </c>
    </row>
    <row r="1837" spans="1:14" x14ac:dyDescent="0.35">
      <c r="A1837" s="1">
        <v>635</v>
      </c>
      <c r="B1837">
        <v>8</v>
      </c>
      <c r="C1837">
        <v>48</v>
      </c>
      <c r="D1837">
        <v>5</v>
      </c>
      <c r="E1837">
        <v>0</v>
      </c>
      <c r="F1837">
        <v>0</v>
      </c>
      <c r="G1837">
        <v>11</v>
      </c>
      <c r="H1837">
        <v>3</v>
      </c>
      <c r="I1837">
        <v>0.01</v>
      </c>
      <c r="J1837">
        <v>6</v>
      </c>
      <c r="K1837">
        <v>0</v>
      </c>
      <c r="L1837" s="4">
        <v>0.78073347854732733</v>
      </c>
      <c r="M1837" s="4">
        <v>0.21926652145267261</v>
      </c>
      <c r="N1837">
        <v>5</v>
      </c>
    </row>
    <row r="1838" spans="1:14" x14ac:dyDescent="0.35">
      <c r="A1838" s="1">
        <v>1630</v>
      </c>
      <c r="B1838">
        <v>10</v>
      </c>
      <c r="C1838">
        <v>59</v>
      </c>
      <c r="D1838">
        <v>2</v>
      </c>
      <c r="E1838">
        <v>0</v>
      </c>
      <c r="F1838">
        <v>3</v>
      </c>
      <c r="G1838">
        <v>3</v>
      </c>
      <c r="H1838">
        <v>0</v>
      </c>
      <c r="I1838">
        <v>6000</v>
      </c>
      <c r="J1838">
        <v>2</v>
      </c>
      <c r="K1838">
        <v>1</v>
      </c>
      <c r="L1838" s="4">
        <v>0.78079631603600141</v>
      </c>
      <c r="M1838" s="4">
        <v>0.21920368396399861</v>
      </c>
      <c r="N1838">
        <v>5</v>
      </c>
    </row>
    <row r="1839" spans="1:14" x14ac:dyDescent="0.35">
      <c r="A1839" s="1">
        <v>1609</v>
      </c>
      <c r="B1839">
        <v>9</v>
      </c>
      <c r="C1839">
        <v>52</v>
      </c>
      <c r="D1839">
        <v>5</v>
      </c>
      <c r="E1839">
        <v>0</v>
      </c>
      <c r="F1839">
        <v>3</v>
      </c>
      <c r="G1839">
        <v>3</v>
      </c>
      <c r="H1839">
        <v>2</v>
      </c>
      <c r="I1839">
        <v>100</v>
      </c>
      <c r="J1839">
        <v>1</v>
      </c>
      <c r="K1839">
        <v>0</v>
      </c>
      <c r="L1839" s="4">
        <v>0.78083439050189807</v>
      </c>
      <c r="M1839" s="4">
        <v>0.2191656094981019</v>
      </c>
      <c r="N1839">
        <v>5</v>
      </c>
    </row>
    <row r="1840" spans="1:14" x14ac:dyDescent="0.35">
      <c r="A1840" s="1">
        <v>2226</v>
      </c>
      <c r="B1840">
        <v>13</v>
      </c>
      <c r="C1840">
        <v>72</v>
      </c>
      <c r="D1840">
        <v>4</v>
      </c>
      <c r="E1840">
        <v>0</v>
      </c>
      <c r="F1840">
        <v>0</v>
      </c>
      <c r="G1840">
        <v>2</v>
      </c>
      <c r="H1840">
        <v>0</v>
      </c>
      <c r="I1840">
        <v>11500</v>
      </c>
      <c r="J1840">
        <v>3</v>
      </c>
      <c r="K1840">
        <v>0</v>
      </c>
      <c r="L1840" s="4">
        <v>0.78127565811117849</v>
      </c>
      <c r="M1840" s="4">
        <v>0.21872434188882151</v>
      </c>
      <c r="N1840">
        <v>5</v>
      </c>
    </row>
    <row r="1841" spans="1:14" x14ac:dyDescent="0.35">
      <c r="A1841" s="1">
        <v>655</v>
      </c>
      <c r="B1841">
        <v>8</v>
      </c>
      <c r="C1841">
        <v>50</v>
      </c>
      <c r="D1841">
        <v>1</v>
      </c>
      <c r="E1841">
        <v>0</v>
      </c>
      <c r="F1841">
        <v>3</v>
      </c>
      <c r="G1841">
        <v>3</v>
      </c>
      <c r="H1841">
        <v>2</v>
      </c>
      <c r="I1841">
        <v>4000</v>
      </c>
      <c r="J1841">
        <v>8</v>
      </c>
      <c r="K1841">
        <v>0</v>
      </c>
      <c r="L1841" s="4">
        <v>0.78132681575427765</v>
      </c>
      <c r="M1841" s="4">
        <v>0.2186731842457223</v>
      </c>
      <c r="N1841">
        <v>5</v>
      </c>
    </row>
    <row r="1842" spans="1:14" x14ac:dyDescent="0.35">
      <c r="A1842" s="1">
        <v>4390</v>
      </c>
      <c r="B1842">
        <v>9</v>
      </c>
      <c r="C1842">
        <v>56</v>
      </c>
      <c r="D1842">
        <v>2</v>
      </c>
      <c r="E1842">
        <v>0</v>
      </c>
      <c r="F1842">
        <v>0</v>
      </c>
      <c r="G1842">
        <v>10</v>
      </c>
      <c r="H1842">
        <v>0</v>
      </c>
      <c r="I1842">
        <v>9000</v>
      </c>
      <c r="J1842">
        <v>8</v>
      </c>
      <c r="K1842">
        <v>0</v>
      </c>
      <c r="L1842" s="4">
        <v>0.78144657042398946</v>
      </c>
      <c r="M1842" s="4">
        <v>0.21855342957601051</v>
      </c>
      <c r="N1842">
        <v>5</v>
      </c>
    </row>
    <row r="1843" spans="1:14" x14ac:dyDescent="0.35">
      <c r="A1843" s="1">
        <v>1409</v>
      </c>
      <c r="B1843">
        <v>6</v>
      </c>
      <c r="C1843">
        <v>41</v>
      </c>
      <c r="D1843">
        <v>2</v>
      </c>
      <c r="E1843">
        <v>0</v>
      </c>
      <c r="F1843">
        <v>3</v>
      </c>
      <c r="G1843">
        <v>8</v>
      </c>
      <c r="H1843">
        <v>2</v>
      </c>
      <c r="I1843">
        <v>3000</v>
      </c>
      <c r="J1843">
        <v>8</v>
      </c>
      <c r="K1843">
        <v>0</v>
      </c>
      <c r="L1843" s="4">
        <v>0.7815370416966807</v>
      </c>
      <c r="M1843" s="4">
        <v>0.2184629583033193</v>
      </c>
      <c r="N1843">
        <v>5</v>
      </c>
    </row>
    <row r="1844" spans="1:14" x14ac:dyDescent="0.35">
      <c r="A1844" s="1">
        <v>3296</v>
      </c>
      <c r="B1844">
        <v>8</v>
      </c>
      <c r="C1844">
        <v>51</v>
      </c>
      <c r="D1844">
        <v>2</v>
      </c>
      <c r="E1844">
        <v>0</v>
      </c>
      <c r="F1844">
        <v>3</v>
      </c>
      <c r="G1844">
        <v>8</v>
      </c>
      <c r="H1844">
        <v>0</v>
      </c>
      <c r="I1844">
        <v>18106.7</v>
      </c>
      <c r="J1844">
        <v>9</v>
      </c>
      <c r="K1844">
        <v>0</v>
      </c>
      <c r="L1844" s="4">
        <v>0.78164891795464531</v>
      </c>
      <c r="M1844" s="4">
        <v>0.21835108204535469</v>
      </c>
      <c r="N1844">
        <v>5</v>
      </c>
    </row>
    <row r="1845" spans="1:14" x14ac:dyDescent="0.35">
      <c r="A1845" s="1">
        <v>1750</v>
      </c>
      <c r="B1845">
        <v>10</v>
      </c>
      <c r="C1845">
        <v>51</v>
      </c>
      <c r="D1845">
        <v>4</v>
      </c>
      <c r="E1845">
        <v>1</v>
      </c>
      <c r="F1845">
        <v>3</v>
      </c>
      <c r="G1845">
        <v>3</v>
      </c>
      <c r="H1845">
        <v>3</v>
      </c>
      <c r="I1845">
        <v>0.01</v>
      </c>
      <c r="J1845">
        <v>4</v>
      </c>
      <c r="K1845">
        <v>1</v>
      </c>
      <c r="L1845" s="4">
        <v>0.78179126467430171</v>
      </c>
      <c r="M1845" s="4">
        <v>0.21820873532569821</v>
      </c>
      <c r="N1845">
        <v>5</v>
      </c>
    </row>
    <row r="1846" spans="1:14" x14ac:dyDescent="0.35">
      <c r="A1846" s="1">
        <v>1210</v>
      </c>
      <c r="B1846">
        <v>5</v>
      </c>
      <c r="C1846">
        <v>31</v>
      </c>
      <c r="D1846">
        <v>5</v>
      </c>
      <c r="E1846">
        <v>1</v>
      </c>
      <c r="F1846">
        <v>0</v>
      </c>
      <c r="G1846">
        <v>11</v>
      </c>
      <c r="H1846">
        <v>3</v>
      </c>
      <c r="I1846">
        <v>0.01</v>
      </c>
      <c r="J1846">
        <v>4</v>
      </c>
      <c r="K1846">
        <v>0</v>
      </c>
      <c r="L1846" s="4">
        <v>0.78180025132936193</v>
      </c>
      <c r="M1846" s="4">
        <v>0.2181997486706381</v>
      </c>
      <c r="N1846">
        <v>5</v>
      </c>
    </row>
    <row r="1847" spans="1:14" x14ac:dyDescent="0.35">
      <c r="A1847" s="1">
        <v>1807</v>
      </c>
      <c r="B1847">
        <v>9</v>
      </c>
      <c r="C1847">
        <v>56</v>
      </c>
      <c r="D1847">
        <v>2</v>
      </c>
      <c r="E1847">
        <v>0</v>
      </c>
      <c r="F1847">
        <v>1</v>
      </c>
      <c r="G1847">
        <v>7</v>
      </c>
      <c r="H1847">
        <v>0</v>
      </c>
      <c r="I1847">
        <v>18176.79</v>
      </c>
      <c r="J1847">
        <v>4</v>
      </c>
      <c r="K1847">
        <v>0</v>
      </c>
      <c r="L1847" s="4">
        <v>0.78184092786374815</v>
      </c>
      <c r="M1847" s="4">
        <v>0.21815907213625191</v>
      </c>
      <c r="N1847">
        <v>5</v>
      </c>
    </row>
    <row r="1848" spans="1:14" x14ac:dyDescent="0.35">
      <c r="A1848" s="1">
        <v>3277</v>
      </c>
      <c r="B1848">
        <v>8</v>
      </c>
      <c r="C1848">
        <v>51</v>
      </c>
      <c r="D1848">
        <v>0</v>
      </c>
      <c r="E1848">
        <v>0</v>
      </c>
      <c r="F1848">
        <v>2</v>
      </c>
      <c r="G1848">
        <v>1</v>
      </c>
      <c r="H1848">
        <v>2</v>
      </c>
      <c r="I1848">
        <v>1000</v>
      </c>
      <c r="J1848">
        <v>5</v>
      </c>
      <c r="K1848">
        <v>0</v>
      </c>
      <c r="L1848" s="4">
        <v>0.78186562854409747</v>
      </c>
      <c r="M1848" s="4">
        <v>0.21813437145590259</v>
      </c>
      <c r="N1848">
        <v>5</v>
      </c>
    </row>
    <row r="1849" spans="1:14" x14ac:dyDescent="0.35">
      <c r="A1849" s="1">
        <v>93</v>
      </c>
      <c r="B1849">
        <v>7</v>
      </c>
      <c r="C1849">
        <v>35</v>
      </c>
      <c r="D1849">
        <v>3</v>
      </c>
      <c r="E1849">
        <v>2</v>
      </c>
      <c r="F1849">
        <v>1</v>
      </c>
      <c r="G1849">
        <v>7</v>
      </c>
      <c r="H1849">
        <v>3</v>
      </c>
      <c r="I1849">
        <v>0.01</v>
      </c>
      <c r="J1849">
        <v>5</v>
      </c>
      <c r="K1849">
        <v>0</v>
      </c>
      <c r="L1849" s="4">
        <v>0.78202435151541383</v>
      </c>
      <c r="M1849" s="4">
        <v>0.2179756484845862</v>
      </c>
      <c r="N1849">
        <v>5</v>
      </c>
    </row>
    <row r="1850" spans="1:14" x14ac:dyDescent="0.35">
      <c r="A1850" s="1">
        <v>472</v>
      </c>
      <c r="B1850">
        <v>7</v>
      </c>
      <c r="C1850">
        <v>48</v>
      </c>
      <c r="D1850">
        <v>3</v>
      </c>
      <c r="E1850">
        <v>0</v>
      </c>
      <c r="F1850">
        <v>0</v>
      </c>
      <c r="G1850">
        <v>4</v>
      </c>
      <c r="H1850">
        <v>0</v>
      </c>
      <c r="I1850">
        <v>6000</v>
      </c>
      <c r="J1850">
        <v>8</v>
      </c>
      <c r="K1850">
        <v>0</v>
      </c>
      <c r="L1850" s="4">
        <v>0.78217034990950851</v>
      </c>
      <c r="M1850" s="4">
        <v>0.21782965009049149</v>
      </c>
      <c r="N1850">
        <v>5</v>
      </c>
    </row>
    <row r="1851" spans="1:14" x14ac:dyDescent="0.35">
      <c r="A1851" s="1">
        <v>3176</v>
      </c>
      <c r="B1851">
        <v>8</v>
      </c>
      <c r="C1851">
        <v>51</v>
      </c>
      <c r="D1851">
        <v>2</v>
      </c>
      <c r="E1851">
        <v>0</v>
      </c>
      <c r="F1851">
        <v>0</v>
      </c>
      <c r="G1851">
        <v>4</v>
      </c>
      <c r="H1851">
        <v>2</v>
      </c>
      <c r="I1851">
        <v>3000</v>
      </c>
      <c r="J1851">
        <v>9</v>
      </c>
      <c r="K1851">
        <v>0</v>
      </c>
      <c r="L1851" s="4">
        <v>0.78252344065715429</v>
      </c>
      <c r="M1851" s="4">
        <v>0.21747655934284571</v>
      </c>
      <c r="N1851">
        <v>5</v>
      </c>
    </row>
    <row r="1852" spans="1:14" x14ac:dyDescent="0.35">
      <c r="A1852" s="1">
        <v>1051</v>
      </c>
      <c r="B1852">
        <v>11</v>
      </c>
      <c r="C1852">
        <v>60</v>
      </c>
      <c r="D1852">
        <v>0</v>
      </c>
      <c r="E1852">
        <v>1</v>
      </c>
      <c r="F1852">
        <v>0</v>
      </c>
      <c r="G1852">
        <v>11</v>
      </c>
      <c r="H1852">
        <v>0</v>
      </c>
      <c r="I1852">
        <v>6000</v>
      </c>
      <c r="J1852">
        <v>8</v>
      </c>
      <c r="K1852">
        <v>1</v>
      </c>
      <c r="L1852" s="4">
        <v>0.78254709227902852</v>
      </c>
      <c r="M1852" s="4">
        <v>0.21745290772097151</v>
      </c>
      <c r="N1852">
        <v>5</v>
      </c>
    </row>
    <row r="1853" spans="1:14" x14ac:dyDescent="0.35">
      <c r="A1853" s="1">
        <v>2211</v>
      </c>
      <c r="B1853">
        <v>7</v>
      </c>
      <c r="C1853">
        <v>36</v>
      </c>
      <c r="D1853">
        <v>1</v>
      </c>
      <c r="E1853">
        <v>2</v>
      </c>
      <c r="F1853">
        <v>1</v>
      </c>
      <c r="G1853">
        <v>7</v>
      </c>
      <c r="H1853">
        <v>3</v>
      </c>
      <c r="I1853">
        <v>0.01</v>
      </c>
      <c r="J1853">
        <v>8</v>
      </c>
      <c r="K1853">
        <v>0</v>
      </c>
      <c r="L1853" s="4">
        <v>0.78265669625166634</v>
      </c>
      <c r="M1853" s="4">
        <v>0.2173433037483336</v>
      </c>
      <c r="N1853">
        <v>5</v>
      </c>
    </row>
    <row r="1854" spans="1:14" x14ac:dyDescent="0.35">
      <c r="A1854" s="1">
        <v>352</v>
      </c>
      <c r="B1854">
        <v>8</v>
      </c>
      <c r="C1854">
        <v>51</v>
      </c>
      <c r="D1854">
        <v>0</v>
      </c>
      <c r="E1854">
        <v>0</v>
      </c>
      <c r="F1854">
        <v>2</v>
      </c>
      <c r="G1854">
        <v>1</v>
      </c>
      <c r="H1854">
        <v>2</v>
      </c>
      <c r="I1854">
        <v>1300</v>
      </c>
      <c r="J1854">
        <v>1</v>
      </c>
      <c r="K1854">
        <v>0</v>
      </c>
      <c r="L1854" s="4">
        <v>0.78265882310969936</v>
      </c>
      <c r="M1854" s="4">
        <v>0.21734117689030061</v>
      </c>
      <c r="N1854">
        <v>5</v>
      </c>
    </row>
    <row r="1855" spans="1:14" x14ac:dyDescent="0.35">
      <c r="A1855" s="1">
        <v>1253</v>
      </c>
      <c r="B1855">
        <v>8</v>
      </c>
      <c r="C1855">
        <v>52</v>
      </c>
      <c r="D1855">
        <v>0</v>
      </c>
      <c r="E1855">
        <v>0</v>
      </c>
      <c r="F1855">
        <v>3</v>
      </c>
      <c r="G1855">
        <v>3</v>
      </c>
      <c r="H1855">
        <v>0</v>
      </c>
      <c r="I1855">
        <v>6000</v>
      </c>
      <c r="J1855">
        <v>4</v>
      </c>
      <c r="K1855">
        <v>0</v>
      </c>
      <c r="L1855" s="4">
        <v>0.78268033411162219</v>
      </c>
      <c r="M1855" s="4">
        <v>0.21731966588837781</v>
      </c>
      <c r="N1855">
        <v>5</v>
      </c>
    </row>
    <row r="1856" spans="1:14" x14ac:dyDescent="0.35">
      <c r="A1856" s="1">
        <v>3616</v>
      </c>
      <c r="B1856">
        <v>6</v>
      </c>
      <c r="C1856">
        <v>42</v>
      </c>
      <c r="D1856">
        <v>2</v>
      </c>
      <c r="E1856">
        <v>0</v>
      </c>
      <c r="F1856">
        <v>0</v>
      </c>
      <c r="G1856">
        <v>4</v>
      </c>
      <c r="H1856">
        <v>3</v>
      </c>
      <c r="I1856">
        <v>0.01</v>
      </c>
      <c r="J1856">
        <v>4</v>
      </c>
      <c r="K1856">
        <v>0</v>
      </c>
      <c r="L1856" s="4">
        <v>0.78271742733086347</v>
      </c>
      <c r="M1856" s="4">
        <v>0.2172825726691365</v>
      </c>
      <c r="N1856">
        <v>5</v>
      </c>
    </row>
    <row r="1857" spans="1:14" x14ac:dyDescent="0.35">
      <c r="A1857" s="1">
        <v>397</v>
      </c>
      <c r="B1857">
        <v>8</v>
      </c>
      <c r="C1857">
        <v>44</v>
      </c>
      <c r="D1857">
        <v>5</v>
      </c>
      <c r="E1857">
        <v>1</v>
      </c>
      <c r="F1857">
        <v>2</v>
      </c>
      <c r="G1857">
        <v>1</v>
      </c>
      <c r="H1857">
        <v>2</v>
      </c>
      <c r="I1857">
        <v>2000</v>
      </c>
      <c r="J1857">
        <v>4</v>
      </c>
      <c r="K1857">
        <v>1</v>
      </c>
      <c r="L1857" s="4">
        <v>0.7827930508792792</v>
      </c>
      <c r="M1857" s="4">
        <v>0.2172069491207208</v>
      </c>
      <c r="N1857">
        <v>5</v>
      </c>
    </row>
    <row r="1858" spans="1:14" x14ac:dyDescent="0.35">
      <c r="A1858" s="1">
        <v>1046</v>
      </c>
      <c r="B1858">
        <v>7</v>
      </c>
      <c r="C1858">
        <v>41</v>
      </c>
      <c r="D1858">
        <v>5</v>
      </c>
      <c r="E1858">
        <v>1</v>
      </c>
      <c r="F1858">
        <v>3</v>
      </c>
      <c r="G1858">
        <v>3</v>
      </c>
      <c r="H1858">
        <v>0</v>
      </c>
      <c r="I1858">
        <v>12000</v>
      </c>
      <c r="J1858">
        <v>2</v>
      </c>
      <c r="K1858">
        <v>1</v>
      </c>
      <c r="L1858" s="4">
        <v>0.78296879454183899</v>
      </c>
      <c r="M1858" s="4">
        <v>0.21703120545816099</v>
      </c>
      <c r="N1858">
        <v>5</v>
      </c>
    </row>
    <row r="1859" spans="1:14" x14ac:dyDescent="0.35">
      <c r="A1859" s="1">
        <v>3652</v>
      </c>
      <c r="B1859">
        <v>9</v>
      </c>
      <c r="C1859">
        <v>53</v>
      </c>
      <c r="D1859">
        <v>5</v>
      </c>
      <c r="E1859">
        <v>0</v>
      </c>
      <c r="F1859">
        <v>2</v>
      </c>
      <c r="G1859">
        <v>1</v>
      </c>
      <c r="H1859">
        <v>2</v>
      </c>
      <c r="I1859">
        <v>1000</v>
      </c>
      <c r="J1859">
        <v>5</v>
      </c>
      <c r="K1859">
        <v>0</v>
      </c>
      <c r="L1859" s="4">
        <v>0.78325131428694172</v>
      </c>
      <c r="M1859" s="4">
        <v>0.2167486857130583</v>
      </c>
      <c r="N1859">
        <v>5</v>
      </c>
    </row>
    <row r="1860" spans="1:14" x14ac:dyDescent="0.35">
      <c r="A1860" s="1">
        <v>1790</v>
      </c>
      <c r="B1860">
        <v>9</v>
      </c>
      <c r="C1860">
        <v>51</v>
      </c>
      <c r="D1860">
        <v>2</v>
      </c>
      <c r="E1860">
        <v>1</v>
      </c>
      <c r="F1860">
        <v>2</v>
      </c>
      <c r="G1860">
        <v>1</v>
      </c>
      <c r="H1860">
        <v>0</v>
      </c>
      <c r="I1860">
        <v>6000</v>
      </c>
      <c r="J1860">
        <v>5</v>
      </c>
      <c r="K1860">
        <v>0</v>
      </c>
      <c r="L1860" s="4">
        <v>0.78327535417637106</v>
      </c>
      <c r="M1860" s="4">
        <v>0.21672464582362899</v>
      </c>
      <c r="N1860">
        <v>5</v>
      </c>
    </row>
    <row r="1861" spans="1:14" x14ac:dyDescent="0.35">
      <c r="A1861" s="1">
        <v>744</v>
      </c>
      <c r="B1861">
        <v>10</v>
      </c>
      <c r="C1861">
        <v>52</v>
      </c>
      <c r="D1861">
        <v>4</v>
      </c>
      <c r="E1861">
        <v>1</v>
      </c>
      <c r="F1861">
        <v>3</v>
      </c>
      <c r="G1861">
        <v>3</v>
      </c>
      <c r="H1861">
        <v>2</v>
      </c>
      <c r="I1861">
        <v>3496.03</v>
      </c>
      <c r="J1861">
        <v>5</v>
      </c>
      <c r="K1861">
        <v>0</v>
      </c>
      <c r="L1861" s="4">
        <v>0.78336416495830008</v>
      </c>
      <c r="M1861" s="4">
        <v>0.2166358350417</v>
      </c>
      <c r="N1861">
        <v>5</v>
      </c>
    </row>
    <row r="1862" spans="1:14" x14ac:dyDescent="0.35">
      <c r="A1862" s="1">
        <v>4157</v>
      </c>
      <c r="B1862">
        <v>6</v>
      </c>
      <c r="C1862">
        <v>41</v>
      </c>
      <c r="D1862">
        <v>3</v>
      </c>
      <c r="E1862">
        <v>0</v>
      </c>
      <c r="F1862">
        <v>3</v>
      </c>
      <c r="G1862">
        <v>3</v>
      </c>
      <c r="H1862">
        <v>2</v>
      </c>
      <c r="I1862">
        <v>1000</v>
      </c>
      <c r="J1862">
        <v>1</v>
      </c>
      <c r="K1862">
        <v>1</v>
      </c>
      <c r="L1862" s="4">
        <v>0.78342173528847792</v>
      </c>
      <c r="M1862" s="4">
        <v>0.21657826471152211</v>
      </c>
      <c r="N1862">
        <v>5</v>
      </c>
    </row>
    <row r="1863" spans="1:14" x14ac:dyDescent="0.35">
      <c r="A1863" s="1">
        <v>1403</v>
      </c>
      <c r="B1863">
        <v>6</v>
      </c>
      <c r="C1863">
        <v>42</v>
      </c>
      <c r="D1863">
        <v>1</v>
      </c>
      <c r="E1863">
        <v>0</v>
      </c>
      <c r="F1863">
        <v>3</v>
      </c>
      <c r="G1863">
        <v>3</v>
      </c>
      <c r="H1863">
        <v>2</v>
      </c>
      <c r="I1863">
        <v>0.02</v>
      </c>
      <c r="J1863">
        <v>8</v>
      </c>
      <c r="K1863">
        <v>1</v>
      </c>
      <c r="L1863" s="4">
        <v>0.78345302900556146</v>
      </c>
      <c r="M1863" s="4">
        <v>0.21654697099443851</v>
      </c>
      <c r="N1863">
        <v>5</v>
      </c>
    </row>
    <row r="1864" spans="1:14" x14ac:dyDescent="0.35">
      <c r="A1864" s="1">
        <v>2915</v>
      </c>
      <c r="B1864">
        <v>10</v>
      </c>
      <c r="C1864">
        <v>59</v>
      </c>
      <c r="D1864">
        <v>3</v>
      </c>
      <c r="E1864">
        <v>0</v>
      </c>
      <c r="F1864">
        <v>3</v>
      </c>
      <c r="G1864">
        <v>3</v>
      </c>
      <c r="H1864">
        <v>0</v>
      </c>
      <c r="I1864">
        <v>12000</v>
      </c>
      <c r="J1864">
        <v>2</v>
      </c>
      <c r="K1864">
        <v>0</v>
      </c>
      <c r="L1864" s="4">
        <v>0.78363015375653089</v>
      </c>
      <c r="M1864" s="4">
        <v>0.21636984624346919</v>
      </c>
      <c r="N1864">
        <v>5</v>
      </c>
    </row>
    <row r="1865" spans="1:14" x14ac:dyDescent="0.35">
      <c r="A1865" s="1">
        <v>3544</v>
      </c>
      <c r="B1865">
        <v>8</v>
      </c>
      <c r="C1865">
        <v>45</v>
      </c>
      <c r="D1865">
        <v>5</v>
      </c>
      <c r="E1865">
        <v>1</v>
      </c>
      <c r="F1865">
        <v>3</v>
      </c>
      <c r="G1865">
        <v>3</v>
      </c>
      <c r="H1865">
        <v>0</v>
      </c>
      <c r="I1865">
        <v>6053.34</v>
      </c>
      <c r="J1865">
        <v>4</v>
      </c>
      <c r="K1865">
        <v>0</v>
      </c>
      <c r="L1865" s="4">
        <v>0.78364598530310381</v>
      </c>
      <c r="M1865" s="4">
        <v>0.21635401469689619</v>
      </c>
      <c r="N1865">
        <v>5</v>
      </c>
    </row>
    <row r="1866" spans="1:14" x14ac:dyDescent="0.35">
      <c r="A1866" s="1">
        <v>4406</v>
      </c>
      <c r="B1866">
        <v>8</v>
      </c>
      <c r="C1866">
        <v>48</v>
      </c>
      <c r="D1866">
        <v>4</v>
      </c>
      <c r="E1866">
        <v>0</v>
      </c>
      <c r="F1866">
        <v>3</v>
      </c>
      <c r="G1866">
        <v>3</v>
      </c>
      <c r="H1866">
        <v>3</v>
      </c>
      <c r="I1866">
        <v>0.01</v>
      </c>
      <c r="J1866">
        <v>4</v>
      </c>
      <c r="K1866">
        <v>0</v>
      </c>
      <c r="L1866" s="4">
        <v>0.78373593930225893</v>
      </c>
      <c r="M1866" s="4">
        <v>0.21626406069774101</v>
      </c>
      <c r="N1866">
        <v>5</v>
      </c>
    </row>
    <row r="1867" spans="1:14" x14ac:dyDescent="0.35">
      <c r="A1867" s="1">
        <v>2396</v>
      </c>
      <c r="B1867">
        <v>7</v>
      </c>
      <c r="C1867">
        <v>45</v>
      </c>
      <c r="D1867">
        <v>3</v>
      </c>
      <c r="E1867">
        <v>0</v>
      </c>
      <c r="F1867">
        <v>1</v>
      </c>
      <c r="G1867">
        <v>7</v>
      </c>
      <c r="H1867">
        <v>3</v>
      </c>
      <c r="I1867">
        <v>0.01</v>
      </c>
      <c r="J1867">
        <v>5</v>
      </c>
      <c r="K1867">
        <v>0</v>
      </c>
      <c r="L1867" s="4">
        <v>0.78385730825371036</v>
      </c>
      <c r="M1867" s="4">
        <v>0.21614269174628961</v>
      </c>
      <c r="N1867">
        <v>5</v>
      </c>
    </row>
    <row r="1868" spans="1:14" x14ac:dyDescent="0.35">
      <c r="A1868" s="1">
        <v>2970</v>
      </c>
      <c r="B1868">
        <v>6</v>
      </c>
      <c r="C1868">
        <v>41</v>
      </c>
      <c r="D1868">
        <v>5</v>
      </c>
      <c r="E1868">
        <v>0</v>
      </c>
      <c r="F1868">
        <v>0</v>
      </c>
      <c r="G1868">
        <v>2</v>
      </c>
      <c r="H1868">
        <v>3</v>
      </c>
      <c r="I1868">
        <v>0.01</v>
      </c>
      <c r="J1868">
        <v>4</v>
      </c>
      <c r="K1868">
        <v>0</v>
      </c>
      <c r="L1868" s="4">
        <v>0.78403341894119749</v>
      </c>
      <c r="M1868" s="4">
        <v>0.21596658105880251</v>
      </c>
      <c r="N1868">
        <v>5</v>
      </c>
    </row>
    <row r="1869" spans="1:14" x14ac:dyDescent="0.35">
      <c r="A1869" s="1">
        <v>1618</v>
      </c>
      <c r="B1869">
        <v>12</v>
      </c>
      <c r="C1869">
        <v>61</v>
      </c>
      <c r="D1869">
        <v>5</v>
      </c>
      <c r="E1869">
        <v>1</v>
      </c>
      <c r="F1869">
        <v>0</v>
      </c>
      <c r="G1869">
        <v>4</v>
      </c>
      <c r="H1869">
        <v>2</v>
      </c>
      <c r="I1869">
        <v>3000</v>
      </c>
      <c r="J1869">
        <v>3</v>
      </c>
      <c r="K1869">
        <v>0</v>
      </c>
      <c r="L1869" s="4">
        <v>0.78404513991374258</v>
      </c>
      <c r="M1869" s="4">
        <v>0.21595486008625739</v>
      </c>
      <c r="N1869">
        <v>5</v>
      </c>
    </row>
    <row r="1870" spans="1:14" x14ac:dyDescent="0.35">
      <c r="A1870" s="1">
        <v>2784</v>
      </c>
      <c r="B1870">
        <v>10</v>
      </c>
      <c r="C1870">
        <v>53</v>
      </c>
      <c r="D1870">
        <v>1</v>
      </c>
      <c r="E1870">
        <v>1</v>
      </c>
      <c r="F1870">
        <v>3</v>
      </c>
      <c r="G1870">
        <v>8</v>
      </c>
      <c r="H1870">
        <v>2</v>
      </c>
      <c r="I1870">
        <v>3652.66</v>
      </c>
      <c r="J1870">
        <v>8</v>
      </c>
      <c r="K1870">
        <v>0</v>
      </c>
      <c r="L1870" s="4">
        <v>0.78414478879716687</v>
      </c>
      <c r="M1870" s="4">
        <v>0.2158552112028331</v>
      </c>
      <c r="N1870">
        <v>5</v>
      </c>
    </row>
    <row r="1871" spans="1:14" x14ac:dyDescent="0.35">
      <c r="A1871" s="1">
        <v>2132</v>
      </c>
      <c r="B1871">
        <v>12</v>
      </c>
      <c r="C1871">
        <v>66</v>
      </c>
      <c r="D1871">
        <v>2</v>
      </c>
      <c r="E1871">
        <v>0</v>
      </c>
      <c r="F1871">
        <v>0</v>
      </c>
      <c r="G1871">
        <v>10</v>
      </c>
      <c r="H1871">
        <v>3</v>
      </c>
      <c r="I1871">
        <v>0.01</v>
      </c>
      <c r="J1871">
        <v>8</v>
      </c>
      <c r="K1871">
        <v>0</v>
      </c>
      <c r="L1871" s="4">
        <v>0.78435684749881762</v>
      </c>
      <c r="M1871" s="4">
        <v>0.21564315250118241</v>
      </c>
      <c r="N1871">
        <v>5</v>
      </c>
    </row>
    <row r="1872" spans="1:14" x14ac:dyDescent="0.35">
      <c r="A1872" s="1">
        <v>3371</v>
      </c>
      <c r="B1872">
        <v>9</v>
      </c>
      <c r="C1872">
        <v>44</v>
      </c>
      <c r="D1872">
        <v>2</v>
      </c>
      <c r="E1872">
        <v>2</v>
      </c>
      <c r="F1872">
        <v>3</v>
      </c>
      <c r="G1872">
        <v>3</v>
      </c>
      <c r="H1872">
        <v>2</v>
      </c>
      <c r="I1872">
        <v>3000</v>
      </c>
      <c r="J1872">
        <v>3</v>
      </c>
      <c r="K1872">
        <v>0</v>
      </c>
      <c r="L1872" s="4">
        <v>0.78481448003677412</v>
      </c>
      <c r="M1872" s="4">
        <v>0.21518551996322591</v>
      </c>
      <c r="N1872">
        <v>5</v>
      </c>
    </row>
    <row r="1873" spans="1:14" x14ac:dyDescent="0.35">
      <c r="A1873" s="1">
        <v>1985</v>
      </c>
      <c r="B1873">
        <v>10</v>
      </c>
      <c r="C1873">
        <v>55</v>
      </c>
      <c r="D1873">
        <v>1</v>
      </c>
      <c r="E1873">
        <v>1</v>
      </c>
      <c r="F1873">
        <v>0</v>
      </c>
      <c r="G1873">
        <v>2</v>
      </c>
      <c r="H1873">
        <v>2</v>
      </c>
      <c r="I1873">
        <v>2500</v>
      </c>
      <c r="J1873">
        <v>8</v>
      </c>
      <c r="K1873">
        <v>0</v>
      </c>
      <c r="L1873" s="4">
        <v>0.78481998164036237</v>
      </c>
      <c r="M1873" s="4">
        <v>0.21518001835963771</v>
      </c>
      <c r="N1873">
        <v>5</v>
      </c>
    </row>
    <row r="1874" spans="1:14" x14ac:dyDescent="0.35">
      <c r="A1874" s="1">
        <v>7</v>
      </c>
      <c r="B1874">
        <v>9</v>
      </c>
      <c r="C1874">
        <v>55</v>
      </c>
      <c r="D1874">
        <v>1</v>
      </c>
      <c r="E1874">
        <v>0</v>
      </c>
      <c r="F1874">
        <v>0</v>
      </c>
      <c r="G1874">
        <v>2</v>
      </c>
      <c r="H1874">
        <v>3</v>
      </c>
      <c r="I1874">
        <v>0.01</v>
      </c>
      <c r="J1874">
        <v>5</v>
      </c>
      <c r="K1874">
        <v>0</v>
      </c>
      <c r="L1874" s="4">
        <v>0.78484288229544608</v>
      </c>
      <c r="M1874" s="4">
        <v>0.2151571177045539</v>
      </c>
      <c r="N1874">
        <v>5</v>
      </c>
    </row>
    <row r="1875" spans="1:14" x14ac:dyDescent="0.35">
      <c r="A1875" s="1">
        <v>358</v>
      </c>
      <c r="B1875">
        <v>6</v>
      </c>
      <c r="C1875">
        <v>41</v>
      </c>
      <c r="D1875">
        <v>2</v>
      </c>
      <c r="E1875">
        <v>0</v>
      </c>
      <c r="F1875">
        <v>3</v>
      </c>
      <c r="G1875">
        <v>3</v>
      </c>
      <c r="H1875">
        <v>3</v>
      </c>
      <c r="I1875">
        <v>0.01</v>
      </c>
      <c r="J1875">
        <v>8</v>
      </c>
      <c r="K1875">
        <v>1</v>
      </c>
      <c r="L1875" s="4">
        <v>0.78516842191474012</v>
      </c>
      <c r="M1875" s="4">
        <v>0.21483157808525979</v>
      </c>
      <c r="N1875">
        <v>5</v>
      </c>
    </row>
    <row r="1876" spans="1:14" x14ac:dyDescent="0.35">
      <c r="A1876" s="1">
        <v>4255</v>
      </c>
      <c r="B1876">
        <v>9</v>
      </c>
      <c r="C1876">
        <v>49</v>
      </c>
      <c r="D1876">
        <v>2</v>
      </c>
      <c r="E1876">
        <v>1</v>
      </c>
      <c r="F1876">
        <v>2</v>
      </c>
      <c r="G1876">
        <v>0</v>
      </c>
      <c r="H1876">
        <v>3</v>
      </c>
      <c r="I1876">
        <v>0.01</v>
      </c>
      <c r="J1876">
        <v>8</v>
      </c>
      <c r="K1876">
        <v>1</v>
      </c>
      <c r="L1876" s="4">
        <v>0.78530712475189035</v>
      </c>
      <c r="M1876" s="4">
        <v>0.21469287524810959</v>
      </c>
      <c r="N1876">
        <v>5</v>
      </c>
    </row>
    <row r="1877" spans="1:14" x14ac:dyDescent="0.35">
      <c r="A1877" s="1">
        <v>470</v>
      </c>
      <c r="B1877">
        <v>15</v>
      </c>
      <c r="C1877">
        <v>75</v>
      </c>
      <c r="D1877">
        <v>1</v>
      </c>
      <c r="E1877">
        <v>1</v>
      </c>
      <c r="F1877">
        <v>3</v>
      </c>
      <c r="G1877">
        <v>8</v>
      </c>
      <c r="H1877">
        <v>0</v>
      </c>
      <c r="I1877">
        <v>12000</v>
      </c>
      <c r="J1877">
        <v>5</v>
      </c>
      <c r="K1877">
        <v>1</v>
      </c>
      <c r="L1877" s="4">
        <v>0.7854320011812379</v>
      </c>
      <c r="M1877" s="4">
        <v>0.2145679988187621</v>
      </c>
      <c r="N1877">
        <v>5</v>
      </c>
    </row>
    <row r="1878" spans="1:14" x14ac:dyDescent="0.35">
      <c r="A1878" s="1">
        <v>2838</v>
      </c>
      <c r="B1878">
        <v>6</v>
      </c>
      <c r="C1878">
        <v>42</v>
      </c>
      <c r="D1878">
        <v>5</v>
      </c>
      <c r="E1878">
        <v>0</v>
      </c>
      <c r="F1878">
        <v>0</v>
      </c>
      <c r="G1878">
        <v>4</v>
      </c>
      <c r="H1878">
        <v>2</v>
      </c>
      <c r="I1878">
        <v>4097.78</v>
      </c>
      <c r="J1878">
        <v>12</v>
      </c>
      <c r="K1878">
        <v>1</v>
      </c>
      <c r="L1878" s="4">
        <v>0.7857653205589894</v>
      </c>
      <c r="M1878" s="4">
        <v>0.2142346794410106</v>
      </c>
      <c r="N1878">
        <v>5</v>
      </c>
    </row>
    <row r="1879" spans="1:14" x14ac:dyDescent="0.35">
      <c r="A1879" s="1">
        <v>1221</v>
      </c>
      <c r="B1879">
        <v>8</v>
      </c>
      <c r="C1879">
        <v>51</v>
      </c>
      <c r="D1879">
        <v>5</v>
      </c>
      <c r="E1879">
        <v>0</v>
      </c>
      <c r="F1879">
        <v>1</v>
      </c>
      <c r="G1879">
        <v>5</v>
      </c>
      <c r="H1879">
        <v>0</v>
      </c>
      <c r="I1879">
        <v>12000</v>
      </c>
      <c r="J1879">
        <v>2</v>
      </c>
      <c r="K1879">
        <v>0</v>
      </c>
      <c r="L1879" s="4">
        <v>0.78578884696871798</v>
      </c>
      <c r="M1879" s="4">
        <v>0.21421115303128199</v>
      </c>
      <c r="N1879">
        <v>5</v>
      </c>
    </row>
    <row r="1880" spans="1:14" x14ac:dyDescent="0.35">
      <c r="A1880" s="1">
        <v>522</v>
      </c>
      <c r="B1880">
        <v>10</v>
      </c>
      <c r="C1880">
        <v>60</v>
      </c>
      <c r="D1880">
        <v>2</v>
      </c>
      <c r="E1880">
        <v>0</v>
      </c>
      <c r="F1880">
        <v>3</v>
      </c>
      <c r="G1880">
        <v>3</v>
      </c>
      <c r="H1880">
        <v>0</v>
      </c>
      <c r="I1880">
        <v>16202.79</v>
      </c>
      <c r="J1880">
        <v>13</v>
      </c>
      <c r="K1880">
        <v>0</v>
      </c>
      <c r="L1880" s="4">
        <v>0.78582012590939776</v>
      </c>
      <c r="M1880" s="4">
        <v>0.21417987409060221</v>
      </c>
      <c r="N1880">
        <v>5</v>
      </c>
    </row>
    <row r="1881" spans="1:14" x14ac:dyDescent="0.35">
      <c r="A1881" s="1">
        <v>576</v>
      </c>
      <c r="B1881">
        <v>9</v>
      </c>
      <c r="C1881">
        <v>47</v>
      </c>
      <c r="D1881">
        <v>5</v>
      </c>
      <c r="E1881">
        <v>1</v>
      </c>
      <c r="F1881">
        <v>3</v>
      </c>
      <c r="G1881">
        <v>3</v>
      </c>
      <c r="H1881">
        <v>3</v>
      </c>
      <c r="I1881">
        <v>0.01</v>
      </c>
      <c r="J1881">
        <v>8</v>
      </c>
      <c r="K1881">
        <v>0</v>
      </c>
      <c r="L1881" s="4">
        <v>0.78588877341344221</v>
      </c>
      <c r="M1881" s="4">
        <v>0.21411122658655779</v>
      </c>
      <c r="N1881">
        <v>5</v>
      </c>
    </row>
    <row r="1882" spans="1:14" x14ac:dyDescent="0.35">
      <c r="A1882" s="1">
        <v>1703</v>
      </c>
      <c r="B1882">
        <v>8</v>
      </c>
      <c r="C1882">
        <v>51</v>
      </c>
      <c r="D1882">
        <v>3</v>
      </c>
      <c r="E1882">
        <v>0</v>
      </c>
      <c r="F1882">
        <v>0</v>
      </c>
      <c r="G1882">
        <v>2</v>
      </c>
      <c r="H1882">
        <v>2</v>
      </c>
      <c r="I1882">
        <v>3000</v>
      </c>
      <c r="J1882">
        <v>5</v>
      </c>
      <c r="K1882">
        <v>1</v>
      </c>
      <c r="L1882" s="4">
        <v>0.7859858426018409</v>
      </c>
      <c r="M1882" s="4">
        <v>0.2140141573981591</v>
      </c>
      <c r="N1882">
        <v>5</v>
      </c>
    </row>
    <row r="1883" spans="1:14" x14ac:dyDescent="0.35">
      <c r="A1883" s="1">
        <v>2109</v>
      </c>
      <c r="B1883">
        <v>13</v>
      </c>
      <c r="C1883">
        <v>66</v>
      </c>
      <c r="D1883">
        <v>3</v>
      </c>
      <c r="E1883">
        <v>1</v>
      </c>
      <c r="F1883">
        <v>3</v>
      </c>
      <c r="G1883">
        <v>8</v>
      </c>
      <c r="H1883">
        <v>0</v>
      </c>
      <c r="I1883">
        <v>12000</v>
      </c>
      <c r="J1883">
        <v>1</v>
      </c>
      <c r="K1883">
        <v>1</v>
      </c>
      <c r="L1883" s="4">
        <v>0.78604061356310473</v>
      </c>
      <c r="M1883" s="4">
        <v>0.21395938643689519</v>
      </c>
      <c r="N1883">
        <v>5</v>
      </c>
    </row>
    <row r="1884" spans="1:14" x14ac:dyDescent="0.35">
      <c r="A1884" s="1">
        <v>3858</v>
      </c>
      <c r="B1884">
        <v>5</v>
      </c>
      <c r="C1884">
        <v>31</v>
      </c>
      <c r="D1884">
        <v>5</v>
      </c>
      <c r="E1884">
        <v>1</v>
      </c>
      <c r="F1884">
        <v>3</v>
      </c>
      <c r="G1884">
        <v>8</v>
      </c>
      <c r="H1884">
        <v>2</v>
      </c>
      <c r="I1884">
        <v>2000</v>
      </c>
      <c r="J1884">
        <v>1</v>
      </c>
      <c r="K1884">
        <v>1</v>
      </c>
      <c r="L1884" s="4">
        <v>0.78610673586646607</v>
      </c>
      <c r="M1884" s="4">
        <v>0.21389326413353391</v>
      </c>
      <c r="N1884">
        <v>5</v>
      </c>
    </row>
    <row r="1885" spans="1:14" x14ac:dyDescent="0.35">
      <c r="A1885" s="1">
        <v>548</v>
      </c>
      <c r="B1885">
        <v>9</v>
      </c>
      <c r="C1885">
        <v>51</v>
      </c>
      <c r="D1885">
        <v>1</v>
      </c>
      <c r="E1885">
        <v>1</v>
      </c>
      <c r="F1885">
        <v>3</v>
      </c>
      <c r="G1885">
        <v>3</v>
      </c>
      <c r="H1885">
        <v>0</v>
      </c>
      <c r="I1885">
        <v>6000</v>
      </c>
      <c r="J1885">
        <v>2</v>
      </c>
      <c r="K1885">
        <v>0</v>
      </c>
      <c r="L1885" s="4">
        <v>0.78613994775339113</v>
      </c>
      <c r="M1885" s="4">
        <v>0.21386005224660889</v>
      </c>
      <c r="N1885">
        <v>5</v>
      </c>
    </row>
    <row r="1886" spans="1:14" x14ac:dyDescent="0.35">
      <c r="A1886" s="1">
        <v>2263</v>
      </c>
      <c r="B1886">
        <v>7</v>
      </c>
      <c r="C1886">
        <v>47</v>
      </c>
      <c r="D1886">
        <v>3</v>
      </c>
      <c r="E1886">
        <v>0</v>
      </c>
      <c r="F1886">
        <v>0</v>
      </c>
      <c r="G1886">
        <v>2</v>
      </c>
      <c r="H1886">
        <v>2</v>
      </c>
      <c r="I1886">
        <v>1000</v>
      </c>
      <c r="J1886">
        <v>9</v>
      </c>
      <c r="K1886">
        <v>0</v>
      </c>
      <c r="L1886" s="4">
        <v>0.78617148717912044</v>
      </c>
      <c r="M1886" s="4">
        <v>0.21382851282087961</v>
      </c>
      <c r="N1886">
        <v>5</v>
      </c>
    </row>
    <row r="1887" spans="1:14" x14ac:dyDescent="0.35">
      <c r="A1887" s="1">
        <v>3576</v>
      </c>
      <c r="B1887">
        <v>9</v>
      </c>
      <c r="C1887">
        <v>51</v>
      </c>
      <c r="D1887">
        <v>1</v>
      </c>
      <c r="E1887">
        <v>1</v>
      </c>
      <c r="F1887">
        <v>3</v>
      </c>
      <c r="G1887">
        <v>8</v>
      </c>
      <c r="H1887">
        <v>0</v>
      </c>
      <c r="I1887">
        <v>18000</v>
      </c>
      <c r="J1887">
        <v>8</v>
      </c>
      <c r="K1887">
        <v>1</v>
      </c>
      <c r="L1887" s="4">
        <v>0.78620752529003157</v>
      </c>
      <c r="M1887" s="4">
        <v>0.2137924747099684</v>
      </c>
      <c r="N1887">
        <v>5</v>
      </c>
    </row>
    <row r="1888" spans="1:14" x14ac:dyDescent="0.35">
      <c r="A1888" s="1">
        <v>3323</v>
      </c>
      <c r="B1888">
        <v>10</v>
      </c>
      <c r="C1888">
        <v>51</v>
      </c>
      <c r="D1888">
        <v>5</v>
      </c>
      <c r="E1888">
        <v>1</v>
      </c>
      <c r="F1888">
        <v>3</v>
      </c>
      <c r="G1888">
        <v>3</v>
      </c>
      <c r="H1888">
        <v>3</v>
      </c>
      <c r="I1888">
        <v>0.01</v>
      </c>
      <c r="J1888">
        <v>4</v>
      </c>
      <c r="K1888">
        <v>0</v>
      </c>
      <c r="L1888" s="4">
        <v>0.78624503285244596</v>
      </c>
      <c r="M1888" s="4">
        <v>0.21375496714755399</v>
      </c>
      <c r="N1888">
        <v>5</v>
      </c>
    </row>
    <row r="1889" spans="1:14" x14ac:dyDescent="0.35">
      <c r="A1889" s="1">
        <v>3055</v>
      </c>
      <c r="B1889">
        <v>10</v>
      </c>
      <c r="C1889">
        <v>58</v>
      </c>
      <c r="D1889">
        <v>1</v>
      </c>
      <c r="E1889">
        <v>0</v>
      </c>
      <c r="F1889">
        <v>3</v>
      </c>
      <c r="G1889">
        <v>8</v>
      </c>
      <c r="H1889">
        <v>2</v>
      </c>
      <c r="I1889">
        <v>4800</v>
      </c>
      <c r="J1889">
        <v>1</v>
      </c>
      <c r="K1889">
        <v>0</v>
      </c>
      <c r="L1889" s="4">
        <v>0.78625970256901156</v>
      </c>
      <c r="M1889" s="4">
        <v>0.21374029743098841</v>
      </c>
      <c r="N1889">
        <v>5</v>
      </c>
    </row>
    <row r="1890" spans="1:14" x14ac:dyDescent="0.35">
      <c r="A1890" s="1">
        <v>4305</v>
      </c>
      <c r="B1890">
        <v>12</v>
      </c>
      <c r="C1890">
        <v>63</v>
      </c>
      <c r="D1890">
        <v>1</v>
      </c>
      <c r="E1890">
        <v>1</v>
      </c>
      <c r="F1890">
        <v>3</v>
      </c>
      <c r="G1890">
        <v>8</v>
      </c>
      <c r="H1890">
        <v>0</v>
      </c>
      <c r="I1890">
        <v>11000</v>
      </c>
      <c r="J1890">
        <v>9</v>
      </c>
      <c r="K1890">
        <v>0</v>
      </c>
      <c r="L1890" s="4">
        <v>0.78636353762642264</v>
      </c>
      <c r="M1890" s="4">
        <v>0.21363646237357739</v>
      </c>
      <c r="N1890">
        <v>5</v>
      </c>
    </row>
    <row r="1891" spans="1:14" x14ac:dyDescent="0.35">
      <c r="A1891" s="1">
        <v>1993</v>
      </c>
      <c r="B1891">
        <v>7</v>
      </c>
      <c r="C1891">
        <v>48</v>
      </c>
      <c r="D1891">
        <v>1</v>
      </c>
      <c r="E1891">
        <v>0</v>
      </c>
      <c r="F1891">
        <v>3</v>
      </c>
      <c r="G1891">
        <v>3</v>
      </c>
      <c r="H1891">
        <v>0</v>
      </c>
      <c r="I1891">
        <v>6600</v>
      </c>
      <c r="J1891">
        <v>9</v>
      </c>
      <c r="K1891">
        <v>0</v>
      </c>
      <c r="L1891" s="4">
        <v>0.7863876823961562</v>
      </c>
      <c r="M1891" s="4">
        <v>0.21361231760384369</v>
      </c>
      <c r="N1891">
        <v>5</v>
      </c>
    </row>
    <row r="1892" spans="1:14" x14ac:dyDescent="0.35">
      <c r="A1892" s="1">
        <v>2791</v>
      </c>
      <c r="B1892">
        <v>13</v>
      </c>
      <c r="C1892">
        <v>66</v>
      </c>
      <c r="D1892">
        <v>2</v>
      </c>
      <c r="E1892">
        <v>1</v>
      </c>
      <c r="F1892">
        <v>0</v>
      </c>
      <c r="G1892">
        <v>11</v>
      </c>
      <c r="H1892">
        <v>2</v>
      </c>
      <c r="I1892">
        <v>2730</v>
      </c>
      <c r="J1892">
        <v>5</v>
      </c>
      <c r="K1892">
        <v>1</v>
      </c>
      <c r="L1892" s="4">
        <v>0.7864961108858588</v>
      </c>
      <c r="M1892" s="4">
        <v>0.2135038891141412</v>
      </c>
      <c r="N1892">
        <v>5</v>
      </c>
    </row>
    <row r="1893" spans="1:14" x14ac:dyDescent="0.35">
      <c r="A1893" s="1">
        <v>296</v>
      </c>
      <c r="B1893">
        <v>8</v>
      </c>
      <c r="C1893">
        <v>51</v>
      </c>
      <c r="D1893">
        <v>3</v>
      </c>
      <c r="E1893">
        <v>0</v>
      </c>
      <c r="F1893">
        <v>3</v>
      </c>
      <c r="G1893">
        <v>3</v>
      </c>
      <c r="H1893">
        <v>0</v>
      </c>
      <c r="I1893">
        <v>6000</v>
      </c>
      <c r="J1893">
        <v>1</v>
      </c>
      <c r="K1893">
        <v>0</v>
      </c>
      <c r="L1893" s="4">
        <v>0.7864979975190729</v>
      </c>
      <c r="M1893" s="4">
        <v>0.2135020024809271</v>
      </c>
      <c r="N1893">
        <v>5</v>
      </c>
    </row>
    <row r="1894" spans="1:14" x14ac:dyDescent="0.35">
      <c r="A1894" s="1">
        <v>4296</v>
      </c>
      <c r="B1894">
        <v>9</v>
      </c>
      <c r="C1894">
        <v>50</v>
      </c>
      <c r="D1894">
        <v>0</v>
      </c>
      <c r="E1894">
        <v>1</v>
      </c>
      <c r="F1894">
        <v>3</v>
      </c>
      <c r="G1894">
        <v>3</v>
      </c>
      <c r="H1894">
        <v>2</v>
      </c>
      <c r="I1894">
        <v>4000</v>
      </c>
      <c r="J1894">
        <v>4</v>
      </c>
      <c r="K1894">
        <v>0</v>
      </c>
      <c r="L1894" s="4">
        <v>0.78650942345025554</v>
      </c>
      <c r="M1894" s="4">
        <v>0.21349057654974449</v>
      </c>
      <c r="N1894">
        <v>5</v>
      </c>
    </row>
    <row r="1895" spans="1:14" x14ac:dyDescent="0.35">
      <c r="A1895" s="1">
        <v>1882</v>
      </c>
      <c r="B1895">
        <v>9</v>
      </c>
      <c r="C1895">
        <v>48</v>
      </c>
      <c r="D1895">
        <v>5</v>
      </c>
      <c r="E1895">
        <v>1</v>
      </c>
      <c r="F1895">
        <v>1</v>
      </c>
      <c r="G1895">
        <v>12</v>
      </c>
      <c r="H1895">
        <v>2</v>
      </c>
      <c r="I1895">
        <v>3000.01</v>
      </c>
      <c r="J1895">
        <v>8</v>
      </c>
      <c r="K1895">
        <v>0</v>
      </c>
      <c r="L1895" s="4">
        <v>0.78654162950256767</v>
      </c>
      <c r="M1895" s="4">
        <v>0.21345837049743241</v>
      </c>
      <c r="N1895">
        <v>5</v>
      </c>
    </row>
    <row r="1896" spans="1:14" x14ac:dyDescent="0.35">
      <c r="A1896" s="1">
        <v>4110</v>
      </c>
      <c r="B1896">
        <v>9</v>
      </c>
      <c r="C1896">
        <v>47</v>
      </c>
      <c r="D1896">
        <v>4</v>
      </c>
      <c r="E1896">
        <v>1</v>
      </c>
      <c r="F1896">
        <v>3</v>
      </c>
      <c r="G1896">
        <v>8</v>
      </c>
      <c r="H1896">
        <v>3</v>
      </c>
      <c r="I1896">
        <v>0.01</v>
      </c>
      <c r="J1896">
        <v>5</v>
      </c>
      <c r="K1896">
        <v>0</v>
      </c>
      <c r="L1896" s="4">
        <v>0.78672890514622917</v>
      </c>
      <c r="M1896" s="4">
        <v>0.21327109485377091</v>
      </c>
      <c r="N1896">
        <v>5</v>
      </c>
    </row>
    <row r="1897" spans="1:14" x14ac:dyDescent="0.35">
      <c r="A1897" s="1">
        <v>2470</v>
      </c>
      <c r="B1897">
        <v>12</v>
      </c>
      <c r="C1897">
        <v>65</v>
      </c>
      <c r="D1897">
        <v>3</v>
      </c>
      <c r="E1897">
        <v>0</v>
      </c>
      <c r="F1897">
        <v>3</v>
      </c>
      <c r="G1897">
        <v>3</v>
      </c>
      <c r="H1897">
        <v>3</v>
      </c>
      <c r="I1897">
        <v>0.01</v>
      </c>
      <c r="J1897">
        <v>7</v>
      </c>
      <c r="K1897">
        <v>0</v>
      </c>
      <c r="L1897" s="4">
        <v>0.78675933324055169</v>
      </c>
      <c r="M1897" s="4">
        <v>0.21324066675944831</v>
      </c>
      <c r="N1897">
        <v>5</v>
      </c>
    </row>
    <row r="1898" spans="1:14" x14ac:dyDescent="0.35">
      <c r="A1898" s="1">
        <v>2818</v>
      </c>
      <c r="B1898">
        <v>12</v>
      </c>
      <c r="C1898">
        <v>68</v>
      </c>
      <c r="D1898">
        <v>2</v>
      </c>
      <c r="E1898">
        <v>0</v>
      </c>
      <c r="F1898">
        <v>1</v>
      </c>
      <c r="G1898">
        <v>12</v>
      </c>
      <c r="H1898">
        <v>0</v>
      </c>
      <c r="I1898">
        <v>6653.34</v>
      </c>
      <c r="J1898">
        <v>9</v>
      </c>
      <c r="K1898">
        <v>1</v>
      </c>
      <c r="L1898" s="4">
        <v>0.78700244022088728</v>
      </c>
      <c r="M1898" s="4">
        <v>0.21299755977911269</v>
      </c>
      <c r="N1898">
        <v>5</v>
      </c>
    </row>
    <row r="1899" spans="1:14" x14ac:dyDescent="0.35">
      <c r="A1899" s="1">
        <v>2205</v>
      </c>
      <c r="B1899">
        <v>9</v>
      </c>
      <c r="C1899">
        <v>56</v>
      </c>
      <c r="D1899">
        <v>5</v>
      </c>
      <c r="E1899">
        <v>0</v>
      </c>
      <c r="F1899">
        <v>0</v>
      </c>
      <c r="G1899">
        <v>2</v>
      </c>
      <c r="H1899">
        <v>0</v>
      </c>
      <c r="I1899">
        <v>6107.64</v>
      </c>
      <c r="J1899">
        <v>13</v>
      </c>
      <c r="K1899">
        <v>0</v>
      </c>
      <c r="L1899" s="4">
        <v>0.7870682109043291</v>
      </c>
      <c r="M1899" s="4">
        <v>0.2129317890956709</v>
      </c>
      <c r="N1899">
        <v>5</v>
      </c>
    </row>
    <row r="1900" spans="1:14" x14ac:dyDescent="0.35">
      <c r="A1900" s="1">
        <v>3528</v>
      </c>
      <c r="B1900">
        <v>8</v>
      </c>
      <c r="C1900">
        <v>50</v>
      </c>
      <c r="D1900">
        <v>2</v>
      </c>
      <c r="E1900">
        <v>0</v>
      </c>
      <c r="F1900">
        <v>0</v>
      </c>
      <c r="G1900">
        <v>11</v>
      </c>
      <c r="H1900">
        <v>3</v>
      </c>
      <c r="I1900">
        <v>0.01</v>
      </c>
      <c r="J1900">
        <v>9</v>
      </c>
      <c r="K1900">
        <v>0</v>
      </c>
      <c r="L1900" s="4">
        <v>0.78709961876577361</v>
      </c>
      <c r="M1900" s="4">
        <v>0.21290038123422639</v>
      </c>
      <c r="N1900">
        <v>5</v>
      </c>
    </row>
    <row r="1901" spans="1:14" x14ac:dyDescent="0.35">
      <c r="A1901" s="1">
        <v>2072</v>
      </c>
      <c r="B1901">
        <v>7</v>
      </c>
      <c r="C1901">
        <v>43</v>
      </c>
      <c r="D1901">
        <v>3</v>
      </c>
      <c r="E1901">
        <v>1</v>
      </c>
      <c r="F1901">
        <v>2</v>
      </c>
      <c r="G1901">
        <v>1</v>
      </c>
      <c r="H1901">
        <v>0</v>
      </c>
      <c r="I1901">
        <v>8088.46</v>
      </c>
      <c r="J1901">
        <v>7</v>
      </c>
      <c r="K1901">
        <v>1</v>
      </c>
      <c r="L1901" s="4">
        <v>0.78772517348973148</v>
      </c>
      <c r="M1901" s="4">
        <v>0.2122748265102686</v>
      </c>
      <c r="N1901">
        <v>5</v>
      </c>
    </row>
    <row r="1902" spans="1:14" x14ac:dyDescent="0.35">
      <c r="A1902" s="1">
        <v>141</v>
      </c>
      <c r="B1902">
        <v>7</v>
      </c>
      <c r="C1902">
        <v>48</v>
      </c>
      <c r="D1902">
        <v>2</v>
      </c>
      <c r="E1902">
        <v>0</v>
      </c>
      <c r="F1902">
        <v>3</v>
      </c>
      <c r="G1902">
        <v>3</v>
      </c>
      <c r="H1902">
        <v>0</v>
      </c>
      <c r="I1902">
        <v>6000</v>
      </c>
      <c r="J1902">
        <v>24</v>
      </c>
      <c r="K1902">
        <v>1</v>
      </c>
      <c r="L1902" s="4">
        <v>0.78772734180432957</v>
      </c>
      <c r="M1902" s="4">
        <v>0.2122726581956704</v>
      </c>
      <c r="N1902">
        <v>5</v>
      </c>
    </row>
    <row r="1903" spans="1:14" x14ac:dyDescent="0.35">
      <c r="A1903" s="1">
        <v>946</v>
      </c>
      <c r="B1903">
        <v>8</v>
      </c>
      <c r="C1903">
        <v>51</v>
      </c>
      <c r="D1903">
        <v>2</v>
      </c>
      <c r="E1903">
        <v>0</v>
      </c>
      <c r="F1903">
        <v>2</v>
      </c>
      <c r="G1903">
        <v>1</v>
      </c>
      <c r="H1903">
        <v>2</v>
      </c>
      <c r="I1903">
        <v>1392.21</v>
      </c>
      <c r="J1903">
        <v>18</v>
      </c>
      <c r="K1903">
        <v>0</v>
      </c>
      <c r="L1903" s="4">
        <v>0.78782069969923596</v>
      </c>
      <c r="M1903" s="4">
        <v>0.21217930030076401</v>
      </c>
      <c r="N1903">
        <v>5</v>
      </c>
    </row>
    <row r="1904" spans="1:14" x14ac:dyDescent="0.35">
      <c r="A1904" s="1">
        <v>3689</v>
      </c>
      <c r="B1904">
        <v>8</v>
      </c>
      <c r="C1904">
        <v>47</v>
      </c>
      <c r="D1904">
        <v>5</v>
      </c>
      <c r="E1904">
        <v>0</v>
      </c>
      <c r="F1904">
        <v>4</v>
      </c>
      <c r="G1904">
        <v>9</v>
      </c>
      <c r="H1904">
        <v>3</v>
      </c>
      <c r="I1904">
        <v>0.01</v>
      </c>
      <c r="J1904">
        <v>5</v>
      </c>
      <c r="K1904">
        <v>0</v>
      </c>
      <c r="L1904" s="4">
        <v>0.78814453586923938</v>
      </c>
      <c r="M1904" s="4">
        <v>0.21185546413076059</v>
      </c>
      <c r="N1904">
        <v>5</v>
      </c>
    </row>
    <row r="1905" spans="1:14" x14ac:dyDescent="0.35">
      <c r="A1905" s="1">
        <v>710</v>
      </c>
      <c r="B1905">
        <v>7</v>
      </c>
      <c r="C1905">
        <v>44</v>
      </c>
      <c r="D1905">
        <v>5</v>
      </c>
      <c r="E1905">
        <v>0</v>
      </c>
      <c r="F1905">
        <v>3</v>
      </c>
      <c r="G1905">
        <v>3</v>
      </c>
      <c r="H1905">
        <v>3</v>
      </c>
      <c r="I1905">
        <v>0.01</v>
      </c>
      <c r="J1905">
        <v>5</v>
      </c>
      <c r="K1905">
        <v>0</v>
      </c>
      <c r="L1905" s="4">
        <v>0.78845058730254225</v>
      </c>
      <c r="M1905" s="4">
        <v>0.21154941269745769</v>
      </c>
      <c r="N1905">
        <v>5</v>
      </c>
    </row>
    <row r="1906" spans="1:14" x14ac:dyDescent="0.35">
      <c r="A1906" s="1">
        <v>3889</v>
      </c>
      <c r="B1906">
        <v>7</v>
      </c>
      <c r="C1906">
        <v>46</v>
      </c>
      <c r="D1906">
        <v>2</v>
      </c>
      <c r="E1906">
        <v>0</v>
      </c>
      <c r="F1906">
        <v>0</v>
      </c>
      <c r="G1906">
        <v>11</v>
      </c>
      <c r="H1906">
        <v>3</v>
      </c>
      <c r="I1906">
        <v>0.01</v>
      </c>
      <c r="J1906">
        <v>5</v>
      </c>
      <c r="K1906">
        <v>0</v>
      </c>
      <c r="L1906" s="4">
        <v>0.78846414777238738</v>
      </c>
      <c r="M1906" s="4">
        <v>0.21153585222761259</v>
      </c>
      <c r="N1906">
        <v>5</v>
      </c>
    </row>
    <row r="1907" spans="1:14" x14ac:dyDescent="0.35">
      <c r="A1907" s="1">
        <v>4228</v>
      </c>
      <c r="B1907">
        <v>8</v>
      </c>
      <c r="C1907">
        <v>44</v>
      </c>
      <c r="D1907">
        <v>3</v>
      </c>
      <c r="E1907">
        <v>1</v>
      </c>
      <c r="F1907">
        <v>3</v>
      </c>
      <c r="G1907">
        <v>3</v>
      </c>
      <c r="H1907">
        <v>3</v>
      </c>
      <c r="I1907">
        <v>0.01</v>
      </c>
      <c r="J1907">
        <v>4</v>
      </c>
      <c r="K1907">
        <v>0</v>
      </c>
      <c r="L1907" s="4">
        <v>0.78852382554164024</v>
      </c>
      <c r="M1907" s="4">
        <v>0.21147617445835981</v>
      </c>
      <c r="N1907">
        <v>5</v>
      </c>
    </row>
    <row r="1908" spans="1:14" x14ac:dyDescent="0.35">
      <c r="A1908" s="1">
        <v>2439</v>
      </c>
      <c r="B1908">
        <v>8</v>
      </c>
      <c r="C1908">
        <v>49</v>
      </c>
      <c r="D1908">
        <v>3</v>
      </c>
      <c r="E1908">
        <v>0</v>
      </c>
      <c r="F1908">
        <v>3</v>
      </c>
      <c r="G1908">
        <v>3</v>
      </c>
      <c r="H1908">
        <v>3</v>
      </c>
      <c r="I1908">
        <v>0.01</v>
      </c>
      <c r="J1908">
        <v>8</v>
      </c>
      <c r="K1908">
        <v>0</v>
      </c>
      <c r="L1908" s="4">
        <v>0.78856594363559251</v>
      </c>
      <c r="M1908" s="4">
        <v>0.2114340563644074</v>
      </c>
      <c r="N1908">
        <v>5</v>
      </c>
    </row>
    <row r="1909" spans="1:14" x14ac:dyDescent="0.35">
      <c r="A1909" s="1">
        <v>1444</v>
      </c>
      <c r="B1909">
        <v>10</v>
      </c>
      <c r="C1909">
        <v>62</v>
      </c>
      <c r="D1909">
        <v>1</v>
      </c>
      <c r="E1909">
        <v>0</v>
      </c>
      <c r="F1909">
        <v>0</v>
      </c>
      <c r="G1909">
        <v>2</v>
      </c>
      <c r="H1909">
        <v>0</v>
      </c>
      <c r="I1909">
        <v>12000</v>
      </c>
      <c r="J1909">
        <v>8</v>
      </c>
      <c r="K1909">
        <v>0</v>
      </c>
      <c r="L1909" s="4">
        <v>0.78858045281738254</v>
      </c>
      <c r="M1909" s="4">
        <v>0.21141954718261749</v>
      </c>
      <c r="N1909">
        <v>5</v>
      </c>
    </row>
    <row r="1910" spans="1:14" x14ac:dyDescent="0.35">
      <c r="A1910" s="1">
        <v>1574</v>
      </c>
      <c r="B1910">
        <v>8</v>
      </c>
      <c r="C1910">
        <v>51</v>
      </c>
      <c r="D1910">
        <v>2</v>
      </c>
      <c r="E1910">
        <v>0</v>
      </c>
      <c r="F1910">
        <v>2</v>
      </c>
      <c r="G1910">
        <v>0</v>
      </c>
      <c r="H1910">
        <v>2</v>
      </c>
      <c r="I1910">
        <v>50</v>
      </c>
      <c r="J1910">
        <v>11</v>
      </c>
      <c r="K1910">
        <v>1</v>
      </c>
      <c r="L1910" s="4">
        <v>0.7887667116449556</v>
      </c>
      <c r="M1910" s="4">
        <v>0.2112332883550444</v>
      </c>
      <c r="N1910">
        <v>5</v>
      </c>
    </row>
    <row r="1911" spans="1:14" x14ac:dyDescent="0.35">
      <c r="A1911" s="1">
        <v>524</v>
      </c>
      <c r="B1911">
        <v>5</v>
      </c>
      <c r="C1911">
        <v>39</v>
      </c>
      <c r="D1911">
        <v>0</v>
      </c>
      <c r="E1911">
        <v>0</v>
      </c>
      <c r="F1911">
        <v>3</v>
      </c>
      <c r="G1911">
        <v>3</v>
      </c>
      <c r="H1911">
        <v>2</v>
      </c>
      <c r="I1911">
        <v>3000</v>
      </c>
      <c r="J1911">
        <v>8</v>
      </c>
      <c r="K1911">
        <v>0</v>
      </c>
      <c r="L1911" s="4">
        <v>0.78884257026211402</v>
      </c>
      <c r="M1911" s="4">
        <v>0.21115742973788601</v>
      </c>
      <c r="N1911">
        <v>5</v>
      </c>
    </row>
    <row r="1912" spans="1:14" x14ac:dyDescent="0.35">
      <c r="A1912" s="1">
        <v>1638</v>
      </c>
      <c r="B1912">
        <v>8</v>
      </c>
      <c r="C1912">
        <v>51</v>
      </c>
      <c r="D1912">
        <v>2</v>
      </c>
      <c r="E1912">
        <v>0</v>
      </c>
      <c r="F1912">
        <v>0</v>
      </c>
      <c r="G1912">
        <v>11</v>
      </c>
      <c r="H1912">
        <v>2</v>
      </c>
      <c r="I1912">
        <v>1000</v>
      </c>
      <c r="J1912">
        <v>12</v>
      </c>
      <c r="K1912">
        <v>0</v>
      </c>
      <c r="L1912" s="4">
        <v>0.7888864554173769</v>
      </c>
      <c r="M1912" s="4">
        <v>0.2111135445826231</v>
      </c>
      <c r="N1912">
        <v>5</v>
      </c>
    </row>
    <row r="1913" spans="1:14" x14ac:dyDescent="0.35">
      <c r="A1913" s="1">
        <v>60</v>
      </c>
      <c r="B1913">
        <v>8</v>
      </c>
      <c r="C1913">
        <v>51</v>
      </c>
      <c r="D1913">
        <v>2</v>
      </c>
      <c r="E1913">
        <v>0</v>
      </c>
      <c r="F1913">
        <v>2</v>
      </c>
      <c r="G1913">
        <v>1</v>
      </c>
      <c r="H1913">
        <v>2</v>
      </c>
      <c r="I1913">
        <v>3000</v>
      </c>
      <c r="J1913">
        <v>11</v>
      </c>
      <c r="K1913">
        <v>0</v>
      </c>
      <c r="L1913" s="4">
        <v>0.78888936136247889</v>
      </c>
      <c r="M1913" s="4">
        <v>0.21111063863752111</v>
      </c>
      <c r="N1913">
        <v>5</v>
      </c>
    </row>
    <row r="1914" spans="1:14" x14ac:dyDescent="0.35">
      <c r="A1914" s="1">
        <v>1307</v>
      </c>
      <c r="B1914">
        <v>9</v>
      </c>
      <c r="C1914">
        <v>55</v>
      </c>
      <c r="D1914">
        <v>4</v>
      </c>
      <c r="E1914">
        <v>0</v>
      </c>
      <c r="F1914">
        <v>1</v>
      </c>
      <c r="G1914">
        <v>12</v>
      </c>
      <c r="H1914">
        <v>0</v>
      </c>
      <c r="I1914">
        <v>6000</v>
      </c>
      <c r="J1914">
        <v>2</v>
      </c>
      <c r="K1914">
        <v>0</v>
      </c>
      <c r="L1914" s="4">
        <v>0.78893125631906891</v>
      </c>
      <c r="M1914" s="4">
        <v>0.21106874368093109</v>
      </c>
      <c r="N1914">
        <v>5</v>
      </c>
    </row>
    <row r="1915" spans="1:14" x14ac:dyDescent="0.35">
      <c r="A1915" s="1">
        <v>1872</v>
      </c>
      <c r="B1915">
        <v>7</v>
      </c>
      <c r="C1915">
        <v>48</v>
      </c>
      <c r="D1915">
        <v>2</v>
      </c>
      <c r="E1915">
        <v>0</v>
      </c>
      <c r="F1915">
        <v>3</v>
      </c>
      <c r="G1915">
        <v>3</v>
      </c>
      <c r="H1915">
        <v>0</v>
      </c>
      <c r="I1915">
        <v>8500</v>
      </c>
      <c r="J1915">
        <v>14</v>
      </c>
      <c r="K1915">
        <v>0</v>
      </c>
      <c r="L1915" s="4">
        <v>0.78919883289780279</v>
      </c>
      <c r="M1915" s="4">
        <v>0.21080116710219721</v>
      </c>
      <c r="N1915">
        <v>5</v>
      </c>
    </row>
    <row r="1916" spans="1:14" x14ac:dyDescent="0.35">
      <c r="A1916" s="1">
        <v>1791</v>
      </c>
      <c r="B1916">
        <v>4</v>
      </c>
      <c r="C1916">
        <v>35</v>
      </c>
      <c r="D1916">
        <v>0</v>
      </c>
      <c r="E1916">
        <v>0</v>
      </c>
      <c r="F1916">
        <v>3</v>
      </c>
      <c r="G1916">
        <v>3</v>
      </c>
      <c r="H1916">
        <v>2</v>
      </c>
      <c r="I1916">
        <v>3000</v>
      </c>
      <c r="J1916">
        <v>8</v>
      </c>
      <c r="K1916">
        <v>1</v>
      </c>
      <c r="L1916" s="4">
        <v>0.78934546189167776</v>
      </c>
      <c r="M1916" s="4">
        <v>0.21065453810832219</v>
      </c>
      <c r="N1916">
        <v>5</v>
      </c>
    </row>
    <row r="1917" spans="1:14" x14ac:dyDescent="0.35">
      <c r="A1917" s="1">
        <v>1532</v>
      </c>
      <c r="B1917">
        <v>6</v>
      </c>
      <c r="C1917">
        <v>43</v>
      </c>
      <c r="D1917">
        <v>4</v>
      </c>
      <c r="E1917">
        <v>0</v>
      </c>
      <c r="F1917">
        <v>2</v>
      </c>
      <c r="G1917">
        <v>6</v>
      </c>
      <c r="H1917">
        <v>0</v>
      </c>
      <c r="I1917">
        <v>6000</v>
      </c>
      <c r="J1917">
        <v>2</v>
      </c>
      <c r="K1917">
        <v>1</v>
      </c>
      <c r="L1917" s="4">
        <v>0.78968845183120828</v>
      </c>
      <c r="M1917" s="4">
        <v>0.21031154816879169</v>
      </c>
      <c r="N1917">
        <v>5</v>
      </c>
    </row>
    <row r="1918" spans="1:14" x14ac:dyDescent="0.35">
      <c r="A1918" s="1">
        <v>2878</v>
      </c>
      <c r="B1918">
        <v>8</v>
      </c>
      <c r="C1918">
        <v>53</v>
      </c>
      <c r="D1918">
        <v>0</v>
      </c>
      <c r="E1918">
        <v>0</v>
      </c>
      <c r="F1918">
        <v>0</v>
      </c>
      <c r="G1918">
        <v>4</v>
      </c>
      <c r="H1918">
        <v>2</v>
      </c>
      <c r="I1918">
        <v>5000</v>
      </c>
      <c r="J1918">
        <v>26</v>
      </c>
      <c r="K1918">
        <v>0</v>
      </c>
      <c r="L1918" s="4">
        <v>0.78969809189364126</v>
      </c>
      <c r="M1918" s="4">
        <v>0.21030190810635879</v>
      </c>
      <c r="N1918">
        <v>5</v>
      </c>
    </row>
    <row r="1919" spans="1:14" x14ac:dyDescent="0.35">
      <c r="A1919" s="1">
        <v>40</v>
      </c>
      <c r="B1919">
        <v>11</v>
      </c>
      <c r="C1919">
        <v>54</v>
      </c>
      <c r="D1919">
        <v>0</v>
      </c>
      <c r="E1919">
        <v>2</v>
      </c>
      <c r="F1919">
        <v>1</v>
      </c>
      <c r="G1919">
        <v>7</v>
      </c>
      <c r="H1919">
        <v>2</v>
      </c>
      <c r="I1919">
        <v>600</v>
      </c>
      <c r="J1919">
        <v>4</v>
      </c>
      <c r="K1919">
        <v>0</v>
      </c>
      <c r="L1919" s="4">
        <v>0.7897361822499761</v>
      </c>
      <c r="M1919" s="4">
        <v>0.2102638177500239</v>
      </c>
      <c r="N1919">
        <v>5</v>
      </c>
    </row>
    <row r="1920" spans="1:14" x14ac:dyDescent="0.35">
      <c r="A1920" s="1">
        <v>907</v>
      </c>
      <c r="B1920">
        <v>8</v>
      </c>
      <c r="C1920">
        <v>46</v>
      </c>
      <c r="D1920">
        <v>2</v>
      </c>
      <c r="E1920">
        <v>1</v>
      </c>
      <c r="F1920">
        <v>1</v>
      </c>
      <c r="G1920">
        <v>7</v>
      </c>
      <c r="H1920">
        <v>2</v>
      </c>
      <c r="I1920">
        <v>50</v>
      </c>
      <c r="J1920">
        <v>10</v>
      </c>
      <c r="K1920">
        <v>1</v>
      </c>
      <c r="L1920" s="4">
        <v>0.78974701131086777</v>
      </c>
      <c r="M1920" s="4">
        <v>0.2102529886891322</v>
      </c>
      <c r="N1920">
        <v>5</v>
      </c>
    </row>
    <row r="1921" spans="1:14" x14ac:dyDescent="0.35">
      <c r="A1921" s="1">
        <v>3711</v>
      </c>
      <c r="B1921">
        <v>8</v>
      </c>
      <c r="C1921">
        <v>51</v>
      </c>
      <c r="D1921">
        <v>3</v>
      </c>
      <c r="E1921">
        <v>0</v>
      </c>
      <c r="F1921">
        <v>3</v>
      </c>
      <c r="G1921">
        <v>8</v>
      </c>
      <c r="H1921">
        <v>0</v>
      </c>
      <c r="I1921">
        <v>6053.35</v>
      </c>
      <c r="J1921">
        <v>7</v>
      </c>
      <c r="K1921">
        <v>0</v>
      </c>
      <c r="L1921" s="4">
        <v>0.78977918430550731</v>
      </c>
      <c r="M1921" s="4">
        <v>0.21022081569449269</v>
      </c>
      <c r="N1921">
        <v>5</v>
      </c>
    </row>
    <row r="1922" spans="1:14" x14ac:dyDescent="0.35">
      <c r="A1922" s="1">
        <v>3926</v>
      </c>
      <c r="B1922">
        <v>11</v>
      </c>
      <c r="C1922">
        <v>55</v>
      </c>
      <c r="D1922">
        <v>0</v>
      </c>
      <c r="E1922">
        <v>2</v>
      </c>
      <c r="F1922">
        <v>0</v>
      </c>
      <c r="G1922">
        <v>4</v>
      </c>
      <c r="H1922">
        <v>2</v>
      </c>
      <c r="I1922">
        <v>3000</v>
      </c>
      <c r="J1922">
        <v>12</v>
      </c>
      <c r="K1922">
        <v>0</v>
      </c>
      <c r="L1922" s="4">
        <v>0.78992427002644672</v>
      </c>
      <c r="M1922" s="4">
        <v>0.21007572997355331</v>
      </c>
      <c r="N1922">
        <v>5</v>
      </c>
    </row>
    <row r="1923" spans="1:14" x14ac:dyDescent="0.35">
      <c r="A1923" s="1">
        <v>3389</v>
      </c>
      <c r="B1923">
        <v>7</v>
      </c>
      <c r="C1923">
        <v>46</v>
      </c>
      <c r="D1923">
        <v>1</v>
      </c>
      <c r="E1923">
        <v>0</v>
      </c>
      <c r="F1923">
        <v>3</v>
      </c>
      <c r="G1923">
        <v>3</v>
      </c>
      <c r="H1923">
        <v>3</v>
      </c>
      <c r="I1923">
        <v>0.01</v>
      </c>
      <c r="J1923">
        <v>8</v>
      </c>
      <c r="K1923">
        <v>0</v>
      </c>
      <c r="L1923" s="4">
        <v>0.79032628118258896</v>
      </c>
      <c r="M1923" s="4">
        <v>0.20967371881741101</v>
      </c>
      <c r="N1923">
        <v>5</v>
      </c>
    </row>
    <row r="1924" spans="1:14" x14ac:dyDescent="0.35">
      <c r="A1924" s="1">
        <v>444</v>
      </c>
      <c r="B1924">
        <v>10</v>
      </c>
      <c r="C1924">
        <v>57</v>
      </c>
      <c r="D1924">
        <v>4</v>
      </c>
      <c r="E1924">
        <v>0</v>
      </c>
      <c r="F1924">
        <v>2</v>
      </c>
      <c r="G1924">
        <v>6</v>
      </c>
      <c r="H1924">
        <v>3</v>
      </c>
      <c r="I1924">
        <v>0.01</v>
      </c>
      <c r="J1924">
        <v>5</v>
      </c>
      <c r="K1924">
        <v>0</v>
      </c>
      <c r="L1924" s="4">
        <v>0.79058590343170343</v>
      </c>
      <c r="M1924" s="4">
        <v>0.20941409656829649</v>
      </c>
      <c r="N1924">
        <v>5</v>
      </c>
    </row>
    <row r="1925" spans="1:14" x14ac:dyDescent="0.35">
      <c r="A1925" s="1">
        <v>409</v>
      </c>
      <c r="B1925">
        <v>8</v>
      </c>
      <c r="C1925">
        <v>51</v>
      </c>
      <c r="D1925">
        <v>2</v>
      </c>
      <c r="E1925">
        <v>0</v>
      </c>
      <c r="F1925">
        <v>0</v>
      </c>
      <c r="G1925">
        <v>4</v>
      </c>
      <c r="H1925">
        <v>3</v>
      </c>
      <c r="I1925">
        <v>0.01</v>
      </c>
      <c r="J1925">
        <v>9</v>
      </c>
      <c r="K1925">
        <v>0</v>
      </c>
      <c r="L1925" s="4">
        <v>0.79072116300001438</v>
      </c>
      <c r="M1925" s="4">
        <v>0.20927883699998559</v>
      </c>
      <c r="N1925">
        <v>5</v>
      </c>
    </row>
    <row r="1926" spans="1:14" x14ac:dyDescent="0.35">
      <c r="A1926" s="1">
        <v>3049</v>
      </c>
      <c r="B1926">
        <v>7</v>
      </c>
      <c r="C1926">
        <v>46</v>
      </c>
      <c r="D1926">
        <v>1</v>
      </c>
      <c r="E1926">
        <v>0</v>
      </c>
      <c r="F1926">
        <v>3</v>
      </c>
      <c r="G1926">
        <v>3</v>
      </c>
      <c r="H1926">
        <v>3</v>
      </c>
      <c r="I1926">
        <v>0.01</v>
      </c>
      <c r="J1926">
        <v>5</v>
      </c>
      <c r="K1926">
        <v>0</v>
      </c>
      <c r="L1926" s="4">
        <v>0.79096441069987433</v>
      </c>
      <c r="M1926" s="4">
        <v>0.20903558930012561</v>
      </c>
      <c r="N1926">
        <v>5</v>
      </c>
    </row>
    <row r="1927" spans="1:14" x14ac:dyDescent="0.35">
      <c r="A1927" s="1">
        <v>753</v>
      </c>
      <c r="B1927">
        <v>8</v>
      </c>
      <c r="C1927">
        <v>50</v>
      </c>
      <c r="D1927">
        <v>3</v>
      </c>
      <c r="E1927">
        <v>0</v>
      </c>
      <c r="F1927">
        <v>3</v>
      </c>
      <c r="G1927">
        <v>3</v>
      </c>
      <c r="H1927">
        <v>2</v>
      </c>
      <c r="I1927">
        <v>1500</v>
      </c>
      <c r="J1927">
        <v>7</v>
      </c>
      <c r="K1927">
        <v>0</v>
      </c>
      <c r="L1927" s="4">
        <v>0.79106109653722778</v>
      </c>
      <c r="M1927" s="4">
        <v>0.20893890346277219</v>
      </c>
      <c r="N1927">
        <v>5</v>
      </c>
    </row>
    <row r="1928" spans="1:14" x14ac:dyDescent="0.35">
      <c r="A1928" s="1">
        <v>293</v>
      </c>
      <c r="B1928">
        <v>6</v>
      </c>
      <c r="C1928">
        <v>44</v>
      </c>
      <c r="D1928">
        <v>5</v>
      </c>
      <c r="E1928">
        <v>0</v>
      </c>
      <c r="F1928">
        <v>0</v>
      </c>
      <c r="G1928">
        <v>4</v>
      </c>
      <c r="H1928">
        <v>0</v>
      </c>
      <c r="I1928">
        <v>10000</v>
      </c>
      <c r="J1928">
        <v>5</v>
      </c>
      <c r="K1928">
        <v>0</v>
      </c>
      <c r="L1928" s="4">
        <v>0.79107147428185021</v>
      </c>
      <c r="M1928" s="4">
        <v>0.20892852571814979</v>
      </c>
      <c r="N1928">
        <v>5</v>
      </c>
    </row>
    <row r="1929" spans="1:14" x14ac:dyDescent="0.35">
      <c r="A1929" s="1">
        <v>1044</v>
      </c>
      <c r="B1929">
        <v>10</v>
      </c>
      <c r="C1929">
        <v>54</v>
      </c>
      <c r="D1929">
        <v>1</v>
      </c>
      <c r="E1929">
        <v>1</v>
      </c>
      <c r="F1929">
        <v>3</v>
      </c>
      <c r="G1929">
        <v>3</v>
      </c>
      <c r="H1929">
        <v>2</v>
      </c>
      <c r="I1929">
        <v>420</v>
      </c>
      <c r="J1929">
        <v>5</v>
      </c>
      <c r="K1929">
        <v>0</v>
      </c>
      <c r="L1929" s="4">
        <v>0.79113424272391064</v>
      </c>
      <c r="M1929" s="4">
        <v>0.20886575727608939</v>
      </c>
      <c r="N1929">
        <v>5</v>
      </c>
    </row>
    <row r="1930" spans="1:14" x14ac:dyDescent="0.35">
      <c r="A1930" s="1">
        <v>561</v>
      </c>
      <c r="B1930">
        <v>11</v>
      </c>
      <c r="C1930">
        <v>53</v>
      </c>
      <c r="D1930">
        <v>5</v>
      </c>
      <c r="E1930">
        <v>2</v>
      </c>
      <c r="F1930">
        <v>0</v>
      </c>
      <c r="G1930">
        <v>2</v>
      </c>
      <c r="H1930">
        <v>2</v>
      </c>
      <c r="I1930">
        <v>4000</v>
      </c>
      <c r="J1930">
        <v>5</v>
      </c>
      <c r="K1930">
        <v>0</v>
      </c>
      <c r="L1930" s="4">
        <v>0.7911777791535729</v>
      </c>
      <c r="M1930" s="4">
        <v>0.2088222208464271</v>
      </c>
      <c r="N1930">
        <v>5</v>
      </c>
    </row>
    <row r="1931" spans="1:14" x14ac:dyDescent="0.35">
      <c r="A1931" s="1">
        <v>2959</v>
      </c>
      <c r="B1931">
        <v>8</v>
      </c>
      <c r="C1931">
        <v>50</v>
      </c>
      <c r="D1931">
        <v>3</v>
      </c>
      <c r="E1931">
        <v>0</v>
      </c>
      <c r="F1931">
        <v>3</v>
      </c>
      <c r="G1931">
        <v>3</v>
      </c>
      <c r="H1931">
        <v>2</v>
      </c>
      <c r="I1931">
        <v>50</v>
      </c>
      <c r="J1931">
        <v>8</v>
      </c>
      <c r="K1931">
        <v>0</v>
      </c>
      <c r="L1931" s="4">
        <v>0.79123479614347625</v>
      </c>
      <c r="M1931" s="4">
        <v>0.2087652038565237</v>
      </c>
      <c r="N1931">
        <v>5</v>
      </c>
    </row>
    <row r="1932" spans="1:14" x14ac:dyDescent="0.35">
      <c r="A1932" s="1">
        <v>585</v>
      </c>
      <c r="B1932">
        <v>10</v>
      </c>
      <c r="C1932">
        <v>58</v>
      </c>
      <c r="D1932">
        <v>5</v>
      </c>
      <c r="E1932">
        <v>0</v>
      </c>
      <c r="F1932">
        <v>0</v>
      </c>
      <c r="G1932">
        <v>11</v>
      </c>
      <c r="H1932">
        <v>2</v>
      </c>
      <c r="I1932">
        <v>3000.01</v>
      </c>
      <c r="J1932">
        <v>8</v>
      </c>
      <c r="K1932">
        <v>0</v>
      </c>
      <c r="L1932" s="4">
        <v>0.79130908500517583</v>
      </c>
      <c r="M1932" s="4">
        <v>0.2086909149948242</v>
      </c>
      <c r="N1932">
        <v>5</v>
      </c>
    </row>
    <row r="1933" spans="1:14" x14ac:dyDescent="0.35">
      <c r="A1933" s="1">
        <v>223</v>
      </c>
      <c r="B1933">
        <v>8</v>
      </c>
      <c r="C1933">
        <v>51</v>
      </c>
      <c r="D1933">
        <v>1</v>
      </c>
      <c r="E1933">
        <v>0</v>
      </c>
      <c r="F1933">
        <v>3</v>
      </c>
      <c r="G1933">
        <v>3</v>
      </c>
      <c r="H1933">
        <v>2</v>
      </c>
      <c r="I1933">
        <v>3500.01</v>
      </c>
      <c r="J1933">
        <v>9</v>
      </c>
      <c r="K1933">
        <v>0</v>
      </c>
      <c r="L1933" s="4">
        <v>0.79135449418387549</v>
      </c>
      <c r="M1933" s="4">
        <v>0.20864550581612451</v>
      </c>
      <c r="N1933">
        <v>5</v>
      </c>
    </row>
    <row r="1934" spans="1:14" x14ac:dyDescent="0.35">
      <c r="A1934" s="1">
        <v>3188</v>
      </c>
      <c r="B1934">
        <v>8</v>
      </c>
      <c r="C1934">
        <v>51</v>
      </c>
      <c r="D1934">
        <v>2</v>
      </c>
      <c r="E1934">
        <v>0</v>
      </c>
      <c r="F1934">
        <v>0</v>
      </c>
      <c r="G1934">
        <v>11</v>
      </c>
      <c r="H1934">
        <v>2</v>
      </c>
      <c r="I1934">
        <v>100</v>
      </c>
      <c r="J1934">
        <v>1</v>
      </c>
      <c r="K1934">
        <v>1</v>
      </c>
      <c r="L1934" s="4">
        <v>0.79147049642800493</v>
      </c>
      <c r="M1934" s="4">
        <v>0.20852950357199501</v>
      </c>
      <c r="N1934">
        <v>5</v>
      </c>
    </row>
    <row r="1935" spans="1:14" x14ac:dyDescent="0.35">
      <c r="A1935" s="1">
        <v>887</v>
      </c>
      <c r="B1935">
        <v>9</v>
      </c>
      <c r="C1935">
        <v>48</v>
      </c>
      <c r="D1935">
        <v>3</v>
      </c>
      <c r="E1935">
        <v>1</v>
      </c>
      <c r="F1935">
        <v>3</v>
      </c>
      <c r="G1935">
        <v>8</v>
      </c>
      <c r="H1935">
        <v>3</v>
      </c>
      <c r="I1935">
        <v>0.01</v>
      </c>
      <c r="J1935">
        <v>9</v>
      </c>
      <c r="K1935">
        <v>0</v>
      </c>
      <c r="L1935" s="4">
        <v>0.79150984709959815</v>
      </c>
      <c r="M1935" s="4">
        <v>0.20849015290040179</v>
      </c>
      <c r="N1935">
        <v>5</v>
      </c>
    </row>
    <row r="1936" spans="1:14" x14ac:dyDescent="0.35">
      <c r="A1936" s="1">
        <v>2487</v>
      </c>
      <c r="B1936">
        <v>10</v>
      </c>
      <c r="C1936">
        <v>58</v>
      </c>
      <c r="D1936">
        <v>5</v>
      </c>
      <c r="E1936">
        <v>0</v>
      </c>
      <c r="F1936">
        <v>0</v>
      </c>
      <c r="G1936">
        <v>11</v>
      </c>
      <c r="H1936">
        <v>2</v>
      </c>
      <c r="I1936">
        <v>3000</v>
      </c>
      <c r="J1936">
        <v>7</v>
      </c>
      <c r="K1936">
        <v>0</v>
      </c>
      <c r="L1936" s="4">
        <v>0.79152122181917128</v>
      </c>
      <c r="M1936" s="4">
        <v>0.20847877818082869</v>
      </c>
      <c r="N1936">
        <v>5</v>
      </c>
    </row>
    <row r="1937" spans="1:14" x14ac:dyDescent="0.35">
      <c r="A1937" s="1">
        <v>3696</v>
      </c>
      <c r="B1937">
        <v>7</v>
      </c>
      <c r="C1937">
        <v>45</v>
      </c>
      <c r="D1937">
        <v>5</v>
      </c>
      <c r="E1937">
        <v>0</v>
      </c>
      <c r="F1937">
        <v>0</v>
      </c>
      <c r="G1937">
        <v>11</v>
      </c>
      <c r="H1937">
        <v>3</v>
      </c>
      <c r="I1937">
        <v>0.01</v>
      </c>
      <c r="J1937">
        <v>5</v>
      </c>
      <c r="K1937">
        <v>0</v>
      </c>
      <c r="L1937" s="4">
        <v>0.79157184614509024</v>
      </c>
      <c r="M1937" s="4">
        <v>0.20842815385490979</v>
      </c>
      <c r="N1937">
        <v>5</v>
      </c>
    </row>
    <row r="1938" spans="1:14" x14ac:dyDescent="0.35">
      <c r="A1938" s="1">
        <v>2273</v>
      </c>
      <c r="B1938">
        <v>8</v>
      </c>
      <c r="C1938">
        <v>51</v>
      </c>
      <c r="D1938">
        <v>0</v>
      </c>
      <c r="E1938">
        <v>0</v>
      </c>
      <c r="F1938">
        <v>3</v>
      </c>
      <c r="G1938">
        <v>8</v>
      </c>
      <c r="H1938">
        <v>2</v>
      </c>
      <c r="I1938">
        <v>4600</v>
      </c>
      <c r="J1938">
        <v>7</v>
      </c>
      <c r="K1938">
        <v>0</v>
      </c>
      <c r="L1938" s="4">
        <v>0.79167505492958967</v>
      </c>
      <c r="M1938" s="4">
        <v>0.2083249450704103</v>
      </c>
      <c r="N1938">
        <v>5</v>
      </c>
    </row>
    <row r="1939" spans="1:14" x14ac:dyDescent="0.35">
      <c r="A1939" s="1">
        <v>2623</v>
      </c>
      <c r="B1939">
        <v>9</v>
      </c>
      <c r="C1939">
        <v>55</v>
      </c>
      <c r="D1939">
        <v>1</v>
      </c>
      <c r="E1939">
        <v>0</v>
      </c>
      <c r="F1939">
        <v>3</v>
      </c>
      <c r="G1939">
        <v>3</v>
      </c>
      <c r="H1939">
        <v>2</v>
      </c>
      <c r="I1939">
        <v>1150</v>
      </c>
      <c r="J1939">
        <v>8</v>
      </c>
      <c r="K1939">
        <v>1</v>
      </c>
      <c r="L1939" s="4">
        <v>0.79169273275995566</v>
      </c>
      <c r="M1939" s="4">
        <v>0.20830726724004439</v>
      </c>
      <c r="N1939">
        <v>5</v>
      </c>
    </row>
    <row r="1940" spans="1:14" x14ac:dyDescent="0.35">
      <c r="A1940" s="1">
        <v>1484</v>
      </c>
      <c r="B1940">
        <v>8</v>
      </c>
      <c r="C1940">
        <v>45</v>
      </c>
      <c r="D1940">
        <v>5</v>
      </c>
      <c r="E1940">
        <v>1</v>
      </c>
      <c r="F1940">
        <v>0</v>
      </c>
      <c r="G1940">
        <v>2</v>
      </c>
      <c r="H1940">
        <v>3</v>
      </c>
      <c r="I1940">
        <v>0.01</v>
      </c>
      <c r="J1940">
        <v>5</v>
      </c>
      <c r="K1940">
        <v>0</v>
      </c>
      <c r="L1940" s="4">
        <v>0.79195994677780002</v>
      </c>
      <c r="M1940" s="4">
        <v>0.2080400532221999</v>
      </c>
      <c r="N1940">
        <v>5</v>
      </c>
    </row>
    <row r="1941" spans="1:14" x14ac:dyDescent="0.35">
      <c r="A1941" s="1">
        <v>1200</v>
      </c>
      <c r="B1941">
        <v>15</v>
      </c>
      <c r="C1941">
        <v>75</v>
      </c>
      <c r="D1941">
        <v>2</v>
      </c>
      <c r="E1941">
        <v>1</v>
      </c>
      <c r="F1941">
        <v>3</v>
      </c>
      <c r="G1941">
        <v>8</v>
      </c>
      <c r="H1941">
        <v>0</v>
      </c>
      <c r="I1941">
        <v>6000</v>
      </c>
      <c r="J1941">
        <v>2</v>
      </c>
      <c r="K1941">
        <v>1</v>
      </c>
      <c r="L1941" s="4">
        <v>0.79206736602944405</v>
      </c>
      <c r="M1941" s="4">
        <v>0.20793263397055589</v>
      </c>
      <c r="N1941">
        <v>5</v>
      </c>
    </row>
    <row r="1942" spans="1:14" x14ac:dyDescent="0.35">
      <c r="A1942" s="1">
        <v>4021</v>
      </c>
      <c r="B1942">
        <v>4</v>
      </c>
      <c r="C1942">
        <v>33</v>
      </c>
      <c r="D1942">
        <v>5</v>
      </c>
      <c r="E1942">
        <v>0</v>
      </c>
      <c r="F1942">
        <v>3</v>
      </c>
      <c r="G1942">
        <v>3</v>
      </c>
      <c r="H1942">
        <v>2</v>
      </c>
      <c r="I1942">
        <v>1680</v>
      </c>
      <c r="J1942">
        <v>5</v>
      </c>
      <c r="K1942">
        <v>0</v>
      </c>
      <c r="L1942" s="4">
        <v>0.79218253513467574</v>
      </c>
      <c r="M1942" s="4">
        <v>0.20781746486532421</v>
      </c>
      <c r="N1942">
        <v>5</v>
      </c>
    </row>
    <row r="1943" spans="1:14" x14ac:dyDescent="0.35">
      <c r="A1943" s="1">
        <v>514</v>
      </c>
      <c r="B1943">
        <v>10</v>
      </c>
      <c r="C1943">
        <v>53</v>
      </c>
      <c r="D1943">
        <v>5</v>
      </c>
      <c r="E1943">
        <v>1</v>
      </c>
      <c r="F1943">
        <v>0</v>
      </c>
      <c r="G1943">
        <v>11</v>
      </c>
      <c r="H1943">
        <v>2</v>
      </c>
      <c r="I1943">
        <v>1800</v>
      </c>
      <c r="J1943">
        <v>1</v>
      </c>
      <c r="K1943">
        <v>1</v>
      </c>
      <c r="L1943" s="4">
        <v>0.79222183568799165</v>
      </c>
      <c r="M1943" s="4">
        <v>0.20777816431200841</v>
      </c>
      <c r="N1943">
        <v>5</v>
      </c>
    </row>
    <row r="1944" spans="1:14" x14ac:dyDescent="0.35">
      <c r="A1944" s="1">
        <v>1371</v>
      </c>
      <c r="B1944">
        <v>9</v>
      </c>
      <c r="C1944">
        <v>55</v>
      </c>
      <c r="D1944">
        <v>1</v>
      </c>
      <c r="E1944">
        <v>0</v>
      </c>
      <c r="F1944">
        <v>3</v>
      </c>
      <c r="G1944">
        <v>3</v>
      </c>
      <c r="H1944">
        <v>2</v>
      </c>
      <c r="I1944">
        <v>1200</v>
      </c>
      <c r="J1944">
        <v>5</v>
      </c>
      <c r="K1944">
        <v>1</v>
      </c>
      <c r="L1944" s="4">
        <v>0.79231453997546286</v>
      </c>
      <c r="M1944" s="4">
        <v>0.20768546002453719</v>
      </c>
      <c r="N1944">
        <v>5</v>
      </c>
    </row>
    <row r="1945" spans="1:14" x14ac:dyDescent="0.35">
      <c r="A1945" s="1">
        <v>1986</v>
      </c>
      <c r="B1945">
        <v>11</v>
      </c>
      <c r="C1945">
        <v>63</v>
      </c>
      <c r="D1945">
        <v>5</v>
      </c>
      <c r="E1945">
        <v>0</v>
      </c>
      <c r="F1945">
        <v>3</v>
      </c>
      <c r="G1945">
        <v>3</v>
      </c>
      <c r="H1945">
        <v>0</v>
      </c>
      <c r="I1945">
        <v>6053.35</v>
      </c>
      <c r="J1945">
        <v>7</v>
      </c>
      <c r="K1945">
        <v>0</v>
      </c>
      <c r="L1945" s="4">
        <v>0.79243852460871222</v>
      </c>
      <c r="M1945" s="4">
        <v>0.2075614753912878</v>
      </c>
      <c r="N1945">
        <v>5</v>
      </c>
    </row>
    <row r="1946" spans="1:14" x14ac:dyDescent="0.35">
      <c r="A1946" s="1">
        <v>2655</v>
      </c>
      <c r="B1946">
        <v>7</v>
      </c>
      <c r="C1946">
        <v>41</v>
      </c>
      <c r="D1946">
        <v>5</v>
      </c>
      <c r="E1946">
        <v>1</v>
      </c>
      <c r="F1946">
        <v>1</v>
      </c>
      <c r="G1946">
        <v>5</v>
      </c>
      <c r="H1946">
        <v>2</v>
      </c>
      <c r="I1946">
        <v>3500</v>
      </c>
      <c r="J1946">
        <v>1</v>
      </c>
      <c r="K1946">
        <v>1</v>
      </c>
      <c r="L1946" s="4">
        <v>0.79252028773483785</v>
      </c>
      <c r="M1946" s="4">
        <v>0.2074797122651621</v>
      </c>
      <c r="N1946">
        <v>5</v>
      </c>
    </row>
    <row r="1947" spans="1:14" x14ac:dyDescent="0.35">
      <c r="A1947" s="1">
        <v>357</v>
      </c>
      <c r="B1947">
        <v>11</v>
      </c>
      <c r="C1947">
        <v>61</v>
      </c>
      <c r="D1947">
        <v>0</v>
      </c>
      <c r="E1947">
        <v>1</v>
      </c>
      <c r="F1947">
        <v>2</v>
      </c>
      <c r="G1947">
        <v>1</v>
      </c>
      <c r="H1947">
        <v>0</v>
      </c>
      <c r="I1947">
        <v>9000</v>
      </c>
      <c r="J1947">
        <v>6</v>
      </c>
      <c r="K1947">
        <v>0</v>
      </c>
      <c r="L1947" s="4">
        <v>0.79256174052276129</v>
      </c>
      <c r="M1947" s="4">
        <v>0.20743825947723871</v>
      </c>
      <c r="N1947">
        <v>5</v>
      </c>
    </row>
    <row r="1948" spans="1:14" x14ac:dyDescent="0.35">
      <c r="A1948" s="1">
        <v>157</v>
      </c>
      <c r="B1948">
        <v>11</v>
      </c>
      <c r="C1948">
        <v>63</v>
      </c>
      <c r="D1948">
        <v>3</v>
      </c>
      <c r="E1948">
        <v>0</v>
      </c>
      <c r="F1948">
        <v>1</v>
      </c>
      <c r="G1948">
        <v>7</v>
      </c>
      <c r="H1948">
        <v>2</v>
      </c>
      <c r="I1948">
        <v>3000.01</v>
      </c>
      <c r="J1948">
        <v>9</v>
      </c>
      <c r="K1948">
        <v>0</v>
      </c>
      <c r="L1948" s="4">
        <v>0.79291112813401221</v>
      </c>
      <c r="M1948" s="4">
        <v>0.20708887186598779</v>
      </c>
      <c r="N1948">
        <v>5</v>
      </c>
    </row>
    <row r="1949" spans="1:14" x14ac:dyDescent="0.35">
      <c r="A1949" s="1">
        <v>609</v>
      </c>
      <c r="B1949">
        <v>7</v>
      </c>
      <c r="C1949">
        <v>36</v>
      </c>
      <c r="D1949">
        <v>5</v>
      </c>
      <c r="E1949">
        <v>2</v>
      </c>
      <c r="F1949">
        <v>0</v>
      </c>
      <c r="G1949">
        <v>4</v>
      </c>
      <c r="H1949">
        <v>3</v>
      </c>
      <c r="I1949">
        <v>0.01</v>
      </c>
      <c r="J1949">
        <v>7</v>
      </c>
      <c r="K1949">
        <v>0</v>
      </c>
      <c r="L1949" s="4">
        <v>0.79295295937927035</v>
      </c>
      <c r="M1949" s="4">
        <v>0.20704704062072959</v>
      </c>
      <c r="N1949">
        <v>5</v>
      </c>
    </row>
    <row r="1950" spans="1:14" x14ac:dyDescent="0.35">
      <c r="A1950" s="1">
        <v>1773</v>
      </c>
      <c r="B1950">
        <v>7</v>
      </c>
      <c r="C1950">
        <v>45</v>
      </c>
      <c r="D1950">
        <v>3</v>
      </c>
      <c r="E1950">
        <v>0</v>
      </c>
      <c r="F1950">
        <v>4</v>
      </c>
      <c r="G1950">
        <v>9</v>
      </c>
      <c r="H1950">
        <v>2</v>
      </c>
      <c r="I1950">
        <v>1200</v>
      </c>
      <c r="J1950">
        <v>1</v>
      </c>
      <c r="K1950">
        <v>0</v>
      </c>
      <c r="L1950" s="4">
        <v>0.7931037562486245</v>
      </c>
      <c r="M1950" s="4">
        <v>0.20689624375137541</v>
      </c>
      <c r="N1950">
        <v>5</v>
      </c>
    </row>
    <row r="1951" spans="1:14" x14ac:dyDescent="0.35">
      <c r="A1951" s="1">
        <v>2670</v>
      </c>
      <c r="B1951">
        <v>7</v>
      </c>
      <c r="C1951">
        <v>47</v>
      </c>
      <c r="D1951">
        <v>1</v>
      </c>
      <c r="E1951">
        <v>0</v>
      </c>
      <c r="F1951">
        <v>3</v>
      </c>
      <c r="G1951">
        <v>3</v>
      </c>
      <c r="H1951">
        <v>2</v>
      </c>
      <c r="I1951">
        <v>1500</v>
      </c>
      <c r="J1951">
        <v>5</v>
      </c>
      <c r="K1951">
        <v>0</v>
      </c>
      <c r="L1951" s="4">
        <v>0.79322798054757293</v>
      </c>
      <c r="M1951" s="4">
        <v>0.2067720194524271</v>
      </c>
      <c r="N1951">
        <v>5</v>
      </c>
    </row>
    <row r="1952" spans="1:14" x14ac:dyDescent="0.35">
      <c r="A1952" s="1">
        <v>1079</v>
      </c>
      <c r="B1952">
        <v>11</v>
      </c>
      <c r="C1952">
        <v>59</v>
      </c>
      <c r="D1952">
        <v>5</v>
      </c>
      <c r="E1952">
        <v>1</v>
      </c>
      <c r="F1952">
        <v>1</v>
      </c>
      <c r="G1952">
        <v>5</v>
      </c>
      <c r="H1952">
        <v>0</v>
      </c>
      <c r="I1952">
        <v>12000</v>
      </c>
      <c r="J1952">
        <v>2</v>
      </c>
      <c r="K1952">
        <v>0</v>
      </c>
      <c r="L1952" s="4">
        <v>0.7933833595706854</v>
      </c>
      <c r="M1952" s="4">
        <v>0.2066166404293146</v>
      </c>
      <c r="N1952">
        <v>5</v>
      </c>
    </row>
    <row r="1953" spans="1:14" x14ac:dyDescent="0.35">
      <c r="A1953" s="1">
        <v>365</v>
      </c>
      <c r="B1953">
        <v>9</v>
      </c>
      <c r="C1953">
        <v>55</v>
      </c>
      <c r="D1953">
        <v>1</v>
      </c>
      <c r="E1953">
        <v>0</v>
      </c>
      <c r="F1953">
        <v>2</v>
      </c>
      <c r="G1953">
        <v>1</v>
      </c>
      <c r="H1953">
        <v>3</v>
      </c>
      <c r="I1953">
        <v>0.01</v>
      </c>
      <c r="J1953">
        <v>5</v>
      </c>
      <c r="K1953">
        <v>1</v>
      </c>
      <c r="L1953" s="4">
        <v>0.79338885534104442</v>
      </c>
      <c r="M1953" s="4">
        <v>0.20661114465895561</v>
      </c>
      <c r="N1953">
        <v>5</v>
      </c>
    </row>
    <row r="1954" spans="1:14" x14ac:dyDescent="0.35">
      <c r="A1954" s="1">
        <v>1399</v>
      </c>
      <c r="B1954">
        <v>7</v>
      </c>
      <c r="C1954">
        <v>45</v>
      </c>
      <c r="D1954">
        <v>4</v>
      </c>
      <c r="E1954">
        <v>0</v>
      </c>
      <c r="F1954">
        <v>3</v>
      </c>
      <c r="G1954">
        <v>3</v>
      </c>
      <c r="H1954">
        <v>3</v>
      </c>
      <c r="I1954">
        <v>0.01</v>
      </c>
      <c r="J1954">
        <v>8</v>
      </c>
      <c r="K1954">
        <v>0</v>
      </c>
      <c r="L1954" s="4">
        <v>0.79341379051804961</v>
      </c>
      <c r="M1954" s="4">
        <v>0.20658620948195031</v>
      </c>
      <c r="N1954">
        <v>5</v>
      </c>
    </row>
    <row r="1955" spans="1:14" x14ac:dyDescent="0.35">
      <c r="A1955" s="1">
        <v>3919</v>
      </c>
      <c r="B1955">
        <v>8</v>
      </c>
      <c r="C1955">
        <v>51</v>
      </c>
      <c r="D1955">
        <v>5</v>
      </c>
      <c r="E1955">
        <v>0</v>
      </c>
      <c r="F1955">
        <v>3</v>
      </c>
      <c r="G1955">
        <v>8</v>
      </c>
      <c r="H1955">
        <v>0</v>
      </c>
      <c r="I1955">
        <v>13000</v>
      </c>
      <c r="J1955">
        <v>22</v>
      </c>
      <c r="K1955">
        <v>0</v>
      </c>
      <c r="L1955" s="4">
        <v>0.79343085717146922</v>
      </c>
      <c r="M1955" s="4">
        <v>0.20656914282853081</v>
      </c>
      <c r="N1955">
        <v>5</v>
      </c>
    </row>
    <row r="1956" spans="1:14" x14ac:dyDescent="0.35">
      <c r="A1956" s="1">
        <v>3257</v>
      </c>
      <c r="B1956">
        <v>8</v>
      </c>
      <c r="C1956">
        <v>51</v>
      </c>
      <c r="D1956">
        <v>4</v>
      </c>
      <c r="E1956">
        <v>0</v>
      </c>
      <c r="F1956">
        <v>0</v>
      </c>
      <c r="G1956">
        <v>4</v>
      </c>
      <c r="H1956">
        <v>2</v>
      </c>
      <c r="I1956">
        <v>500</v>
      </c>
      <c r="J1956">
        <v>2</v>
      </c>
      <c r="K1956">
        <v>0</v>
      </c>
      <c r="L1956" s="4">
        <v>0.7934849491542274</v>
      </c>
      <c r="M1956" s="4">
        <v>0.2065150508457726</v>
      </c>
      <c r="N1956">
        <v>5</v>
      </c>
    </row>
    <row r="1957" spans="1:14" x14ac:dyDescent="0.35">
      <c r="A1957" s="1">
        <v>2081</v>
      </c>
      <c r="B1957">
        <v>7</v>
      </c>
      <c r="C1957">
        <v>44</v>
      </c>
      <c r="D1957">
        <v>2</v>
      </c>
      <c r="E1957">
        <v>1</v>
      </c>
      <c r="F1957">
        <v>1</v>
      </c>
      <c r="G1957">
        <v>7</v>
      </c>
      <c r="H1957">
        <v>0</v>
      </c>
      <c r="I1957">
        <v>9053.35</v>
      </c>
      <c r="J1957">
        <v>8</v>
      </c>
      <c r="K1957">
        <v>0</v>
      </c>
      <c r="L1957" s="4">
        <v>0.79360775897913172</v>
      </c>
      <c r="M1957" s="4">
        <v>0.20639224102086831</v>
      </c>
      <c r="N1957">
        <v>5</v>
      </c>
    </row>
    <row r="1958" spans="1:14" x14ac:dyDescent="0.35">
      <c r="A1958" s="1">
        <v>4381</v>
      </c>
      <c r="B1958">
        <v>6</v>
      </c>
      <c r="C1958">
        <v>42</v>
      </c>
      <c r="D1958">
        <v>3</v>
      </c>
      <c r="E1958">
        <v>0</v>
      </c>
      <c r="F1958">
        <v>2</v>
      </c>
      <c r="G1958">
        <v>1</v>
      </c>
      <c r="H1958">
        <v>3</v>
      </c>
      <c r="I1958">
        <v>0.01</v>
      </c>
      <c r="J1958">
        <v>5</v>
      </c>
      <c r="K1958">
        <v>0</v>
      </c>
      <c r="L1958" s="4">
        <v>0.79363406793901581</v>
      </c>
      <c r="M1958" s="4">
        <v>0.20636593206098419</v>
      </c>
      <c r="N1958">
        <v>5</v>
      </c>
    </row>
    <row r="1959" spans="1:14" x14ac:dyDescent="0.35">
      <c r="A1959" s="1">
        <v>1461</v>
      </c>
      <c r="B1959">
        <v>12</v>
      </c>
      <c r="C1959">
        <v>69</v>
      </c>
      <c r="D1959">
        <v>4</v>
      </c>
      <c r="E1959">
        <v>0</v>
      </c>
      <c r="F1959">
        <v>0</v>
      </c>
      <c r="G1959">
        <v>11</v>
      </c>
      <c r="H1959">
        <v>1</v>
      </c>
      <c r="I1959">
        <v>62000</v>
      </c>
      <c r="J1959">
        <v>4</v>
      </c>
      <c r="K1959">
        <v>0</v>
      </c>
      <c r="L1959" s="4">
        <v>0.7936509824379252</v>
      </c>
      <c r="M1959" s="4">
        <v>0.20634901756207469</v>
      </c>
      <c r="N1959">
        <v>5</v>
      </c>
    </row>
    <row r="1960" spans="1:14" x14ac:dyDescent="0.35">
      <c r="A1960" s="1">
        <v>2084</v>
      </c>
      <c r="B1960">
        <v>11</v>
      </c>
      <c r="C1960">
        <v>64</v>
      </c>
      <c r="D1960">
        <v>5</v>
      </c>
      <c r="E1960">
        <v>0</v>
      </c>
      <c r="F1960">
        <v>1</v>
      </c>
      <c r="G1960">
        <v>5</v>
      </c>
      <c r="H1960">
        <v>0</v>
      </c>
      <c r="I1960">
        <v>12000</v>
      </c>
      <c r="J1960">
        <v>4</v>
      </c>
      <c r="K1960">
        <v>1</v>
      </c>
      <c r="L1960" s="4">
        <v>0.79384569338354438</v>
      </c>
      <c r="M1960" s="4">
        <v>0.20615430661645559</v>
      </c>
      <c r="N1960">
        <v>5</v>
      </c>
    </row>
    <row r="1961" spans="1:14" x14ac:dyDescent="0.35">
      <c r="A1961" s="1">
        <v>3808</v>
      </c>
      <c r="B1961">
        <v>8</v>
      </c>
      <c r="C1961">
        <v>51</v>
      </c>
      <c r="D1961">
        <v>3</v>
      </c>
      <c r="E1961">
        <v>0</v>
      </c>
      <c r="F1961">
        <v>0</v>
      </c>
      <c r="G1961">
        <v>11</v>
      </c>
      <c r="H1961">
        <v>2</v>
      </c>
      <c r="I1961">
        <v>5000</v>
      </c>
      <c r="J1961">
        <v>4</v>
      </c>
      <c r="K1961">
        <v>0</v>
      </c>
      <c r="L1961" s="4">
        <v>0.79386207769275807</v>
      </c>
      <c r="M1961" s="4">
        <v>0.2061379223072419</v>
      </c>
      <c r="N1961">
        <v>5</v>
      </c>
    </row>
    <row r="1962" spans="1:14" x14ac:dyDescent="0.35">
      <c r="A1962" s="1">
        <v>3780</v>
      </c>
      <c r="B1962">
        <v>7</v>
      </c>
      <c r="C1962">
        <v>46</v>
      </c>
      <c r="D1962">
        <v>3</v>
      </c>
      <c r="E1962">
        <v>0</v>
      </c>
      <c r="F1962">
        <v>1</v>
      </c>
      <c r="G1962">
        <v>7</v>
      </c>
      <c r="H1962">
        <v>3</v>
      </c>
      <c r="I1962">
        <v>0.01</v>
      </c>
      <c r="J1962">
        <v>5</v>
      </c>
      <c r="K1962">
        <v>0</v>
      </c>
      <c r="L1962" s="4">
        <v>0.79387803747621621</v>
      </c>
      <c r="M1962" s="4">
        <v>0.20612196252378381</v>
      </c>
      <c r="N1962">
        <v>5</v>
      </c>
    </row>
    <row r="1963" spans="1:14" x14ac:dyDescent="0.35">
      <c r="A1963" s="1">
        <v>3592</v>
      </c>
      <c r="B1963">
        <v>7</v>
      </c>
      <c r="C1963">
        <v>47</v>
      </c>
      <c r="D1963">
        <v>1</v>
      </c>
      <c r="E1963">
        <v>0</v>
      </c>
      <c r="F1963">
        <v>1</v>
      </c>
      <c r="G1963">
        <v>7</v>
      </c>
      <c r="H1963">
        <v>3</v>
      </c>
      <c r="I1963">
        <v>0.01</v>
      </c>
      <c r="J1963">
        <v>9</v>
      </c>
      <c r="K1963">
        <v>0</v>
      </c>
      <c r="L1963" s="4">
        <v>0.79427512956575019</v>
      </c>
      <c r="M1963" s="4">
        <v>0.20572487043424981</v>
      </c>
      <c r="N1963">
        <v>5</v>
      </c>
    </row>
    <row r="1964" spans="1:14" x14ac:dyDescent="0.35">
      <c r="A1964" s="1">
        <v>3530</v>
      </c>
      <c r="B1964">
        <v>11</v>
      </c>
      <c r="C1964">
        <v>66</v>
      </c>
      <c r="D1964">
        <v>2</v>
      </c>
      <c r="E1964">
        <v>0</v>
      </c>
      <c r="F1964">
        <v>0</v>
      </c>
      <c r="G1964">
        <v>2</v>
      </c>
      <c r="H1964">
        <v>0</v>
      </c>
      <c r="I1964">
        <v>5000.01</v>
      </c>
      <c r="J1964">
        <v>8</v>
      </c>
      <c r="K1964">
        <v>0</v>
      </c>
      <c r="L1964" s="4">
        <v>0.79428478588569373</v>
      </c>
      <c r="M1964" s="4">
        <v>0.20571521411430629</v>
      </c>
      <c r="N1964">
        <v>5</v>
      </c>
    </row>
    <row r="1965" spans="1:14" x14ac:dyDescent="0.35">
      <c r="A1965" s="1">
        <v>2524</v>
      </c>
      <c r="B1965">
        <v>10</v>
      </c>
      <c r="C1965">
        <v>49</v>
      </c>
      <c r="D1965">
        <v>2</v>
      </c>
      <c r="E1965">
        <v>2</v>
      </c>
      <c r="F1965">
        <v>1</v>
      </c>
      <c r="G1965">
        <v>5</v>
      </c>
      <c r="H1965">
        <v>3</v>
      </c>
      <c r="I1965">
        <v>0.01</v>
      </c>
      <c r="J1965">
        <v>5</v>
      </c>
      <c r="K1965">
        <v>0</v>
      </c>
      <c r="L1965" s="4">
        <v>0.79437526342210196</v>
      </c>
      <c r="M1965" s="4">
        <v>0.20562473657789801</v>
      </c>
      <c r="N1965">
        <v>5</v>
      </c>
    </row>
    <row r="1966" spans="1:14" x14ac:dyDescent="0.35">
      <c r="A1966" s="1">
        <v>2160</v>
      </c>
      <c r="B1966">
        <v>12</v>
      </c>
      <c r="C1966">
        <v>70</v>
      </c>
      <c r="D1966">
        <v>2</v>
      </c>
      <c r="E1966">
        <v>0</v>
      </c>
      <c r="F1966">
        <v>0</v>
      </c>
      <c r="G1966">
        <v>4</v>
      </c>
      <c r="H1966">
        <v>0</v>
      </c>
      <c r="I1966">
        <v>9000</v>
      </c>
      <c r="J1966">
        <v>8</v>
      </c>
      <c r="K1966">
        <v>1</v>
      </c>
      <c r="L1966" s="4">
        <v>0.79453176648352886</v>
      </c>
      <c r="M1966" s="4">
        <v>0.2054682335164712</v>
      </c>
      <c r="N1966">
        <v>5</v>
      </c>
    </row>
    <row r="1967" spans="1:14" x14ac:dyDescent="0.35">
      <c r="A1967" s="1">
        <v>2241</v>
      </c>
      <c r="B1967">
        <v>8</v>
      </c>
      <c r="C1967">
        <v>50</v>
      </c>
      <c r="D1967">
        <v>5</v>
      </c>
      <c r="E1967">
        <v>0</v>
      </c>
      <c r="F1967">
        <v>0</v>
      </c>
      <c r="G1967">
        <v>4</v>
      </c>
      <c r="H1967">
        <v>3</v>
      </c>
      <c r="I1967">
        <v>0.01</v>
      </c>
      <c r="J1967">
        <v>5</v>
      </c>
      <c r="K1967">
        <v>0</v>
      </c>
      <c r="L1967" s="4">
        <v>0.79464445358132185</v>
      </c>
      <c r="M1967" s="4">
        <v>0.20535554641867809</v>
      </c>
      <c r="N1967">
        <v>5</v>
      </c>
    </row>
    <row r="1968" spans="1:14" x14ac:dyDescent="0.35">
      <c r="A1968" s="1">
        <v>1144</v>
      </c>
      <c r="B1968">
        <v>7</v>
      </c>
      <c r="C1968">
        <v>50</v>
      </c>
      <c r="D1968">
        <v>1</v>
      </c>
      <c r="E1968">
        <v>0</v>
      </c>
      <c r="F1968">
        <v>0</v>
      </c>
      <c r="G1968">
        <v>4</v>
      </c>
      <c r="H1968">
        <v>0</v>
      </c>
      <c r="I1968">
        <v>6000</v>
      </c>
      <c r="J1968">
        <v>2</v>
      </c>
      <c r="K1968">
        <v>0</v>
      </c>
      <c r="L1968" s="4">
        <v>0.79475211868471984</v>
      </c>
      <c r="M1968" s="4">
        <v>0.2052478813152801</v>
      </c>
      <c r="N1968">
        <v>5</v>
      </c>
    </row>
    <row r="1969" spans="1:14" x14ac:dyDescent="0.35">
      <c r="A1969" s="1">
        <v>1760</v>
      </c>
      <c r="B1969">
        <v>9</v>
      </c>
      <c r="C1969">
        <v>51</v>
      </c>
      <c r="D1969">
        <v>3</v>
      </c>
      <c r="E1969">
        <v>1</v>
      </c>
      <c r="F1969">
        <v>3</v>
      </c>
      <c r="G1969">
        <v>3</v>
      </c>
      <c r="H1969">
        <v>0</v>
      </c>
      <c r="I1969">
        <v>6000</v>
      </c>
      <c r="J1969">
        <v>2</v>
      </c>
      <c r="K1969">
        <v>0</v>
      </c>
      <c r="L1969" s="4">
        <v>0.79485096710910341</v>
      </c>
      <c r="M1969" s="4">
        <v>0.20514903289089659</v>
      </c>
      <c r="N1969">
        <v>5</v>
      </c>
    </row>
    <row r="1970" spans="1:14" x14ac:dyDescent="0.35">
      <c r="A1970" s="1">
        <v>559</v>
      </c>
      <c r="B1970">
        <v>7</v>
      </c>
      <c r="C1970">
        <v>49</v>
      </c>
      <c r="D1970">
        <v>2</v>
      </c>
      <c r="E1970">
        <v>0</v>
      </c>
      <c r="F1970">
        <v>0</v>
      </c>
      <c r="G1970">
        <v>11</v>
      </c>
      <c r="H1970">
        <v>0</v>
      </c>
      <c r="I1970">
        <v>6000</v>
      </c>
      <c r="J1970">
        <v>5</v>
      </c>
      <c r="K1970">
        <v>1</v>
      </c>
      <c r="L1970" s="4">
        <v>0.79486625807918998</v>
      </c>
      <c r="M1970" s="4">
        <v>0.20513374192080999</v>
      </c>
      <c r="N1970">
        <v>5</v>
      </c>
    </row>
    <row r="1971" spans="1:14" x14ac:dyDescent="0.35">
      <c r="A1971" s="1">
        <v>2047</v>
      </c>
      <c r="B1971">
        <v>4</v>
      </c>
      <c r="C1971">
        <v>29</v>
      </c>
      <c r="D1971">
        <v>2</v>
      </c>
      <c r="E1971">
        <v>1</v>
      </c>
      <c r="F1971">
        <v>1</v>
      </c>
      <c r="G1971">
        <v>12</v>
      </c>
      <c r="H1971">
        <v>3</v>
      </c>
      <c r="I1971">
        <v>0.01</v>
      </c>
      <c r="J1971">
        <v>4</v>
      </c>
      <c r="K1971">
        <v>0</v>
      </c>
      <c r="L1971" s="4">
        <v>0.79487479090869995</v>
      </c>
      <c r="M1971" s="4">
        <v>0.20512520909130011</v>
      </c>
      <c r="N1971">
        <v>5</v>
      </c>
    </row>
    <row r="1972" spans="1:14" x14ac:dyDescent="0.35">
      <c r="A1972" s="1">
        <v>3973</v>
      </c>
      <c r="B1972">
        <v>11</v>
      </c>
      <c r="C1972">
        <v>63</v>
      </c>
      <c r="D1972">
        <v>2</v>
      </c>
      <c r="E1972">
        <v>0</v>
      </c>
      <c r="F1972">
        <v>3</v>
      </c>
      <c r="G1972">
        <v>3</v>
      </c>
      <c r="H1972">
        <v>2</v>
      </c>
      <c r="I1972">
        <v>500</v>
      </c>
      <c r="J1972">
        <v>9</v>
      </c>
      <c r="K1972">
        <v>1</v>
      </c>
      <c r="L1972" s="4">
        <v>0.7949752628856418</v>
      </c>
      <c r="M1972" s="4">
        <v>0.2050247371143582</v>
      </c>
      <c r="N1972">
        <v>5</v>
      </c>
    </row>
    <row r="1973" spans="1:14" x14ac:dyDescent="0.35">
      <c r="A1973" s="1">
        <v>1176</v>
      </c>
      <c r="B1973">
        <v>8</v>
      </c>
      <c r="C1973">
        <v>51</v>
      </c>
      <c r="D1973">
        <v>3</v>
      </c>
      <c r="E1973">
        <v>0</v>
      </c>
      <c r="F1973">
        <v>0</v>
      </c>
      <c r="G1973">
        <v>4</v>
      </c>
      <c r="H1973">
        <v>3</v>
      </c>
      <c r="I1973">
        <v>0.01</v>
      </c>
      <c r="J1973">
        <v>9</v>
      </c>
      <c r="K1973">
        <v>0</v>
      </c>
      <c r="L1973" s="4">
        <v>0.7950404503711026</v>
      </c>
      <c r="M1973" s="4">
        <v>0.2049595496288974</v>
      </c>
      <c r="N1973">
        <v>5</v>
      </c>
    </row>
    <row r="1974" spans="1:14" x14ac:dyDescent="0.35">
      <c r="A1974" s="1">
        <v>2423</v>
      </c>
      <c r="B1974">
        <v>10</v>
      </c>
      <c r="C1974">
        <v>60</v>
      </c>
      <c r="D1974">
        <v>3</v>
      </c>
      <c r="E1974">
        <v>0</v>
      </c>
      <c r="F1974">
        <v>0</v>
      </c>
      <c r="G1974">
        <v>2</v>
      </c>
      <c r="H1974">
        <v>2</v>
      </c>
      <c r="I1974">
        <v>2000</v>
      </c>
      <c r="J1974">
        <v>5</v>
      </c>
      <c r="K1974">
        <v>0</v>
      </c>
      <c r="L1974" s="4">
        <v>0.79521273743027099</v>
      </c>
      <c r="M1974" s="4">
        <v>0.20478726256972901</v>
      </c>
      <c r="N1974">
        <v>5</v>
      </c>
    </row>
    <row r="1975" spans="1:14" x14ac:dyDescent="0.35">
      <c r="A1975" s="1">
        <v>219</v>
      </c>
      <c r="B1975">
        <v>11</v>
      </c>
      <c r="C1975">
        <v>63</v>
      </c>
      <c r="D1975">
        <v>1</v>
      </c>
      <c r="E1975">
        <v>0</v>
      </c>
      <c r="F1975">
        <v>3</v>
      </c>
      <c r="G1975">
        <v>8</v>
      </c>
      <c r="H1975">
        <v>2</v>
      </c>
      <c r="I1975">
        <v>50.01</v>
      </c>
      <c r="J1975">
        <v>9</v>
      </c>
      <c r="K1975">
        <v>0</v>
      </c>
      <c r="L1975" s="4">
        <v>0.79527985932042333</v>
      </c>
      <c r="M1975" s="4">
        <v>0.2047201406795767</v>
      </c>
      <c r="N1975">
        <v>5</v>
      </c>
    </row>
    <row r="1976" spans="1:14" x14ac:dyDescent="0.35">
      <c r="A1976" s="1">
        <v>1924</v>
      </c>
      <c r="B1976">
        <v>7</v>
      </c>
      <c r="C1976">
        <v>43</v>
      </c>
      <c r="D1976">
        <v>1</v>
      </c>
      <c r="E1976">
        <v>1</v>
      </c>
      <c r="F1976">
        <v>2</v>
      </c>
      <c r="G1976">
        <v>0</v>
      </c>
      <c r="H1976">
        <v>2</v>
      </c>
      <c r="I1976">
        <v>3000</v>
      </c>
      <c r="J1976">
        <v>1</v>
      </c>
      <c r="K1976">
        <v>0</v>
      </c>
      <c r="L1976" s="4">
        <v>0.79528876784347335</v>
      </c>
      <c r="M1976" s="4">
        <v>0.2047112321565267</v>
      </c>
      <c r="N1976">
        <v>5</v>
      </c>
    </row>
    <row r="1977" spans="1:14" x14ac:dyDescent="0.35">
      <c r="A1977" s="1">
        <v>3891</v>
      </c>
      <c r="B1977">
        <v>9</v>
      </c>
      <c r="C1977">
        <v>47</v>
      </c>
      <c r="D1977">
        <v>1</v>
      </c>
      <c r="E1977">
        <v>2</v>
      </c>
      <c r="F1977">
        <v>0</v>
      </c>
      <c r="G1977">
        <v>2</v>
      </c>
      <c r="H1977">
        <v>2</v>
      </c>
      <c r="I1977">
        <v>2000</v>
      </c>
      <c r="J1977">
        <v>4</v>
      </c>
      <c r="K1977">
        <v>0</v>
      </c>
      <c r="L1977" s="4">
        <v>0.79539015127245882</v>
      </c>
      <c r="M1977" s="4">
        <v>0.20460984872754109</v>
      </c>
      <c r="N1977">
        <v>5</v>
      </c>
    </row>
    <row r="1978" spans="1:14" x14ac:dyDescent="0.35">
      <c r="A1978" s="1">
        <v>2389</v>
      </c>
      <c r="B1978">
        <v>8</v>
      </c>
      <c r="C1978">
        <v>51</v>
      </c>
      <c r="D1978">
        <v>0</v>
      </c>
      <c r="E1978">
        <v>0</v>
      </c>
      <c r="F1978">
        <v>3</v>
      </c>
      <c r="G1978">
        <v>3</v>
      </c>
      <c r="H1978">
        <v>3</v>
      </c>
      <c r="I1978">
        <v>0.01</v>
      </c>
      <c r="J1978">
        <v>8</v>
      </c>
      <c r="K1978">
        <v>0</v>
      </c>
      <c r="L1978" s="4">
        <v>0.7953925762115317</v>
      </c>
      <c r="M1978" s="4">
        <v>0.2046074237884683</v>
      </c>
      <c r="N1978">
        <v>5</v>
      </c>
    </row>
    <row r="1979" spans="1:14" x14ac:dyDescent="0.35">
      <c r="A1979" s="1">
        <v>1575</v>
      </c>
      <c r="B1979">
        <v>8</v>
      </c>
      <c r="C1979">
        <v>46</v>
      </c>
      <c r="D1979">
        <v>2</v>
      </c>
      <c r="E1979">
        <v>1</v>
      </c>
      <c r="F1979">
        <v>3</v>
      </c>
      <c r="G1979">
        <v>3</v>
      </c>
      <c r="H1979">
        <v>2</v>
      </c>
      <c r="I1979">
        <v>600</v>
      </c>
      <c r="J1979">
        <v>9</v>
      </c>
      <c r="K1979">
        <v>0</v>
      </c>
      <c r="L1979" s="4">
        <v>0.79554696839901573</v>
      </c>
      <c r="M1979" s="4">
        <v>0.20445303160098419</v>
      </c>
      <c r="N1979">
        <v>5</v>
      </c>
    </row>
    <row r="1980" spans="1:14" x14ac:dyDescent="0.35">
      <c r="A1980" s="1">
        <v>2209</v>
      </c>
      <c r="B1980">
        <v>9</v>
      </c>
      <c r="C1980">
        <v>51</v>
      </c>
      <c r="D1980">
        <v>1</v>
      </c>
      <c r="E1980">
        <v>1</v>
      </c>
      <c r="F1980">
        <v>0</v>
      </c>
      <c r="G1980">
        <v>4</v>
      </c>
      <c r="H1980">
        <v>3</v>
      </c>
      <c r="I1980">
        <v>0.01</v>
      </c>
      <c r="J1980">
        <v>5</v>
      </c>
      <c r="K1980">
        <v>0</v>
      </c>
      <c r="L1980" s="4">
        <v>0.79573932887342103</v>
      </c>
      <c r="M1980" s="4">
        <v>0.204260671126579</v>
      </c>
      <c r="N1980">
        <v>5</v>
      </c>
    </row>
    <row r="1981" spans="1:14" x14ac:dyDescent="0.35">
      <c r="A1981" s="1">
        <v>1321</v>
      </c>
      <c r="B1981">
        <v>8</v>
      </c>
      <c r="C1981">
        <v>53</v>
      </c>
      <c r="D1981">
        <v>0</v>
      </c>
      <c r="E1981">
        <v>0</v>
      </c>
      <c r="F1981">
        <v>2</v>
      </c>
      <c r="G1981">
        <v>1</v>
      </c>
      <c r="H1981">
        <v>2</v>
      </c>
      <c r="I1981">
        <v>2004</v>
      </c>
      <c r="J1981">
        <v>31</v>
      </c>
      <c r="K1981">
        <v>0</v>
      </c>
      <c r="L1981" s="4">
        <v>0.79606663302332537</v>
      </c>
      <c r="M1981" s="4">
        <v>0.20393336697667461</v>
      </c>
      <c r="N1981">
        <v>5</v>
      </c>
    </row>
    <row r="1982" spans="1:14" x14ac:dyDescent="0.35">
      <c r="A1982" s="1">
        <v>73</v>
      </c>
      <c r="B1982">
        <v>10</v>
      </c>
      <c r="C1982">
        <v>60</v>
      </c>
      <c r="D1982">
        <v>1</v>
      </c>
      <c r="E1982">
        <v>0</v>
      </c>
      <c r="F1982">
        <v>0</v>
      </c>
      <c r="G1982">
        <v>4</v>
      </c>
      <c r="H1982">
        <v>3</v>
      </c>
      <c r="I1982">
        <v>0.01</v>
      </c>
      <c r="J1982">
        <v>5</v>
      </c>
      <c r="K1982">
        <v>0</v>
      </c>
      <c r="L1982" s="4">
        <v>0.79612445260120845</v>
      </c>
      <c r="M1982" s="4">
        <v>0.20387554739879149</v>
      </c>
      <c r="N1982">
        <v>5</v>
      </c>
    </row>
    <row r="1983" spans="1:14" x14ac:dyDescent="0.35">
      <c r="A1983" s="1">
        <v>2565</v>
      </c>
      <c r="B1983">
        <v>10</v>
      </c>
      <c r="C1983">
        <v>59</v>
      </c>
      <c r="D1983">
        <v>2</v>
      </c>
      <c r="E1983">
        <v>0</v>
      </c>
      <c r="F1983">
        <v>1</v>
      </c>
      <c r="G1983">
        <v>5</v>
      </c>
      <c r="H1983">
        <v>3</v>
      </c>
      <c r="I1983">
        <v>0.01</v>
      </c>
      <c r="J1983">
        <v>5</v>
      </c>
      <c r="K1983">
        <v>0</v>
      </c>
      <c r="L1983" s="4">
        <v>0.79613143666798236</v>
      </c>
      <c r="M1983" s="4">
        <v>0.20386856333201761</v>
      </c>
      <c r="N1983">
        <v>5</v>
      </c>
    </row>
    <row r="1984" spans="1:14" x14ac:dyDescent="0.35">
      <c r="A1984" s="1">
        <v>2815</v>
      </c>
      <c r="B1984">
        <v>9</v>
      </c>
      <c r="C1984">
        <v>53</v>
      </c>
      <c r="D1984">
        <v>2</v>
      </c>
      <c r="E1984">
        <v>1</v>
      </c>
      <c r="F1984">
        <v>0</v>
      </c>
      <c r="G1984">
        <v>4</v>
      </c>
      <c r="H1984">
        <v>0</v>
      </c>
      <c r="I1984">
        <v>6000</v>
      </c>
      <c r="J1984">
        <v>6</v>
      </c>
      <c r="K1984">
        <v>0</v>
      </c>
      <c r="L1984" s="4">
        <v>0.79633407419918567</v>
      </c>
      <c r="M1984" s="4">
        <v>0.2036659258008143</v>
      </c>
      <c r="N1984">
        <v>5</v>
      </c>
    </row>
    <row r="1985" spans="1:14" x14ac:dyDescent="0.35">
      <c r="A1985" s="1">
        <v>3115</v>
      </c>
      <c r="B1985">
        <v>10</v>
      </c>
      <c r="C1985">
        <v>61</v>
      </c>
      <c r="D1985">
        <v>1</v>
      </c>
      <c r="E1985">
        <v>0</v>
      </c>
      <c r="F1985">
        <v>3</v>
      </c>
      <c r="G1985">
        <v>3</v>
      </c>
      <c r="H1985">
        <v>0</v>
      </c>
      <c r="I1985">
        <v>6000</v>
      </c>
      <c r="J1985">
        <v>2</v>
      </c>
      <c r="K1985">
        <v>0</v>
      </c>
      <c r="L1985" s="4">
        <v>0.79646702291309057</v>
      </c>
      <c r="M1985" s="4">
        <v>0.2035329770869094</v>
      </c>
      <c r="N1985">
        <v>5</v>
      </c>
    </row>
    <row r="1986" spans="1:14" x14ac:dyDescent="0.35">
      <c r="A1986" s="1">
        <v>3238</v>
      </c>
      <c r="B1986">
        <v>8</v>
      </c>
      <c r="C1986">
        <v>51</v>
      </c>
      <c r="D1986">
        <v>5</v>
      </c>
      <c r="E1986">
        <v>0</v>
      </c>
      <c r="F1986">
        <v>0</v>
      </c>
      <c r="G1986">
        <v>4</v>
      </c>
      <c r="H1986">
        <v>2</v>
      </c>
      <c r="I1986">
        <v>2800</v>
      </c>
      <c r="J1986">
        <v>5</v>
      </c>
      <c r="K1986">
        <v>1</v>
      </c>
      <c r="L1986" s="4">
        <v>0.79653915514560947</v>
      </c>
      <c r="M1986" s="4">
        <v>0.2034608448543905</v>
      </c>
      <c r="N1986">
        <v>5</v>
      </c>
    </row>
    <row r="1987" spans="1:14" x14ac:dyDescent="0.35">
      <c r="A1987" s="1">
        <v>417</v>
      </c>
      <c r="B1987">
        <v>11</v>
      </c>
      <c r="C1987">
        <v>62</v>
      </c>
      <c r="D1987">
        <v>3</v>
      </c>
      <c r="E1987">
        <v>0</v>
      </c>
      <c r="F1987">
        <v>1</v>
      </c>
      <c r="G1987">
        <v>12</v>
      </c>
      <c r="H1987">
        <v>3</v>
      </c>
      <c r="I1987">
        <v>0.01</v>
      </c>
      <c r="J1987">
        <v>4</v>
      </c>
      <c r="K1987">
        <v>1</v>
      </c>
      <c r="L1987" s="4">
        <v>0.79658849346895289</v>
      </c>
      <c r="M1987" s="4">
        <v>0.20341150653104709</v>
      </c>
      <c r="N1987">
        <v>5</v>
      </c>
    </row>
    <row r="1988" spans="1:14" x14ac:dyDescent="0.35">
      <c r="A1988" s="1">
        <v>1509</v>
      </c>
      <c r="B1988">
        <v>9</v>
      </c>
      <c r="C1988">
        <v>56</v>
      </c>
      <c r="D1988">
        <v>0</v>
      </c>
      <c r="E1988">
        <v>0</v>
      </c>
      <c r="F1988">
        <v>3</v>
      </c>
      <c r="G1988">
        <v>3</v>
      </c>
      <c r="H1988">
        <v>2</v>
      </c>
      <c r="I1988">
        <v>3000</v>
      </c>
      <c r="J1988">
        <v>8</v>
      </c>
      <c r="K1988">
        <v>0</v>
      </c>
      <c r="L1988" s="4">
        <v>0.79674113245185019</v>
      </c>
      <c r="M1988" s="4">
        <v>0.20325886754814981</v>
      </c>
      <c r="N1988">
        <v>5</v>
      </c>
    </row>
    <row r="1989" spans="1:14" x14ac:dyDescent="0.35">
      <c r="A1989" s="1">
        <v>1826</v>
      </c>
      <c r="B1989">
        <v>8</v>
      </c>
      <c r="C1989">
        <v>51</v>
      </c>
      <c r="D1989">
        <v>2</v>
      </c>
      <c r="E1989">
        <v>0</v>
      </c>
      <c r="F1989">
        <v>3</v>
      </c>
      <c r="G1989">
        <v>3</v>
      </c>
      <c r="H1989">
        <v>2</v>
      </c>
      <c r="I1989">
        <v>50.02</v>
      </c>
      <c r="J1989">
        <v>8</v>
      </c>
      <c r="K1989">
        <v>0</v>
      </c>
      <c r="L1989" s="4">
        <v>0.79677452564734574</v>
      </c>
      <c r="M1989" s="4">
        <v>0.2032254743526542</v>
      </c>
      <c r="N1989">
        <v>5</v>
      </c>
    </row>
    <row r="1990" spans="1:14" x14ac:dyDescent="0.35">
      <c r="A1990" s="1">
        <v>3867</v>
      </c>
      <c r="B1990">
        <v>10</v>
      </c>
      <c r="C1990">
        <v>59</v>
      </c>
      <c r="D1990">
        <v>2</v>
      </c>
      <c r="E1990">
        <v>0</v>
      </c>
      <c r="F1990">
        <v>1</v>
      </c>
      <c r="G1990">
        <v>7</v>
      </c>
      <c r="H1990">
        <v>3</v>
      </c>
      <c r="I1990">
        <v>0.01</v>
      </c>
      <c r="J1990">
        <v>10</v>
      </c>
      <c r="K1990">
        <v>1</v>
      </c>
      <c r="L1990" s="4">
        <v>0.7968695184432435</v>
      </c>
      <c r="M1990" s="4">
        <v>0.20313048155675659</v>
      </c>
      <c r="N1990">
        <v>5</v>
      </c>
    </row>
    <row r="1991" spans="1:14" x14ac:dyDescent="0.35">
      <c r="A1991" s="1">
        <v>1207</v>
      </c>
      <c r="B1991">
        <v>9</v>
      </c>
      <c r="C1991">
        <v>49</v>
      </c>
      <c r="D1991">
        <v>5</v>
      </c>
      <c r="E1991">
        <v>1</v>
      </c>
      <c r="F1991">
        <v>1</v>
      </c>
      <c r="G1991">
        <v>12</v>
      </c>
      <c r="H1991">
        <v>2</v>
      </c>
      <c r="I1991">
        <v>600</v>
      </c>
      <c r="J1991">
        <v>9</v>
      </c>
      <c r="K1991">
        <v>0</v>
      </c>
      <c r="L1991" s="4">
        <v>0.79688844840435524</v>
      </c>
      <c r="M1991" s="4">
        <v>0.20311155159564481</v>
      </c>
      <c r="N1991">
        <v>5</v>
      </c>
    </row>
    <row r="1992" spans="1:14" x14ac:dyDescent="0.35">
      <c r="A1992" s="1">
        <v>3027</v>
      </c>
      <c r="B1992">
        <v>11</v>
      </c>
      <c r="C1992">
        <v>54</v>
      </c>
      <c r="D1992">
        <v>2</v>
      </c>
      <c r="E1992">
        <v>2</v>
      </c>
      <c r="F1992">
        <v>4</v>
      </c>
      <c r="G1992">
        <v>9</v>
      </c>
      <c r="H1992">
        <v>0</v>
      </c>
      <c r="I1992">
        <v>11000</v>
      </c>
      <c r="J1992">
        <v>4</v>
      </c>
      <c r="K1992">
        <v>0</v>
      </c>
      <c r="L1992" s="4">
        <v>0.79696206376321888</v>
      </c>
      <c r="M1992" s="4">
        <v>0.20303793623678121</v>
      </c>
      <c r="N1992">
        <v>5</v>
      </c>
    </row>
    <row r="1993" spans="1:14" x14ac:dyDescent="0.35">
      <c r="A1993" s="1">
        <v>1894</v>
      </c>
      <c r="B1993">
        <v>7</v>
      </c>
      <c r="C1993">
        <v>43</v>
      </c>
      <c r="D1993">
        <v>0</v>
      </c>
      <c r="E1993">
        <v>1</v>
      </c>
      <c r="F1993">
        <v>3</v>
      </c>
      <c r="G1993">
        <v>3</v>
      </c>
      <c r="H1993">
        <v>2</v>
      </c>
      <c r="I1993">
        <v>4884.25</v>
      </c>
      <c r="J1993">
        <v>5</v>
      </c>
      <c r="K1993">
        <v>0</v>
      </c>
      <c r="L1993" s="4">
        <v>0.79697906127733842</v>
      </c>
      <c r="M1993" s="4">
        <v>0.20302093872266161</v>
      </c>
      <c r="N1993">
        <v>5</v>
      </c>
    </row>
    <row r="1994" spans="1:14" x14ac:dyDescent="0.35">
      <c r="A1994" s="1">
        <v>1989</v>
      </c>
      <c r="B1994">
        <v>11</v>
      </c>
      <c r="C1994">
        <v>59</v>
      </c>
      <c r="D1994">
        <v>3</v>
      </c>
      <c r="E1994">
        <v>1</v>
      </c>
      <c r="F1994">
        <v>3</v>
      </c>
      <c r="G1994">
        <v>3</v>
      </c>
      <c r="H1994">
        <v>1</v>
      </c>
      <c r="I1994">
        <v>20499.3</v>
      </c>
      <c r="J1994">
        <v>3</v>
      </c>
      <c r="K1994">
        <v>0</v>
      </c>
      <c r="L1994" s="4">
        <v>0.79701458811058301</v>
      </c>
      <c r="M1994" s="4">
        <v>0.20298541188941699</v>
      </c>
      <c r="N1994">
        <v>5</v>
      </c>
    </row>
    <row r="1995" spans="1:14" x14ac:dyDescent="0.35">
      <c r="A1995" s="1">
        <v>4212</v>
      </c>
      <c r="B1995">
        <v>7</v>
      </c>
      <c r="C1995">
        <v>47</v>
      </c>
      <c r="D1995">
        <v>5</v>
      </c>
      <c r="E1995">
        <v>0</v>
      </c>
      <c r="F1995">
        <v>0</v>
      </c>
      <c r="G1995">
        <v>4</v>
      </c>
      <c r="H1995">
        <v>2</v>
      </c>
      <c r="I1995">
        <v>3000</v>
      </c>
      <c r="J1995">
        <v>4</v>
      </c>
      <c r="K1995">
        <v>0</v>
      </c>
      <c r="L1995" s="4">
        <v>0.79718414650705849</v>
      </c>
      <c r="M1995" s="4">
        <v>0.20281585349294151</v>
      </c>
      <c r="N1995">
        <v>5</v>
      </c>
    </row>
    <row r="1996" spans="1:14" x14ac:dyDescent="0.35">
      <c r="A1996" s="1">
        <v>1276</v>
      </c>
      <c r="B1996">
        <v>8</v>
      </c>
      <c r="C1996">
        <v>51</v>
      </c>
      <c r="D1996">
        <v>2</v>
      </c>
      <c r="E1996">
        <v>0</v>
      </c>
      <c r="F1996">
        <v>3</v>
      </c>
      <c r="G1996">
        <v>3</v>
      </c>
      <c r="H1996">
        <v>2</v>
      </c>
      <c r="I1996">
        <v>3000</v>
      </c>
      <c r="J1996">
        <v>2</v>
      </c>
      <c r="K1996">
        <v>0</v>
      </c>
      <c r="L1996" s="4">
        <v>0.79725295434086041</v>
      </c>
      <c r="M1996" s="4">
        <v>0.20274704565913959</v>
      </c>
      <c r="N1996">
        <v>5</v>
      </c>
    </row>
    <row r="1997" spans="1:14" x14ac:dyDescent="0.35">
      <c r="A1997" s="1">
        <v>1260</v>
      </c>
      <c r="B1997">
        <v>5</v>
      </c>
      <c r="C1997">
        <v>37</v>
      </c>
      <c r="D1997">
        <v>5</v>
      </c>
      <c r="E1997">
        <v>0</v>
      </c>
      <c r="F1997">
        <v>2</v>
      </c>
      <c r="G1997">
        <v>6</v>
      </c>
      <c r="H1997">
        <v>3</v>
      </c>
      <c r="I1997">
        <v>0.01</v>
      </c>
      <c r="J1997">
        <v>4</v>
      </c>
      <c r="K1997">
        <v>0</v>
      </c>
      <c r="L1997" s="4">
        <v>0.79756700883596932</v>
      </c>
      <c r="M1997" s="4">
        <v>0.20243299116403071</v>
      </c>
      <c r="N1997">
        <v>5</v>
      </c>
    </row>
    <row r="1998" spans="1:14" x14ac:dyDescent="0.35">
      <c r="A1998" s="1">
        <v>240</v>
      </c>
      <c r="B1998">
        <v>8</v>
      </c>
      <c r="C1998">
        <v>53</v>
      </c>
      <c r="D1998">
        <v>2</v>
      </c>
      <c r="E1998">
        <v>0</v>
      </c>
      <c r="F1998">
        <v>3</v>
      </c>
      <c r="G1998">
        <v>3</v>
      </c>
      <c r="H1998">
        <v>1</v>
      </c>
      <c r="I1998">
        <v>45000</v>
      </c>
      <c r="J1998">
        <v>7</v>
      </c>
      <c r="K1998">
        <v>0</v>
      </c>
      <c r="L1998" s="4">
        <v>0.79761452209054662</v>
      </c>
      <c r="M1998" s="4">
        <v>0.20238547790945341</v>
      </c>
      <c r="N1998">
        <v>5</v>
      </c>
    </row>
    <row r="1999" spans="1:14" x14ac:dyDescent="0.35">
      <c r="A1999" s="1">
        <v>4426</v>
      </c>
      <c r="B1999">
        <v>9</v>
      </c>
      <c r="C1999">
        <v>58</v>
      </c>
      <c r="D1999">
        <v>1</v>
      </c>
      <c r="E1999">
        <v>0</v>
      </c>
      <c r="F1999">
        <v>0</v>
      </c>
      <c r="G1999">
        <v>11</v>
      </c>
      <c r="H1999">
        <v>0</v>
      </c>
      <c r="I1999">
        <v>12000</v>
      </c>
      <c r="J1999">
        <v>5</v>
      </c>
      <c r="K1999">
        <v>1</v>
      </c>
      <c r="L1999" s="4">
        <v>0.79781149659234352</v>
      </c>
      <c r="M1999" s="4">
        <v>0.2021885034076564</v>
      </c>
      <c r="N1999">
        <v>5</v>
      </c>
    </row>
    <row r="2000" spans="1:14" x14ac:dyDescent="0.35">
      <c r="A2000" s="1">
        <v>2271</v>
      </c>
      <c r="B2000">
        <v>11</v>
      </c>
      <c r="C2000">
        <v>63</v>
      </c>
      <c r="D2000">
        <v>4</v>
      </c>
      <c r="E2000">
        <v>0</v>
      </c>
      <c r="F2000">
        <v>1</v>
      </c>
      <c r="G2000">
        <v>7</v>
      </c>
      <c r="H2000">
        <v>2</v>
      </c>
      <c r="I2000">
        <v>300</v>
      </c>
      <c r="J2000">
        <v>9</v>
      </c>
      <c r="K2000">
        <v>1</v>
      </c>
      <c r="L2000" s="4">
        <v>0.79789924225796705</v>
      </c>
      <c r="M2000" s="4">
        <v>0.20210075774203301</v>
      </c>
      <c r="N2000">
        <v>5</v>
      </c>
    </row>
    <row r="2001" spans="1:14" x14ac:dyDescent="0.35">
      <c r="A2001" s="1">
        <v>1798</v>
      </c>
      <c r="B2001">
        <v>8</v>
      </c>
      <c r="C2001">
        <v>52</v>
      </c>
      <c r="D2001">
        <v>3</v>
      </c>
      <c r="E2001">
        <v>0</v>
      </c>
      <c r="F2001">
        <v>0</v>
      </c>
      <c r="G2001">
        <v>4</v>
      </c>
      <c r="H2001">
        <v>2</v>
      </c>
      <c r="I2001">
        <v>2040</v>
      </c>
      <c r="J2001">
        <v>5</v>
      </c>
      <c r="K2001">
        <v>0</v>
      </c>
      <c r="L2001" s="4">
        <v>0.79796050596322599</v>
      </c>
      <c r="M2001" s="4">
        <v>0.20203949403677399</v>
      </c>
      <c r="N2001">
        <v>5</v>
      </c>
    </row>
    <row r="2002" spans="1:14" x14ac:dyDescent="0.35">
      <c r="A2002" s="1">
        <v>119</v>
      </c>
      <c r="B2002">
        <v>13</v>
      </c>
      <c r="C2002">
        <v>67</v>
      </c>
      <c r="D2002">
        <v>4</v>
      </c>
      <c r="E2002">
        <v>1</v>
      </c>
      <c r="F2002">
        <v>0</v>
      </c>
      <c r="G2002">
        <v>4</v>
      </c>
      <c r="H2002">
        <v>2</v>
      </c>
      <c r="I2002">
        <v>3000</v>
      </c>
      <c r="J2002">
        <v>8</v>
      </c>
      <c r="K2002">
        <v>0</v>
      </c>
      <c r="L2002" s="4">
        <v>0.79802481967017913</v>
      </c>
      <c r="M2002" s="4">
        <v>0.20197518032982081</v>
      </c>
      <c r="N2002">
        <v>5</v>
      </c>
    </row>
    <row r="2003" spans="1:14" x14ac:dyDescent="0.35">
      <c r="A2003" s="1">
        <v>2270</v>
      </c>
      <c r="B2003">
        <v>11</v>
      </c>
      <c r="C2003">
        <v>65</v>
      </c>
      <c r="D2003">
        <v>2</v>
      </c>
      <c r="E2003">
        <v>0</v>
      </c>
      <c r="F2003">
        <v>3</v>
      </c>
      <c r="G2003">
        <v>3</v>
      </c>
      <c r="H2003">
        <v>0</v>
      </c>
      <c r="I2003">
        <v>12433.27</v>
      </c>
      <c r="J2003">
        <v>4</v>
      </c>
      <c r="K2003">
        <v>1</v>
      </c>
      <c r="L2003" s="4">
        <v>0.79813888922885812</v>
      </c>
      <c r="M2003" s="4">
        <v>0.2018611107711418</v>
      </c>
      <c r="N2003">
        <v>5</v>
      </c>
    </row>
    <row r="2004" spans="1:14" x14ac:dyDescent="0.35">
      <c r="A2004" s="1">
        <v>4178</v>
      </c>
      <c r="B2004">
        <v>15</v>
      </c>
      <c r="C2004">
        <v>76</v>
      </c>
      <c r="D2004">
        <v>2</v>
      </c>
      <c r="E2004">
        <v>1</v>
      </c>
      <c r="F2004">
        <v>0</v>
      </c>
      <c r="G2004">
        <v>4</v>
      </c>
      <c r="H2004">
        <v>2</v>
      </c>
      <c r="I2004">
        <v>3000</v>
      </c>
      <c r="J2004">
        <v>8</v>
      </c>
      <c r="K2004">
        <v>0</v>
      </c>
      <c r="L2004" s="4">
        <v>0.79827053835201611</v>
      </c>
      <c r="M2004" s="4">
        <v>0.20172946164798389</v>
      </c>
      <c r="N2004">
        <v>5</v>
      </c>
    </row>
    <row r="2005" spans="1:14" x14ac:dyDescent="0.35">
      <c r="A2005" s="1">
        <v>563</v>
      </c>
      <c r="B2005">
        <v>7</v>
      </c>
      <c r="C2005">
        <v>47</v>
      </c>
      <c r="D2005">
        <v>2</v>
      </c>
      <c r="E2005">
        <v>0</v>
      </c>
      <c r="F2005">
        <v>3</v>
      </c>
      <c r="G2005">
        <v>3</v>
      </c>
      <c r="H2005">
        <v>2</v>
      </c>
      <c r="I2005">
        <v>1500</v>
      </c>
      <c r="J2005">
        <v>1</v>
      </c>
      <c r="K2005">
        <v>0</v>
      </c>
      <c r="L2005" s="4">
        <v>0.79833759988677633</v>
      </c>
      <c r="M2005" s="4">
        <v>0.2016624001132237</v>
      </c>
      <c r="N2005">
        <v>5</v>
      </c>
    </row>
    <row r="2006" spans="1:14" x14ac:dyDescent="0.35">
      <c r="A2006" s="1">
        <v>2564</v>
      </c>
      <c r="B2006">
        <v>10</v>
      </c>
      <c r="C2006">
        <v>55</v>
      </c>
      <c r="D2006">
        <v>1</v>
      </c>
      <c r="E2006">
        <v>1</v>
      </c>
      <c r="F2006">
        <v>1</v>
      </c>
      <c r="G2006">
        <v>12</v>
      </c>
      <c r="H2006">
        <v>2</v>
      </c>
      <c r="I2006">
        <v>2100</v>
      </c>
      <c r="J2006">
        <v>9</v>
      </c>
      <c r="K2006">
        <v>0</v>
      </c>
      <c r="L2006" s="4">
        <v>0.79845373607786585</v>
      </c>
      <c r="M2006" s="4">
        <v>0.20154626392213409</v>
      </c>
      <c r="N2006">
        <v>5</v>
      </c>
    </row>
    <row r="2007" spans="1:14" x14ac:dyDescent="0.35">
      <c r="A2007" s="1">
        <v>348</v>
      </c>
      <c r="B2007">
        <v>9</v>
      </c>
      <c r="C2007">
        <v>54</v>
      </c>
      <c r="D2007">
        <v>2</v>
      </c>
      <c r="E2007">
        <v>0</v>
      </c>
      <c r="F2007">
        <v>3</v>
      </c>
      <c r="G2007">
        <v>8</v>
      </c>
      <c r="H2007">
        <v>3</v>
      </c>
      <c r="I2007">
        <v>0.01</v>
      </c>
      <c r="J2007">
        <v>6</v>
      </c>
      <c r="K2007">
        <v>1</v>
      </c>
      <c r="L2007" s="4">
        <v>0.7985360496343934</v>
      </c>
      <c r="M2007" s="4">
        <v>0.2014639503656066</v>
      </c>
      <c r="N2007">
        <v>5</v>
      </c>
    </row>
    <row r="2008" spans="1:14" x14ac:dyDescent="0.35">
      <c r="A2008" s="1">
        <v>1366</v>
      </c>
      <c r="B2008">
        <v>7</v>
      </c>
      <c r="C2008">
        <v>50</v>
      </c>
      <c r="D2008">
        <v>2</v>
      </c>
      <c r="E2008">
        <v>0</v>
      </c>
      <c r="F2008">
        <v>0</v>
      </c>
      <c r="G2008">
        <v>4</v>
      </c>
      <c r="H2008">
        <v>0</v>
      </c>
      <c r="I2008">
        <v>5430.5</v>
      </c>
      <c r="J2008">
        <v>5</v>
      </c>
      <c r="K2008">
        <v>0</v>
      </c>
      <c r="L2008" s="4">
        <v>0.79853718834315479</v>
      </c>
      <c r="M2008" s="4">
        <v>0.20146281165684521</v>
      </c>
      <c r="N2008">
        <v>5</v>
      </c>
    </row>
    <row r="2009" spans="1:14" x14ac:dyDescent="0.35">
      <c r="A2009" s="1">
        <v>631</v>
      </c>
      <c r="B2009">
        <v>8</v>
      </c>
      <c r="C2009">
        <v>47</v>
      </c>
      <c r="D2009">
        <v>2</v>
      </c>
      <c r="E2009">
        <v>1</v>
      </c>
      <c r="F2009">
        <v>0</v>
      </c>
      <c r="G2009">
        <v>11</v>
      </c>
      <c r="H2009">
        <v>2</v>
      </c>
      <c r="I2009">
        <v>3000</v>
      </c>
      <c r="J2009">
        <v>6</v>
      </c>
      <c r="K2009">
        <v>0</v>
      </c>
      <c r="L2009" s="4">
        <v>0.79858837326464094</v>
      </c>
      <c r="M2009" s="4">
        <v>0.20141162673535909</v>
      </c>
      <c r="N2009">
        <v>5</v>
      </c>
    </row>
    <row r="2010" spans="1:14" x14ac:dyDescent="0.35">
      <c r="A2010" s="1">
        <v>1192</v>
      </c>
      <c r="B2010">
        <v>8</v>
      </c>
      <c r="C2010">
        <v>49</v>
      </c>
      <c r="D2010">
        <v>3</v>
      </c>
      <c r="E2010">
        <v>0</v>
      </c>
      <c r="F2010">
        <v>4</v>
      </c>
      <c r="G2010">
        <v>9</v>
      </c>
      <c r="H2010">
        <v>3</v>
      </c>
      <c r="I2010">
        <v>0.01</v>
      </c>
      <c r="J2010">
        <v>8</v>
      </c>
      <c r="K2010">
        <v>0</v>
      </c>
      <c r="L2010" s="4">
        <v>0.79861561495861122</v>
      </c>
      <c r="M2010" s="4">
        <v>0.20138438504138881</v>
      </c>
      <c r="N2010">
        <v>5</v>
      </c>
    </row>
    <row r="2011" spans="1:14" x14ac:dyDescent="0.35">
      <c r="A2011" s="1">
        <v>2842</v>
      </c>
      <c r="B2011">
        <v>14</v>
      </c>
      <c r="C2011">
        <v>71</v>
      </c>
      <c r="D2011">
        <v>1</v>
      </c>
      <c r="E2011">
        <v>1</v>
      </c>
      <c r="F2011">
        <v>3</v>
      </c>
      <c r="G2011">
        <v>3</v>
      </c>
      <c r="H2011">
        <v>2</v>
      </c>
      <c r="I2011">
        <v>2400</v>
      </c>
      <c r="J2011">
        <v>4</v>
      </c>
      <c r="K2011">
        <v>0</v>
      </c>
      <c r="L2011" s="4">
        <v>0.79866274540517035</v>
      </c>
      <c r="M2011" s="4">
        <v>0.20133725459482971</v>
      </c>
      <c r="N2011">
        <v>5</v>
      </c>
    </row>
    <row r="2012" spans="1:14" x14ac:dyDescent="0.35">
      <c r="A2012" s="1">
        <v>1649</v>
      </c>
      <c r="B2012">
        <v>7</v>
      </c>
      <c r="C2012">
        <v>46</v>
      </c>
      <c r="D2012">
        <v>3</v>
      </c>
      <c r="E2012">
        <v>0</v>
      </c>
      <c r="F2012">
        <v>3</v>
      </c>
      <c r="G2012">
        <v>3</v>
      </c>
      <c r="H2012">
        <v>3</v>
      </c>
      <c r="I2012">
        <v>0.01</v>
      </c>
      <c r="J2012">
        <v>8</v>
      </c>
      <c r="K2012">
        <v>0</v>
      </c>
      <c r="L2012" s="4">
        <v>0.79891039911255812</v>
      </c>
      <c r="M2012" s="4">
        <v>0.20108960088744179</v>
      </c>
      <c r="N2012">
        <v>5</v>
      </c>
    </row>
    <row r="2013" spans="1:14" x14ac:dyDescent="0.35">
      <c r="A2013" s="1">
        <v>2151</v>
      </c>
      <c r="B2013">
        <v>7</v>
      </c>
      <c r="C2013">
        <v>47</v>
      </c>
      <c r="D2013">
        <v>1</v>
      </c>
      <c r="E2013">
        <v>0</v>
      </c>
      <c r="F2013">
        <v>1</v>
      </c>
      <c r="G2013">
        <v>12</v>
      </c>
      <c r="H2013">
        <v>3</v>
      </c>
      <c r="I2013">
        <v>0.01</v>
      </c>
      <c r="J2013">
        <v>8</v>
      </c>
      <c r="K2013">
        <v>0</v>
      </c>
      <c r="L2013" s="4">
        <v>0.79893037249120324</v>
      </c>
      <c r="M2013" s="4">
        <v>0.20106962750879681</v>
      </c>
      <c r="N2013">
        <v>5</v>
      </c>
    </row>
    <row r="2014" spans="1:14" x14ac:dyDescent="0.35">
      <c r="A2014" s="1">
        <v>4334</v>
      </c>
      <c r="B2014">
        <v>8</v>
      </c>
      <c r="C2014">
        <v>50</v>
      </c>
      <c r="D2014">
        <v>5</v>
      </c>
      <c r="E2014">
        <v>0</v>
      </c>
      <c r="F2014">
        <v>1</v>
      </c>
      <c r="G2014">
        <v>12</v>
      </c>
      <c r="H2014">
        <v>2</v>
      </c>
      <c r="I2014">
        <v>3500</v>
      </c>
      <c r="J2014">
        <v>2</v>
      </c>
      <c r="K2014">
        <v>1</v>
      </c>
      <c r="L2014" s="4">
        <v>0.79894229335363143</v>
      </c>
      <c r="M2014" s="4">
        <v>0.2010577066463686</v>
      </c>
      <c r="N2014">
        <v>5</v>
      </c>
    </row>
    <row r="2015" spans="1:14" x14ac:dyDescent="0.35">
      <c r="A2015" s="1">
        <v>1592</v>
      </c>
      <c r="B2015">
        <v>9</v>
      </c>
      <c r="C2015">
        <v>55</v>
      </c>
      <c r="D2015">
        <v>1</v>
      </c>
      <c r="E2015">
        <v>0</v>
      </c>
      <c r="F2015">
        <v>3</v>
      </c>
      <c r="G2015">
        <v>3</v>
      </c>
      <c r="H2015">
        <v>3</v>
      </c>
      <c r="I2015">
        <v>0.01</v>
      </c>
      <c r="J2015">
        <v>9</v>
      </c>
      <c r="K2015">
        <v>1</v>
      </c>
      <c r="L2015" s="4">
        <v>0.79894897225507244</v>
      </c>
      <c r="M2015" s="4">
        <v>0.20105102774492761</v>
      </c>
      <c r="N2015">
        <v>5</v>
      </c>
    </row>
    <row r="2016" spans="1:14" x14ac:dyDescent="0.35">
      <c r="A2016" s="1">
        <v>2324</v>
      </c>
      <c r="B2016">
        <v>6</v>
      </c>
      <c r="C2016">
        <v>42</v>
      </c>
      <c r="D2016">
        <v>3</v>
      </c>
      <c r="E2016">
        <v>0</v>
      </c>
      <c r="F2016">
        <v>1</v>
      </c>
      <c r="G2016">
        <v>12</v>
      </c>
      <c r="H2016">
        <v>3</v>
      </c>
      <c r="I2016">
        <v>0.01</v>
      </c>
      <c r="J2016">
        <v>4</v>
      </c>
      <c r="K2016">
        <v>0</v>
      </c>
      <c r="L2016" s="4">
        <v>0.79902566721528911</v>
      </c>
      <c r="M2016" s="4">
        <v>0.2009743327847108</v>
      </c>
      <c r="N2016">
        <v>5</v>
      </c>
    </row>
    <row r="2017" spans="1:14" x14ac:dyDescent="0.35">
      <c r="A2017" s="1">
        <v>3518</v>
      </c>
      <c r="B2017">
        <v>9</v>
      </c>
      <c r="C2017">
        <v>51</v>
      </c>
      <c r="D2017">
        <v>2</v>
      </c>
      <c r="E2017">
        <v>1</v>
      </c>
      <c r="F2017">
        <v>1</v>
      </c>
      <c r="G2017">
        <v>7</v>
      </c>
      <c r="H2017">
        <v>2</v>
      </c>
      <c r="I2017">
        <v>5000</v>
      </c>
      <c r="J2017">
        <v>4</v>
      </c>
      <c r="K2017">
        <v>0</v>
      </c>
      <c r="L2017" s="4">
        <v>0.79903720449968951</v>
      </c>
      <c r="M2017" s="4">
        <v>0.20096279550031049</v>
      </c>
      <c r="N2017">
        <v>5</v>
      </c>
    </row>
    <row r="2018" spans="1:14" x14ac:dyDescent="0.35">
      <c r="A2018" s="1">
        <v>3686</v>
      </c>
      <c r="B2018">
        <v>7</v>
      </c>
      <c r="C2018">
        <v>47</v>
      </c>
      <c r="D2018">
        <v>2</v>
      </c>
      <c r="E2018">
        <v>0</v>
      </c>
      <c r="F2018">
        <v>1</v>
      </c>
      <c r="G2018">
        <v>7</v>
      </c>
      <c r="H2018">
        <v>3</v>
      </c>
      <c r="I2018">
        <v>0.01</v>
      </c>
      <c r="J2018">
        <v>6</v>
      </c>
      <c r="K2018">
        <v>0</v>
      </c>
      <c r="L2018" s="4">
        <v>0.79915923976453729</v>
      </c>
      <c r="M2018" s="4">
        <v>0.20084076023546271</v>
      </c>
      <c r="N2018">
        <v>5</v>
      </c>
    </row>
    <row r="2019" spans="1:14" x14ac:dyDescent="0.35">
      <c r="A2019" s="1">
        <v>1133</v>
      </c>
      <c r="B2019">
        <v>10</v>
      </c>
      <c r="C2019">
        <v>59</v>
      </c>
      <c r="D2019">
        <v>3</v>
      </c>
      <c r="E2019">
        <v>0</v>
      </c>
      <c r="F2019">
        <v>3</v>
      </c>
      <c r="G2019">
        <v>3</v>
      </c>
      <c r="H2019">
        <v>2</v>
      </c>
      <c r="I2019">
        <v>3000</v>
      </c>
      <c r="J2019">
        <v>8</v>
      </c>
      <c r="K2019">
        <v>0</v>
      </c>
      <c r="L2019" s="4">
        <v>0.79927375933723788</v>
      </c>
      <c r="M2019" s="4">
        <v>0.20072624066276221</v>
      </c>
      <c r="N2019">
        <v>5</v>
      </c>
    </row>
    <row r="2020" spans="1:14" x14ac:dyDescent="0.35">
      <c r="A2020" s="1">
        <v>2971</v>
      </c>
      <c r="B2020">
        <v>7</v>
      </c>
      <c r="C2020">
        <v>50</v>
      </c>
      <c r="D2020">
        <v>3</v>
      </c>
      <c r="E2020">
        <v>0</v>
      </c>
      <c r="F2020">
        <v>0</v>
      </c>
      <c r="G2020">
        <v>2</v>
      </c>
      <c r="H2020">
        <v>0</v>
      </c>
      <c r="I2020">
        <v>12035.56</v>
      </c>
      <c r="J2020">
        <v>4</v>
      </c>
      <c r="K2020">
        <v>0</v>
      </c>
      <c r="L2020" s="4">
        <v>0.79949530602953667</v>
      </c>
      <c r="M2020" s="4">
        <v>0.2005046939704633</v>
      </c>
      <c r="N2020">
        <v>5</v>
      </c>
    </row>
    <row r="2021" spans="1:14" x14ac:dyDescent="0.35">
      <c r="A2021" s="1">
        <v>2713</v>
      </c>
      <c r="B2021">
        <v>10</v>
      </c>
      <c r="C2021">
        <v>51</v>
      </c>
      <c r="D2021">
        <v>1</v>
      </c>
      <c r="E2021">
        <v>2</v>
      </c>
      <c r="F2021">
        <v>0</v>
      </c>
      <c r="G2021">
        <v>11</v>
      </c>
      <c r="H2021">
        <v>2</v>
      </c>
      <c r="I2021">
        <v>2500</v>
      </c>
      <c r="J2021">
        <v>19</v>
      </c>
      <c r="K2021">
        <v>0</v>
      </c>
      <c r="L2021" s="4">
        <v>0.79963738883548086</v>
      </c>
      <c r="M2021" s="4">
        <v>0.20036261116451909</v>
      </c>
      <c r="N2021">
        <v>5</v>
      </c>
    </row>
    <row r="2022" spans="1:14" x14ac:dyDescent="0.35">
      <c r="A2022" s="1">
        <v>4382</v>
      </c>
      <c r="B2022">
        <v>15</v>
      </c>
      <c r="C2022">
        <v>72</v>
      </c>
      <c r="D2022">
        <v>4</v>
      </c>
      <c r="E2022">
        <v>2</v>
      </c>
      <c r="F2022">
        <v>0</v>
      </c>
      <c r="G2022">
        <v>4</v>
      </c>
      <c r="H2022">
        <v>0</v>
      </c>
      <c r="I2022">
        <v>6340.26</v>
      </c>
      <c r="J2022">
        <v>12</v>
      </c>
      <c r="K2022">
        <v>0</v>
      </c>
      <c r="L2022" s="4">
        <v>0.7996904549772329</v>
      </c>
      <c r="M2022" s="4">
        <v>0.2003095450227671</v>
      </c>
      <c r="N2022">
        <v>5</v>
      </c>
    </row>
    <row r="2023" spans="1:14" x14ac:dyDescent="0.35">
      <c r="A2023" s="1">
        <v>1690</v>
      </c>
      <c r="B2023">
        <v>8</v>
      </c>
      <c r="C2023">
        <v>52</v>
      </c>
      <c r="D2023">
        <v>4</v>
      </c>
      <c r="E2023">
        <v>0</v>
      </c>
      <c r="F2023">
        <v>3</v>
      </c>
      <c r="G2023">
        <v>3</v>
      </c>
      <c r="H2023">
        <v>0</v>
      </c>
      <c r="I2023">
        <v>6000</v>
      </c>
      <c r="J2023">
        <v>5</v>
      </c>
      <c r="K2023">
        <v>0</v>
      </c>
      <c r="L2023" s="4">
        <v>0.79983761991056146</v>
      </c>
      <c r="M2023" s="4">
        <v>0.2001623800894386</v>
      </c>
      <c r="N2023">
        <v>5</v>
      </c>
    </row>
    <row r="2024" spans="1:14" x14ac:dyDescent="0.35">
      <c r="A2024" s="1">
        <v>3626</v>
      </c>
      <c r="B2024">
        <v>12</v>
      </c>
      <c r="C2024">
        <v>68</v>
      </c>
      <c r="D2024">
        <v>2</v>
      </c>
      <c r="E2024">
        <v>0</v>
      </c>
      <c r="F2024">
        <v>4</v>
      </c>
      <c r="G2024">
        <v>9</v>
      </c>
      <c r="H2024">
        <v>0</v>
      </c>
      <c r="I2024">
        <v>6000</v>
      </c>
      <c r="J2024">
        <v>2</v>
      </c>
      <c r="K2024">
        <v>0</v>
      </c>
      <c r="L2024" s="4">
        <v>0.79992161152858032</v>
      </c>
      <c r="M2024" s="4">
        <v>0.2000783884714197</v>
      </c>
      <c r="N2024">
        <v>5</v>
      </c>
    </row>
    <row r="2025" spans="1:14" x14ac:dyDescent="0.35">
      <c r="A2025" s="1">
        <v>338</v>
      </c>
      <c r="B2025">
        <v>9</v>
      </c>
      <c r="C2025">
        <v>51</v>
      </c>
      <c r="D2025">
        <v>1</v>
      </c>
      <c r="E2025">
        <v>1</v>
      </c>
      <c r="F2025">
        <v>1</v>
      </c>
      <c r="G2025">
        <v>12</v>
      </c>
      <c r="H2025">
        <v>2</v>
      </c>
      <c r="I2025">
        <v>1000</v>
      </c>
      <c r="J2025">
        <v>5</v>
      </c>
      <c r="K2025">
        <v>1</v>
      </c>
      <c r="L2025" s="4">
        <v>0.80004768540208882</v>
      </c>
      <c r="M2025" s="4">
        <v>0.1999523145979111</v>
      </c>
      <c r="N2025">
        <v>5</v>
      </c>
    </row>
    <row r="2026" spans="1:14" x14ac:dyDescent="0.35">
      <c r="A2026" s="1">
        <v>1700</v>
      </c>
      <c r="B2026">
        <v>8</v>
      </c>
      <c r="C2026">
        <v>52</v>
      </c>
      <c r="D2026">
        <v>4</v>
      </c>
      <c r="E2026">
        <v>0</v>
      </c>
      <c r="F2026">
        <v>0</v>
      </c>
      <c r="G2026">
        <v>2</v>
      </c>
      <c r="H2026">
        <v>2</v>
      </c>
      <c r="I2026">
        <v>3000</v>
      </c>
      <c r="J2026">
        <v>5</v>
      </c>
      <c r="K2026">
        <v>0</v>
      </c>
      <c r="L2026" s="4">
        <v>0.80017247561342786</v>
      </c>
      <c r="M2026" s="4">
        <v>0.1998275243865722</v>
      </c>
      <c r="N2026">
        <v>5</v>
      </c>
    </row>
    <row r="2027" spans="1:14" x14ac:dyDescent="0.35">
      <c r="A2027" s="1">
        <v>1451</v>
      </c>
      <c r="B2027">
        <v>6</v>
      </c>
      <c r="C2027">
        <v>32</v>
      </c>
      <c r="D2027">
        <v>5</v>
      </c>
      <c r="E2027">
        <v>2</v>
      </c>
      <c r="F2027">
        <v>3</v>
      </c>
      <c r="G2027">
        <v>3</v>
      </c>
      <c r="H2027">
        <v>2</v>
      </c>
      <c r="I2027">
        <v>89</v>
      </c>
      <c r="J2027">
        <v>2</v>
      </c>
      <c r="K2027">
        <v>1</v>
      </c>
      <c r="L2027" s="4">
        <v>0.80025595298685137</v>
      </c>
      <c r="M2027" s="4">
        <v>0.19974404701314871</v>
      </c>
      <c r="N2027">
        <v>5</v>
      </c>
    </row>
    <row r="2028" spans="1:14" x14ac:dyDescent="0.35">
      <c r="A2028" s="1">
        <v>3930</v>
      </c>
      <c r="B2028">
        <v>5</v>
      </c>
      <c r="C2028">
        <v>41</v>
      </c>
      <c r="D2028">
        <v>3</v>
      </c>
      <c r="E2028">
        <v>0</v>
      </c>
      <c r="F2028">
        <v>0</v>
      </c>
      <c r="G2028">
        <v>11</v>
      </c>
      <c r="H2028">
        <v>0</v>
      </c>
      <c r="I2028">
        <v>5300</v>
      </c>
      <c r="J2028">
        <v>5</v>
      </c>
      <c r="K2028">
        <v>0</v>
      </c>
      <c r="L2028" s="4">
        <v>0.8002704487839194</v>
      </c>
      <c r="M2028" s="4">
        <v>0.1997295512160806</v>
      </c>
      <c r="N2028">
        <v>5</v>
      </c>
    </row>
    <row r="2029" spans="1:14" x14ac:dyDescent="0.35">
      <c r="A2029" s="1">
        <v>2182</v>
      </c>
      <c r="B2029">
        <v>8</v>
      </c>
      <c r="C2029">
        <v>51</v>
      </c>
      <c r="D2029">
        <v>3</v>
      </c>
      <c r="E2029">
        <v>0</v>
      </c>
      <c r="F2029">
        <v>3</v>
      </c>
      <c r="G2029">
        <v>3</v>
      </c>
      <c r="H2029">
        <v>2</v>
      </c>
      <c r="I2029">
        <v>3000</v>
      </c>
      <c r="J2029">
        <v>7</v>
      </c>
      <c r="K2029">
        <v>0</v>
      </c>
      <c r="L2029" s="4">
        <v>0.80044693659718791</v>
      </c>
      <c r="M2029" s="4">
        <v>0.19955306340281209</v>
      </c>
      <c r="N2029">
        <v>5</v>
      </c>
    </row>
    <row r="2030" spans="1:14" x14ac:dyDescent="0.35">
      <c r="A2030" s="1">
        <v>2974</v>
      </c>
      <c r="B2030">
        <v>7</v>
      </c>
      <c r="C2030">
        <v>40</v>
      </c>
      <c r="D2030">
        <v>2</v>
      </c>
      <c r="E2030">
        <v>2</v>
      </c>
      <c r="F2030">
        <v>0</v>
      </c>
      <c r="G2030">
        <v>11</v>
      </c>
      <c r="H2030">
        <v>0</v>
      </c>
      <c r="I2030">
        <v>15000</v>
      </c>
      <c r="J2030">
        <v>5</v>
      </c>
      <c r="K2030">
        <v>0</v>
      </c>
      <c r="L2030" s="4">
        <v>0.80049619204189915</v>
      </c>
      <c r="M2030" s="4">
        <v>0.19950380795810091</v>
      </c>
      <c r="N2030">
        <v>5</v>
      </c>
    </row>
    <row r="2031" spans="1:14" x14ac:dyDescent="0.35">
      <c r="A2031" s="1">
        <v>1540</v>
      </c>
      <c r="B2031">
        <v>8</v>
      </c>
      <c r="C2031">
        <v>52</v>
      </c>
      <c r="D2031">
        <v>4</v>
      </c>
      <c r="E2031">
        <v>0</v>
      </c>
      <c r="F2031">
        <v>3</v>
      </c>
      <c r="G2031">
        <v>8</v>
      </c>
      <c r="H2031">
        <v>0</v>
      </c>
      <c r="I2031">
        <v>17900</v>
      </c>
      <c r="J2031">
        <v>8</v>
      </c>
      <c r="K2031">
        <v>1</v>
      </c>
      <c r="L2031" s="4">
        <v>0.80054404160772097</v>
      </c>
      <c r="M2031" s="4">
        <v>0.199455958392279</v>
      </c>
      <c r="N2031">
        <v>5</v>
      </c>
    </row>
    <row r="2032" spans="1:14" x14ac:dyDescent="0.35">
      <c r="A2032" s="1">
        <v>435</v>
      </c>
      <c r="B2032">
        <v>11</v>
      </c>
      <c r="C2032">
        <v>66</v>
      </c>
      <c r="D2032">
        <v>0</v>
      </c>
      <c r="E2032">
        <v>0</v>
      </c>
      <c r="F2032">
        <v>3</v>
      </c>
      <c r="G2032">
        <v>3</v>
      </c>
      <c r="H2032">
        <v>0</v>
      </c>
      <c r="I2032">
        <v>6053.35</v>
      </c>
      <c r="J2032">
        <v>6</v>
      </c>
      <c r="K2032">
        <v>1</v>
      </c>
      <c r="L2032" s="4">
        <v>0.8005891897586187</v>
      </c>
      <c r="M2032" s="4">
        <v>0.1994108102413813</v>
      </c>
      <c r="N2032">
        <v>5</v>
      </c>
    </row>
    <row r="2033" spans="1:14" x14ac:dyDescent="0.35">
      <c r="A2033" s="1">
        <v>940</v>
      </c>
      <c r="B2033">
        <v>8</v>
      </c>
      <c r="C2033">
        <v>52</v>
      </c>
      <c r="D2033">
        <v>2</v>
      </c>
      <c r="E2033">
        <v>0</v>
      </c>
      <c r="F2033">
        <v>1</v>
      </c>
      <c r="G2033">
        <v>7</v>
      </c>
      <c r="H2033">
        <v>2</v>
      </c>
      <c r="I2033">
        <v>2500</v>
      </c>
      <c r="J2033">
        <v>6</v>
      </c>
      <c r="K2033">
        <v>1</v>
      </c>
      <c r="L2033" s="4">
        <v>0.80061782887772248</v>
      </c>
      <c r="M2033" s="4">
        <v>0.19938217112227749</v>
      </c>
      <c r="N2033">
        <v>5</v>
      </c>
    </row>
    <row r="2034" spans="1:14" x14ac:dyDescent="0.35">
      <c r="A2034" s="1">
        <v>122</v>
      </c>
      <c r="B2034">
        <v>9</v>
      </c>
      <c r="C2034">
        <v>57</v>
      </c>
      <c r="D2034">
        <v>0</v>
      </c>
      <c r="E2034">
        <v>0</v>
      </c>
      <c r="F2034">
        <v>2</v>
      </c>
      <c r="G2034">
        <v>1</v>
      </c>
      <c r="H2034">
        <v>2</v>
      </c>
      <c r="I2034">
        <v>4000</v>
      </c>
      <c r="J2034">
        <v>4</v>
      </c>
      <c r="K2034">
        <v>1</v>
      </c>
      <c r="L2034" s="4">
        <v>0.8006478628005782</v>
      </c>
      <c r="M2034" s="4">
        <v>0.1993521371994218</v>
      </c>
      <c r="N2034">
        <v>5</v>
      </c>
    </row>
    <row r="2035" spans="1:14" x14ac:dyDescent="0.35">
      <c r="A2035" s="1">
        <v>325</v>
      </c>
      <c r="B2035">
        <v>8</v>
      </c>
      <c r="C2035">
        <v>51</v>
      </c>
      <c r="D2035">
        <v>2</v>
      </c>
      <c r="E2035">
        <v>0</v>
      </c>
      <c r="F2035">
        <v>3</v>
      </c>
      <c r="G2035">
        <v>8</v>
      </c>
      <c r="H2035">
        <v>2</v>
      </c>
      <c r="I2035">
        <v>5000</v>
      </c>
      <c r="J2035">
        <v>4</v>
      </c>
      <c r="K2035">
        <v>0</v>
      </c>
      <c r="L2035" s="4">
        <v>0.80073070690907977</v>
      </c>
      <c r="M2035" s="4">
        <v>0.19926929309092031</v>
      </c>
      <c r="N2035">
        <v>5</v>
      </c>
    </row>
    <row r="2036" spans="1:14" x14ac:dyDescent="0.35">
      <c r="A2036" s="1">
        <v>108</v>
      </c>
      <c r="B2036">
        <v>8</v>
      </c>
      <c r="C2036">
        <v>49</v>
      </c>
      <c r="D2036">
        <v>2</v>
      </c>
      <c r="E2036">
        <v>1</v>
      </c>
      <c r="F2036">
        <v>0</v>
      </c>
      <c r="G2036">
        <v>4</v>
      </c>
      <c r="H2036">
        <v>1</v>
      </c>
      <c r="I2036">
        <v>20523.439999999999</v>
      </c>
      <c r="J2036">
        <v>3</v>
      </c>
      <c r="K2036">
        <v>0</v>
      </c>
      <c r="L2036" s="4">
        <v>0.80075586920402586</v>
      </c>
      <c r="M2036" s="4">
        <v>0.19924413079597419</v>
      </c>
      <c r="N2036">
        <v>5</v>
      </c>
    </row>
    <row r="2037" spans="1:14" x14ac:dyDescent="0.35">
      <c r="A2037" s="1">
        <v>3280</v>
      </c>
      <c r="B2037">
        <v>12</v>
      </c>
      <c r="C2037">
        <v>70</v>
      </c>
      <c r="D2037">
        <v>3</v>
      </c>
      <c r="E2037">
        <v>0</v>
      </c>
      <c r="F2037">
        <v>0</v>
      </c>
      <c r="G2037">
        <v>4</v>
      </c>
      <c r="H2037">
        <v>0</v>
      </c>
      <c r="I2037">
        <v>6000</v>
      </c>
      <c r="J2037">
        <v>1</v>
      </c>
      <c r="K2037">
        <v>0</v>
      </c>
      <c r="L2037" s="4">
        <v>0.80100590182297027</v>
      </c>
      <c r="M2037" s="4">
        <v>0.19899409817702979</v>
      </c>
      <c r="N2037">
        <v>5</v>
      </c>
    </row>
    <row r="2038" spans="1:14" x14ac:dyDescent="0.35">
      <c r="A2038" s="1">
        <v>1650</v>
      </c>
      <c r="B2038">
        <v>6</v>
      </c>
      <c r="C2038">
        <v>42</v>
      </c>
      <c r="D2038">
        <v>5</v>
      </c>
      <c r="E2038">
        <v>0</v>
      </c>
      <c r="F2038">
        <v>1</v>
      </c>
      <c r="G2038">
        <v>5</v>
      </c>
      <c r="H2038">
        <v>3</v>
      </c>
      <c r="I2038">
        <v>0.01</v>
      </c>
      <c r="J2038">
        <v>5</v>
      </c>
      <c r="K2038">
        <v>0</v>
      </c>
      <c r="L2038" s="4">
        <v>0.80108820479708442</v>
      </c>
      <c r="M2038" s="4">
        <v>0.1989117952029156</v>
      </c>
      <c r="N2038">
        <v>5</v>
      </c>
    </row>
    <row r="2039" spans="1:14" x14ac:dyDescent="0.35">
      <c r="A2039" s="1">
        <v>3011</v>
      </c>
      <c r="B2039">
        <v>8</v>
      </c>
      <c r="C2039">
        <v>51</v>
      </c>
      <c r="D2039">
        <v>3</v>
      </c>
      <c r="E2039">
        <v>0</v>
      </c>
      <c r="F2039">
        <v>3</v>
      </c>
      <c r="G2039">
        <v>3</v>
      </c>
      <c r="H2039">
        <v>2</v>
      </c>
      <c r="I2039">
        <v>1000</v>
      </c>
      <c r="J2039">
        <v>6</v>
      </c>
      <c r="K2039">
        <v>0</v>
      </c>
      <c r="L2039" s="4">
        <v>0.80116595920941425</v>
      </c>
      <c r="M2039" s="4">
        <v>0.19883404079058581</v>
      </c>
      <c r="N2039">
        <v>5</v>
      </c>
    </row>
    <row r="2040" spans="1:14" x14ac:dyDescent="0.35">
      <c r="A2040" s="1">
        <v>3782</v>
      </c>
      <c r="B2040">
        <v>7</v>
      </c>
      <c r="C2040">
        <v>48</v>
      </c>
      <c r="D2040">
        <v>2</v>
      </c>
      <c r="E2040">
        <v>0</v>
      </c>
      <c r="F2040">
        <v>1</v>
      </c>
      <c r="G2040">
        <v>7</v>
      </c>
      <c r="H2040">
        <v>2</v>
      </c>
      <c r="I2040">
        <v>600.01</v>
      </c>
      <c r="J2040">
        <v>8</v>
      </c>
      <c r="K2040">
        <v>0</v>
      </c>
      <c r="L2040" s="4">
        <v>0.80117800717220689</v>
      </c>
      <c r="M2040" s="4">
        <v>0.19882199282779309</v>
      </c>
      <c r="N2040">
        <v>5</v>
      </c>
    </row>
    <row r="2041" spans="1:14" x14ac:dyDescent="0.35">
      <c r="A2041" s="1">
        <v>3419</v>
      </c>
      <c r="B2041">
        <v>8</v>
      </c>
      <c r="C2041">
        <v>52</v>
      </c>
      <c r="D2041">
        <v>1</v>
      </c>
      <c r="E2041">
        <v>0</v>
      </c>
      <c r="F2041">
        <v>1</v>
      </c>
      <c r="G2041">
        <v>12</v>
      </c>
      <c r="H2041">
        <v>2</v>
      </c>
      <c r="I2041">
        <v>4199.92</v>
      </c>
      <c r="J2041">
        <v>2</v>
      </c>
      <c r="K2041">
        <v>0</v>
      </c>
      <c r="L2041" s="4">
        <v>0.80118327850024573</v>
      </c>
      <c r="M2041" s="4">
        <v>0.19881672149975421</v>
      </c>
      <c r="N2041">
        <v>5</v>
      </c>
    </row>
    <row r="2042" spans="1:14" x14ac:dyDescent="0.35">
      <c r="A2042" s="1">
        <v>4207</v>
      </c>
      <c r="B2042">
        <v>10</v>
      </c>
      <c r="C2042">
        <v>63</v>
      </c>
      <c r="D2042">
        <v>1</v>
      </c>
      <c r="E2042">
        <v>0</v>
      </c>
      <c r="F2042">
        <v>0</v>
      </c>
      <c r="G2042">
        <v>2</v>
      </c>
      <c r="H2042">
        <v>0</v>
      </c>
      <c r="I2042">
        <v>6000</v>
      </c>
      <c r="J2042">
        <v>2</v>
      </c>
      <c r="K2042">
        <v>0</v>
      </c>
      <c r="L2042" s="4">
        <v>0.80122070644804677</v>
      </c>
      <c r="M2042" s="4">
        <v>0.1987792935519532</v>
      </c>
      <c r="N2042">
        <v>5</v>
      </c>
    </row>
    <row r="2043" spans="1:14" x14ac:dyDescent="0.35">
      <c r="A2043" s="1">
        <v>3114</v>
      </c>
      <c r="B2043">
        <v>6</v>
      </c>
      <c r="C2043">
        <v>43</v>
      </c>
      <c r="D2043">
        <v>1</v>
      </c>
      <c r="E2043">
        <v>0</v>
      </c>
      <c r="F2043">
        <v>3</v>
      </c>
      <c r="G2043">
        <v>3</v>
      </c>
      <c r="H2043">
        <v>3</v>
      </c>
      <c r="I2043">
        <v>0.01</v>
      </c>
      <c r="J2043">
        <v>5</v>
      </c>
      <c r="K2043">
        <v>0</v>
      </c>
      <c r="L2043" s="4">
        <v>0.80122110071078234</v>
      </c>
      <c r="M2043" s="4">
        <v>0.1987788992892176</v>
      </c>
      <c r="N2043">
        <v>5</v>
      </c>
    </row>
    <row r="2044" spans="1:14" x14ac:dyDescent="0.35">
      <c r="A2044" s="1">
        <v>2881</v>
      </c>
      <c r="B2044">
        <v>8</v>
      </c>
      <c r="C2044">
        <v>51</v>
      </c>
      <c r="D2044">
        <v>5</v>
      </c>
      <c r="E2044">
        <v>0</v>
      </c>
      <c r="F2044">
        <v>2</v>
      </c>
      <c r="G2044">
        <v>1</v>
      </c>
      <c r="H2044">
        <v>2</v>
      </c>
      <c r="I2044">
        <v>4884.25</v>
      </c>
      <c r="J2044">
        <v>11</v>
      </c>
      <c r="K2044">
        <v>1</v>
      </c>
      <c r="L2044" s="4">
        <v>0.8012483931182679</v>
      </c>
      <c r="M2044" s="4">
        <v>0.1987516068817321</v>
      </c>
      <c r="N2044">
        <v>5</v>
      </c>
    </row>
    <row r="2045" spans="1:14" x14ac:dyDescent="0.35">
      <c r="A2045" s="1">
        <v>179</v>
      </c>
      <c r="B2045">
        <v>8</v>
      </c>
      <c r="C2045">
        <v>51</v>
      </c>
      <c r="D2045">
        <v>1</v>
      </c>
      <c r="E2045">
        <v>0</v>
      </c>
      <c r="F2045">
        <v>4</v>
      </c>
      <c r="G2045">
        <v>9</v>
      </c>
      <c r="H2045">
        <v>2</v>
      </c>
      <c r="I2045">
        <v>1500</v>
      </c>
      <c r="J2045">
        <v>11</v>
      </c>
      <c r="K2045">
        <v>1</v>
      </c>
      <c r="L2045" s="4">
        <v>0.80140886819753776</v>
      </c>
      <c r="M2045" s="4">
        <v>0.19859113180246221</v>
      </c>
      <c r="N2045">
        <v>5</v>
      </c>
    </row>
    <row r="2046" spans="1:14" x14ac:dyDescent="0.35">
      <c r="A2046" s="1">
        <v>1840</v>
      </c>
      <c r="B2046">
        <v>5</v>
      </c>
      <c r="C2046">
        <v>34</v>
      </c>
      <c r="D2046">
        <v>3</v>
      </c>
      <c r="E2046">
        <v>1</v>
      </c>
      <c r="F2046">
        <v>1</v>
      </c>
      <c r="G2046">
        <v>12</v>
      </c>
      <c r="H2046">
        <v>2</v>
      </c>
      <c r="I2046">
        <v>1500</v>
      </c>
      <c r="J2046">
        <v>1</v>
      </c>
      <c r="K2046">
        <v>1</v>
      </c>
      <c r="L2046" s="4">
        <v>0.80146013772296332</v>
      </c>
      <c r="M2046" s="4">
        <v>0.19853986227703671</v>
      </c>
      <c r="N2046">
        <v>5</v>
      </c>
    </row>
    <row r="2047" spans="1:14" x14ac:dyDescent="0.35">
      <c r="A2047" s="1">
        <v>2222</v>
      </c>
      <c r="B2047">
        <v>6</v>
      </c>
      <c r="C2047">
        <v>43</v>
      </c>
      <c r="D2047">
        <v>3</v>
      </c>
      <c r="E2047">
        <v>0</v>
      </c>
      <c r="F2047">
        <v>3</v>
      </c>
      <c r="G2047">
        <v>3</v>
      </c>
      <c r="H2047">
        <v>2</v>
      </c>
      <c r="I2047">
        <v>1910.01</v>
      </c>
      <c r="J2047">
        <v>8</v>
      </c>
      <c r="K2047">
        <v>0</v>
      </c>
      <c r="L2047" s="4">
        <v>0.80148549673043745</v>
      </c>
      <c r="M2047" s="4">
        <v>0.19851450326956249</v>
      </c>
      <c r="N2047">
        <v>5</v>
      </c>
    </row>
    <row r="2048" spans="1:14" x14ac:dyDescent="0.35">
      <c r="A2048" s="1">
        <v>4092</v>
      </c>
      <c r="B2048">
        <v>8</v>
      </c>
      <c r="C2048">
        <v>53</v>
      </c>
      <c r="D2048">
        <v>5</v>
      </c>
      <c r="E2048">
        <v>0</v>
      </c>
      <c r="F2048">
        <v>0</v>
      </c>
      <c r="G2048">
        <v>4</v>
      </c>
      <c r="H2048">
        <v>0</v>
      </c>
      <c r="I2048">
        <v>6000</v>
      </c>
      <c r="J2048">
        <v>2</v>
      </c>
      <c r="K2048">
        <v>0</v>
      </c>
      <c r="L2048" s="4">
        <v>0.80152076353572776</v>
      </c>
      <c r="M2048" s="4">
        <v>0.19847923646427221</v>
      </c>
      <c r="N2048">
        <v>5</v>
      </c>
    </row>
    <row r="2049" spans="1:14" x14ac:dyDescent="0.35">
      <c r="A2049" s="1">
        <v>3181</v>
      </c>
      <c r="B2049">
        <v>11</v>
      </c>
      <c r="C2049">
        <v>58</v>
      </c>
      <c r="D2049">
        <v>2</v>
      </c>
      <c r="E2049">
        <v>1</v>
      </c>
      <c r="F2049">
        <v>3</v>
      </c>
      <c r="G2049">
        <v>3</v>
      </c>
      <c r="H2049">
        <v>3</v>
      </c>
      <c r="I2049">
        <v>0.01</v>
      </c>
      <c r="J2049">
        <v>8</v>
      </c>
      <c r="K2049">
        <v>0</v>
      </c>
      <c r="L2049" s="4">
        <v>0.80153081224733103</v>
      </c>
      <c r="M2049" s="4">
        <v>0.19846918775266889</v>
      </c>
      <c r="N2049">
        <v>5</v>
      </c>
    </row>
    <row r="2050" spans="1:14" x14ac:dyDescent="0.35">
      <c r="A2050" s="1">
        <v>1351</v>
      </c>
      <c r="B2050">
        <v>8</v>
      </c>
      <c r="C2050">
        <v>51</v>
      </c>
      <c r="D2050">
        <v>5</v>
      </c>
      <c r="E2050">
        <v>0</v>
      </c>
      <c r="F2050">
        <v>0</v>
      </c>
      <c r="G2050">
        <v>2</v>
      </c>
      <c r="H2050">
        <v>3</v>
      </c>
      <c r="I2050">
        <v>0.01</v>
      </c>
      <c r="J2050">
        <v>10</v>
      </c>
      <c r="K2050">
        <v>1</v>
      </c>
      <c r="L2050" s="4">
        <v>0.80153586710692115</v>
      </c>
      <c r="M2050" s="4">
        <v>0.19846413289307879</v>
      </c>
      <c r="N2050">
        <v>5</v>
      </c>
    </row>
    <row r="2051" spans="1:14" x14ac:dyDescent="0.35">
      <c r="A2051" s="1">
        <v>74</v>
      </c>
      <c r="B2051">
        <v>12</v>
      </c>
      <c r="C2051">
        <v>64</v>
      </c>
      <c r="D2051">
        <v>1</v>
      </c>
      <c r="E2051">
        <v>1</v>
      </c>
      <c r="F2051">
        <v>0</v>
      </c>
      <c r="G2051">
        <v>2</v>
      </c>
      <c r="H2051">
        <v>3</v>
      </c>
      <c r="I2051">
        <v>0.01</v>
      </c>
      <c r="J2051">
        <v>8</v>
      </c>
      <c r="K2051">
        <v>0</v>
      </c>
      <c r="L2051" s="4">
        <v>0.80157207759562421</v>
      </c>
      <c r="M2051" s="4">
        <v>0.19842792240437579</v>
      </c>
      <c r="N2051">
        <v>5</v>
      </c>
    </row>
    <row r="2052" spans="1:14" x14ac:dyDescent="0.35">
      <c r="A2052" s="1">
        <v>1589</v>
      </c>
      <c r="B2052">
        <v>6</v>
      </c>
      <c r="C2052">
        <v>43</v>
      </c>
      <c r="D2052">
        <v>4</v>
      </c>
      <c r="E2052">
        <v>0</v>
      </c>
      <c r="F2052">
        <v>4</v>
      </c>
      <c r="G2052">
        <v>9</v>
      </c>
      <c r="H2052">
        <v>0</v>
      </c>
      <c r="I2052">
        <v>6000</v>
      </c>
      <c r="J2052">
        <v>2</v>
      </c>
      <c r="K2052">
        <v>0</v>
      </c>
      <c r="L2052" s="4">
        <v>0.80160663884836891</v>
      </c>
      <c r="M2052" s="4">
        <v>0.19839336115163109</v>
      </c>
      <c r="N2052">
        <v>5</v>
      </c>
    </row>
    <row r="2053" spans="1:14" x14ac:dyDescent="0.35">
      <c r="A2053" s="1">
        <v>2346</v>
      </c>
      <c r="B2053">
        <v>10</v>
      </c>
      <c r="C2053">
        <v>60</v>
      </c>
      <c r="D2053">
        <v>1</v>
      </c>
      <c r="E2053">
        <v>0</v>
      </c>
      <c r="F2053">
        <v>3</v>
      </c>
      <c r="G2053">
        <v>3</v>
      </c>
      <c r="H2053">
        <v>2</v>
      </c>
      <c r="I2053">
        <v>1000</v>
      </c>
      <c r="J2053">
        <v>5</v>
      </c>
      <c r="K2053">
        <v>0</v>
      </c>
      <c r="L2053" s="4">
        <v>0.80161324907099418</v>
      </c>
      <c r="M2053" s="4">
        <v>0.19838675092900579</v>
      </c>
      <c r="N2053">
        <v>5</v>
      </c>
    </row>
    <row r="2054" spans="1:14" x14ac:dyDescent="0.35">
      <c r="A2054" s="1">
        <v>602</v>
      </c>
      <c r="B2054">
        <v>12</v>
      </c>
      <c r="C2054">
        <v>68</v>
      </c>
      <c r="D2054">
        <v>4</v>
      </c>
      <c r="E2054">
        <v>0</v>
      </c>
      <c r="F2054">
        <v>3</v>
      </c>
      <c r="G2054">
        <v>3</v>
      </c>
      <c r="H2054">
        <v>1</v>
      </c>
      <c r="I2054">
        <v>20351.580000000002</v>
      </c>
      <c r="J2054">
        <v>3</v>
      </c>
      <c r="K2054">
        <v>0</v>
      </c>
      <c r="L2054" s="4">
        <v>0.80165182742115026</v>
      </c>
      <c r="M2054" s="4">
        <v>0.19834817257884979</v>
      </c>
      <c r="N2054">
        <v>5</v>
      </c>
    </row>
    <row r="2055" spans="1:14" x14ac:dyDescent="0.35">
      <c r="A2055" s="1">
        <v>225</v>
      </c>
      <c r="B2055">
        <v>5</v>
      </c>
      <c r="C2055">
        <v>39</v>
      </c>
      <c r="D2055">
        <v>1</v>
      </c>
      <c r="E2055">
        <v>0</v>
      </c>
      <c r="F2055">
        <v>3</v>
      </c>
      <c r="G2055">
        <v>3</v>
      </c>
      <c r="H2055">
        <v>3</v>
      </c>
      <c r="I2055">
        <v>0.01</v>
      </c>
      <c r="J2055">
        <v>5</v>
      </c>
      <c r="K2055">
        <v>0</v>
      </c>
      <c r="L2055" s="4">
        <v>0.80170192248871386</v>
      </c>
      <c r="M2055" s="4">
        <v>0.19829807751128611</v>
      </c>
      <c r="N2055">
        <v>5</v>
      </c>
    </row>
    <row r="2056" spans="1:14" x14ac:dyDescent="0.35">
      <c r="A2056" s="1">
        <v>622</v>
      </c>
      <c r="B2056">
        <v>10</v>
      </c>
      <c r="C2056">
        <v>55</v>
      </c>
      <c r="D2056">
        <v>3</v>
      </c>
      <c r="E2056">
        <v>1</v>
      </c>
      <c r="F2056">
        <v>1</v>
      </c>
      <c r="G2056">
        <v>5</v>
      </c>
      <c r="H2056">
        <v>2</v>
      </c>
      <c r="I2056">
        <v>1300.01</v>
      </c>
      <c r="J2056">
        <v>5</v>
      </c>
      <c r="K2056">
        <v>1</v>
      </c>
      <c r="L2056" s="4">
        <v>0.80174969515683836</v>
      </c>
      <c r="M2056" s="4">
        <v>0.19825030484316161</v>
      </c>
      <c r="N2056">
        <v>5</v>
      </c>
    </row>
    <row r="2057" spans="1:14" x14ac:dyDescent="0.35">
      <c r="A2057" s="1">
        <v>4268</v>
      </c>
      <c r="B2057">
        <v>6</v>
      </c>
      <c r="C2057">
        <v>42</v>
      </c>
      <c r="D2057">
        <v>5</v>
      </c>
      <c r="E2057">
        <v>0</v>
      </c>
      <c r="F2057">
        <v>0</v>
      </c>
      <c r="G2057">
        <v>11</v>
      </c>
      <c r="H2057">
        <v>3</v>
      </c>
      <c r="I2057">
        <v>0.01</v>
      </c>
      <c r="J2057">
        <v>5</v>
      </c>
      <c r="K2057">
        <v>0</v>
      </c>
      <c r="L2057" s="4">
        <v>0.80180619956729382</v>
      </c>
      <c r="M2057" s="4">
        <v>0.1981938004327061</v>
      </c>
      <c r="N2057">
        <v>5</v>
      </c>
    </row>
    <row r="2058" spans="1:14" x14ac:dyDescent="0.35">
      <c r="A2058" s="1">
        <v>10</v>
      </c>
      <c r="B2058">
        <v>9</v>
      </c>
      <c r="C2058">
        <v>51</v>
      </c>
      <c r="D2058">
        <v>4</v>
      </c>
      <c r="E2058">
        <v>1</v>
      </c>
      <c r="F2058">
        <v>0</v>
      </c>
      <c r="G2058">
        <v>4</v>
      </c>
      <c r="H2058">
        <v>2</v>
      </c>
      <c r="I2058">
        <v>600</v>
      </c>
      <c r="J2058">
        <v>1</v>
      </c>
      <c r="K2058">
        <v>0</v>
      </c>
      <c r="L2058" s="4">
        <v>0.80201630168692417</v>
      </c>
      <c r="M2058" s="4">
        <v>0.1979836983130758</v>
      </c>
      <c r="N2058">
        <v>5</v>
      </c>
    </row>
    <row r="2059" spans="1:14" x14ac:dyDescent="0.35">
      <c r="A2059" s="1">
        <v>2287</v>
      </c>
      <c r="B2059">
        <v>4</v>
      </c>
      <c r="C2059">
        <v>35</v>
      </c>
      <c r="D2059">
        <v>4</v>
      </c>
      <c r="E2059">
        <v>0</v>
      </c>
      <c r="F2059">
        <v>0</v>
      </c>
      <c r="G2059">
        <v>4</v>
      </c>
      <c r="H2059">
        <v>3</v>
      </c>
      <c r="I2059">
        <v>0.01</v>
      </c>
      <c r="J2059">
        <v>5</v>
      </c>
      <c r="K2059">
        <v>0</v>
      </c>
      <c r="L2059" s="4">
        <v>0.80204262435326168</v>
      </c>
      <c r="M2059" s="4">
        <v>0.19795737564673829</v>
      </c>
      <c r="N2059">
        <v>5</v>
      </c>
    </row>
    <row r="2060" spans="1:14" x14ac:dyDescent="0.35">
      <c r="A2060" s="1">
        <v>3503</v>
      </c>
      <c r="B2060">
        <v>7</v>
      </c>
      <c r="C2060">
        <v>42</v>
      </c>
      <c r="D2060">
        <v>2</v>
      </c>
      <c r="E2060">
        <v>1</v>
      </c>
      <c r="F2060">
        <v>2</v>
      </c>
      <c r="G2060">
        <v>6</v>
      </c>
      <c r="H2060">
        <v>3</v>
      </c>
      <c r="I2060">
        <v>0.01</v>
      </c>
      <c r="J2060">
        <v>5</v>
      </c>
      <c r="K2060">
        <v>0</v>
      </c>
      <c r="L2060" s="4">
        <v>0.80216410679868766</v>
      </c>
      <c r="M2060" s="4">
        <v>0.19783589320131231</v>
      </c>
      <c r="N2060">
        <v>5</v>
      </c>
    </row>
    <row r="2061" spans="1:14" x14ac:dyDescent="0.35">
      <c r="A2061" s="1">
        <v>2883</v>
      </c>
      <c r="B2061">
        <v>10</v>
      </c>
      <c r="C2061">
        <v>63</v>
      </c>
      <c r="D2061">
        <v>0</v>
      </c>
      <c r="E2061">
        <v>0</v>
      </c>
      <c r="F2061">
        <v>2</v>
      </c>
      <c r="G2061">
        <v>1</v>
      </c>
      <c r="H2061">
        <v>1</v>
      </c>
      <c r="I2061">
        <v>38000</v>
      </c>
      <c r="J2061">
        <v>11</v>
      </c>
      <c r="K2061">
        <v>0</v>
      </c>
      <c r="L2061" s="4">
        <v>0.80216561765079553</v>
      </c>
      <c r="M2061" s="4">
        <v>0.19783438234920439</v>
      </c>
      <c r="N2061">
        <v>5</v>
      </c>
    </row>
    <row r="2062" spans="1:14" x14ac:dyDescent="0.35">
      <c r="A2062" s="1">
        <v>2823</v>
      </c>
      <c r="B2062">
        <v>6</v>
      </c>
      <c r="C2062">
        <v>45</v>
      </c>
      <c r="D2062">
        <v>2</v>
      </c>
      <c r="E2062">
        <v>0</v>
      </c>
      <c r="F2062">
        <v>3</v>
      </c>
      <c r="G2062">
        <v>3</v>
      </c>
      <c r="H2062">
        <v>0</v>
      </c>
      <c r="I2062">
        <v>6000</v>
      </c>
      <c r="J2062">
        <v>4</v>
      </c>
      <c r="K2062">
        <v>0</v>
      </c>
      <c r="L2062" s="4">
        <v>0.80221197274043821</v>
      </c>
      <c r="M2062" s="4">
        <v>0.19778802725956179</v>
      </c>
      <c r="N2062">
        <v>5</v>
      </c>
    </row>
    <row r="2063" spans="1:14" x14ac:dyDescent="0.35">
      <c r="A2063" s="1">
        <v>2953</v>
      </c>
      <c r="B2063">
        <v>8</v>
      </c>
      <c r="C2063">
        <v>53</v>
      </c>
      <c r="D2063">
        <v>3</v>
      </c>
      <c r="E2063">
        <v>0</v>
      </c>
      <c r="F2063">
        <v>3</v>
      </c>
      <c r="G2063">
        <v>3</v>
      </c>
      <c r="H2063">
        <v>0</v>
      </c>
      <c r="I2063">
        <v>15195.76</v>
      </c>
      <c r="J2063">
        <v>8</v>
      </c>
      <c r="K2063">
        <v>0</v>
      </c>
      <c r="L2063" s="4">
        <v>0.80225991038129063</v>
      </c>
      <c r="M2063" s="4">
        <v>0.19774008961870931</v>
      </c>
      <c r="N2063">
        <v>5</v>
      </c>
    </row>
    <row r="2064" spans="1:14" x14ac:dyDescent="0.35">
      <c r="A2064" s="1">
        <v>3833</v>
      </c>
      <c r="B2064">
        <v>9</v>
      </c>
      <c r="C2064">
        <v>57</v>
      </c>
      <c r="D2064">
        <v>2</v>
      </c>
      <c r="E2064">
        <v>0</v>
      </c>
      <c r="F2064">
        <v>0</v>
      </c>
      <c r="G2064">
        <v>2</v>
      </c>
      <c r="H2064">
        <v>2</v>
      </c>
      <c r="I2064">
        <v>25</v>
      </c>
      <c r="J2064">
        <v>2</v>
      </c>
      <c r="K2064">
        <v>0</v>
      </c>
      <c r="L2064" s="4">
        <v>0.80227404243706157</v>
      </c>
      <c r="M2064" s="4">
        <v>0.19772595756293851</v>
      </c>
      <c r="N2064">
        <v>5</v>
      </c>
    </row>
    <row r="2065" spans="1:14" x14ac:dyDescent="0.35">
      <c r="A2065" s="1">
        <v>3161</v>
      </c>
      <c r="B2065">
        <v>13</v>
      </c>
      <c r="C2065">
        <v>71</v>
      </c>
      <c r="D2065">
        <v>4</v>
      </c>
      <c r="E2065">
        <v>0</v>
      </c>
      <c r="F2065">
        <v>3</v>
      </c>
      <c r="G2065">
        <v>3</v>
      </c>
      <c r="H2065">
        <v>2</v>
      </c>
      <c r="I2065">
        <v>4000</v>
      </c>
      <c r="J2065">
        <v>5</v>
      </c>
      <c r="K2065">
        <v>1</v>
      </c>
      <c r="L2065" s="4">
        <v>0.80238101456180044</v>
      </c>
      <c r="M2065" s="4">
        <v>0.1976189854381995</v>
      </c>
      <c r="N2065">
        <v>5</v>
      </c>
    </row>
    <row r="2066" spans="1:14" x14ac:dyDescent="0.35">
      <c r="A2066" s="1">
        <v>4370</v>
      </c>
      <c r="B2066">
        <v>8</v>
      </c>
      <c r="C2066">
        <v>51</v>
      </c>
      <c r="D2066">
        <v>2</v>
      </c>
      <c r="E2066">
        <v>0</v>
      </c>
      <c r="F2066">
        <v>1</v>
      </c>
      <c r="G2066">
        <v>12</v>
      </c>
      <c r="H2066">
        <v>3</v>
      </c>
      <c r="I2066">
        <v>0.01</v>
      </c>
      <c r="J2066">
        <v>9</v>
      </c>
      <c r="K2066">
        <v>0</v>
      </c>
      <c r="L2066" s="4">
        <v>0.8024405495933119</v>
      </c>
      <c r="M2066" s="4">
        <v>0.1975594504066881</v>
      </c>
      <c r="N2066">
        <v>5</v>
      </c>
    </row>
    <row r="2067" spans="1:14" x14ac:dyDescent="0.35">
      <c r="A2067" s="1">
        <v>3208</v>
      </c>
      <c r="B2067">
        <v>5</v>
      </c>
      <c r="C2067">
        <v>35</v>
      </c>
      <c r="D2067">
        <v>1</v>
      </c>
      <c r="E2067">
        <v>1</v>
      </c>
      <c r="F2067">
        <v>3</v>
      </c>
      <c r="G2067">
        <v>3</v>
      </c>
      <c r="H2067">
        <v>2</v>
      </c>
      <c r="I2067">
        <v>300</v>
      </c>
      <c r="J2067">
        <v>9</v>
      </c>
      <c r="K2067">
        <v>0</v>
      </c>
      <c r="L2067" s="4">
        <v>0.80251871132143282</v>
      </c>
      <c r="M2067" s="4">
        <v>0.19748128867856721</v>
      </c>
      <c r="N2067">
        <v>5</v>
      </c>
    </row>
    <row r="2068" spans="1:14" x14ac:dyDescent="0.35">
      <c r="A2068" s="1">
        <v>4220</v>
      </c>
      <c r="B2068">
        <v>12</v>
      </c>
      <c r="C2068">
        <v>69</v>
      </c>
      <c r="D2068">
        <v>3</v>
      </c>
      <c r="E2068">
        <v>0</v>
      </c>
      <c r="F2068">
        <v>3</v>
      </c>
      <c r="G2068">
        <v>8</v>
      </c>
      <c r="H2068">
        <v>0</v>
      </c>
      <c r="I2068">
        <v>6000</v>
      </c>
      <c r="J2068">
        <v>30</v>
      </c>
      <c r="K2068">
        <v>0</v>
      </c>
      <c r="L2068" s="4">
        <v>0.80256203632832923</v>
      </c>
      <c r="M2068" s="4">
        <v>0.1974379636716708</v>
      </c>
      <c r="N2068">
        <v>5</v>
      </c>
    </row>
    <row r="2069" spans="1:14" x14ac:dyDescent="0.35">
      <c r="A2069" s="1">
        <v>3814</v>
      </c>
      <c r="B2069">
        <v>11</v>
      </c>
      <c r="C2069">
        <v>63</v>
      </c>
      <c r="D2069">
        <v>1</v>
      </c>
      <c r="E2069">
        <v>0</v>
      </c>
      <c r="F2069">
        <v>3</v>
      </c>
      <c r="G2069">
        <v>8</v>
      </c>
      <c r="H2069">
        <v>3</v>
      </c>
      <c r="I2069">
        <v>0.01</v>
      </c>
      <c r="J2069">
        <v>8</v>
      </c>
      <c r="K2069">
        <v>0</v>
      </c>
      <c r="L2069" s="4">
        <v>0.80256876370643038</v>
      </c>
      <c r="M2069" s="4">
        <v>0.1974312362935696</v>
      </c>
      <c r="N2069">
        <v>5</v>
      </c>
    </row>
    <row r="2070" spans="1:14" x14ac:dyDescent="0.35">
      <c r="A2070" s="1">
        <v>882</v>
      </c>
      <c r="B2070">
        <v>9</v>
      </c>
      <c r="C2070">
        <v>58</v>
      </c>
      <c r="D2070">
        <v>2</v>
      </c>
      <c r="E2070">
        <v>0</v>
      </c>
      <c r="F2070">
        <v>1</v>
      </c>
      <c r="G2070">
        <v>7</v>
      </c>
      <c r="H2070">
        <v>0</v>
      </c>
      <c r="I2070">
        <v>12106.69</v>
      </c>
      <c r="J2070">
        <v>7</v>
      </c>
      <c r="K2070">
        <v>0</v>
      </c>
      <c r="L2070" s="4">
        <v>0.80261186775592785</v>
      </c>
      <c r="M2070" s="4">
        <v>0.19738813224407209</v>
      </c>
      <c r="N2070">
        <v>5</v>
      </c>
    </row>
    <row r="2071" spans="1:14" x14ac:dyDescent="0.35">
      <c r="A2071" s="1">
        <v>2888</v>
      </c>
      <c r="B2071">
        <v>7</v>
      </c>
      <c r="C2071">
        <v>51</v>
      </c>
      <c r="D2071">
        <v>0</v>
      </c>
      <c r="E2071">
        <v>0</v>
      </c>
      <c r="F2071">
        <v>1</v>
      </c>
      <c r="G2071">
        <v>7</v>
      </c>
      <c r="H2071">
        <v>0</v>
      </c>
      <c r="I2071">
        <v>6000</v>
      </c>
      <c r="J2071">
        <v>25</v>
      </c>
      <c r="K2071">
        <v>0</v>
      </c>
      <c r="L2071" s="4">
        <v>0.80266262384538301</v>
      </c>
      <c r="M2071" s="4">
        <v>0.19733737615461699</v>
      </c>
      <c r="N2071">
        <v>5</v>
      </c>
    </row>
    <row r="2072" spans="1:14" x14ac:dyDescent="0.35">
      <c r="A2072" s="1">
        <v>1884</v>
      </c>
      <c r="B2072">
        <v>5</v>
      </c>
      <c r="C2072">
        <v>39</v>
      </c>
      <c r="D2072">
        <v>3</v>
      </c>
      <c r="E2072">
        <v>0</v>
      </c>
      <c r="F2072">
        <v>3</v>
      </c>
      <c r="G2072">
        <v>3</v>
      </c>
      <c r="H2072">
        <v>2</v>
      </c>
      <c r="I2072">
        <v>3000</v>
      </c>
      <c r="J2072">
        <v>3</v>
      </c>
      <c r="K2072">
        <v>0</v>
      </c>
      <c r="L2072" s="4">
        <v>0.80270631662139036</v>
      </c>
      <c r="M2072" s="4">
        <v>0.1972936833786097</v>
      </c>
      <c r="N2072">
        <v>5</v>
      </c>
    </row>
    <row r="2073" spans="1:14" x14ac:dyDescent="0.35">
      <c r="A2073" s="1">
        <v>4170</v>
      </c>
      <c r="B2073">
        <v>5</v>
      </c>
      <c r="C2073">
        <v>42</v>
      </c>
      <c r="D2073">
        <v>0</v>
      </c>
      <c r="E2073">
        <v>0</v>
      </c>
      <c r="F2073">
        <v>1</v>
      </c>
      <c r="G2073">
        <v>12</v>
      </c>
      <c r="H2073">
        <v>0</v>
      </c>
      <c r="I2073">
        <v>6000</v>
      </c>
      <c r="J2073">
        <v>4</v>
      </c>
      <c r="K2073">
        <v>0</v>
      </c>
      <c r="L2073" s="4">
        <v>0.80271067855699429</v>
      </c>
      <c r="M2073" s="4">
        <v>0.19728932144300571</v>
      </c>
      <c r="N2073">
        <v>5</v>
      </c>
    </row>
    <row r="2074" spans="1:14" x14ac:dyDescent="0.35">
      <c r="A2074" s="1">
        <v>1450</v>
      </c>
      <c r="B2074">
        <v>8</v>
      </c>
      <c r="C2074">
        <v>42</v>
      </c>
      <c r="D2074">
        <v>3</v>
      </c>
      <c r="E2074">
        <v>2</v>
      </c>
      <c r="F2074">
        <v>0</v>
      </c>
      <c r="G2074">
        <v>4</v>
      </c>
      <c r="H2074">
        <v>3</v>
      </c>
      <c r="I2074">
        <v>0.01</v>
      </c>
      <c r="J2074">
        <v>9</v>
      </c>
      <c r="K2074">
        <v>0</v>
      </c>
      <c r="L2074" s="4">
        <v>0.80297109637866537</v>
      </c>
      <c r="M2074" s="4">
        <v>0.19702890362133471</v>
      </c>
      <c r="N2074">
        <v>5</v>
      </c>
    </row>
    <row r="2075" spans="1:14" x14ac:dyDescent="0.35">
      <c r="A2075" s="1">
        <v>361</v>
      </c>
      <c r="B2075">
        <v>7</v>
      </c>
      <c r="C2075">
        <v>42</v>
      </c>
      <c r="D2075">
        <v>5</v>
      </c>
      <c r="E2075">
        <v>1</v>
      </c>
      <c r="F2075">
        <v>1</v>
      </c>
      <c r="G2075">
        <v>7</v>
      </c>
      <c r="H2075">
        <v>2</v>
      </c>
      <c r="I2075">
        <v>269.52</v>
      </c>
      <c r="J2075">
        <v>10</v>
      </c>
      <c r="K2075">
        <v>0</v>
      </c>
      <c r="L2075" s="4">
        <v>0.80297241136122055</v>
      </c>
      <c r="M2075" s="4">
        <v>0.19702758863877951</v>
      </c>
      <c r="N2075">
        <v>5</v>
      </c>
    </row>
    <row r="2076" spans="1:14" x14ac:dyDescent="0.35">
      <c r="A2076" s="1">
        <v>1835</v>
      </c>
      <c r="B2076">
        <v>8</v>
      </c>
      <c r="C2076">
        <v>54</v>
      </c>
      <c r="D2076">
        <v>0</v>
      </c>
      <c r="E2076">
        <v>0</v>
      </c>
      <c r="F2076">
        <v>3</v>
      </c>
      <c r="G2076">
        <v>3</v>
      </c>
      <c r="H2076">
        <v>0</v>
      </c>
      <c r="I2076">
        <v>6000</v>
      </c>
      <c r="J2076">
        <v>1</v>
      </c>
      <c r="K2076">
        <v>0</v>
      </c>
      <c r="L2076" s="4">
        <v>0.80306427559420657</v>
      </c>
      <c r="M2076" s="4">
        <v>0.19693572440579341</v>
      </c>
      <c r="N2076">
        <v>5</v>
      </c>
    </row>
    <row r="2077" spans="1:14" x14ac:dyDescent="0.35">
      <c r="A2077" s="1">
        <v>345</v>
      </c>
      <c r="B2077">
        <v>13</v>
      </c>
      <c r="C2077">
        <v>75</v>
      </c>
      <c r="D2077">
        <v>0</v>
      </c>
      <c r="E2077">
        <v>0</v>
      </c>
      <c r="F2077">
        <v>0</v>
      </c>
      <c r="G2077">
        <v>11</v>
      </c>
      <c r="H2077">
        <v>0</v>
      </c>
      <c r="I2077">
        <v>7200</v>
      </c>
      <c r="J2077">
        <v>2</v>
      </c>
      <c r="K2077">
        <v>0</v>
      </c>
      <c r="L2077" s="4">
        <v>0.80314142171322922</v>
      </c>
      <c r="M2077" s="4">
        <v>0.19685857828677081</v>
      </c>
      <c r="N2077">
        <v>5</v>
      </c>
    </row>
    <row r="2078" spans="1:14" x14ac:dyDescent="0.35">
      <c r="A2078" s="1">
        <v>808</v>
      </c>
      <c r="B2078">
        <v>6</v>
      </c>
      <c r="C2078">
        <v>44</v>
      </c>
      <c r="D2078">
        <v>1</v>
      </c>
      <c r="E2078">
        <v>0</v>
      </c>
      <c r="F2078">
        <v>3</v>
      </c>
      <c r="G2078">
        <v>3</v>
      </c>
      <c r="H2078">
        <v>2</v>
      </c>
      <c r="I2078">
        <v>50</v>
      </c>
      <c r="J2078">
        <v>7</v>
      </c>
      <c r="K2078">
        <v>0</v>
      </c>
      <c r="L2078" s="4">
        <v>0.80336427689919221</v>
      </c>
      <c r="M2078" s="4">
        <v>0.19663572310080779</v>
      </c>
      <c r="N2078">
        <v>5</v>
      </c>
    </row>
    <row r="2079" spans="1:14" x14ac:dyDescent="0.35">
      <c r="A2079" s="1">
        <v>2552</v>
      </c>
      <c r="B2079">
        <v>7</v>
      </c>
      <c r="C2079">
        <v>41</v>
      </c>
      <c r="D2079">
        <v>2</v>
      </c>
      <c r="E2079">
        <v>1</v>
      </c>
      <c r="F2079">
        <v>4</v>
      </c>
      <c r="G2079">
        <v>9</v>
      </c>
      <c r="H2079">
        <v>3</v>
      </c>
      <c r="I2079">
        <v>0.01</v>
      </c>
      <c r="J2079">
        <v>8</v>
      </c>
      <c r="K2079">
        <v>1</v>
      </c>
      <c r="L2079" s="4">
        <v>0.8036341037265613</v>
      </c>
      <c r="M2079" s="4">
        <v>0.19636589627343859</v>
      </c>
      <c r="N2079">
        <v>5</v>
      </c>
    </row>
    <row r="2080" spans="1:14" x14ac:dyDescent="0.35">
      <c r="A2080" s="1">
        <v>3940</v>
      </c>
      <c r="B2080">
        <v>7</v>
      </c>
      <c r="C2080">
        <v>47</v>
      </c>
      <c r="D2080">
        <v>5</v>
      </c>
      <c r="E2080">
        <v>0</v>
      </c>
      <c r="F2080">
        <v>1</v>
      </c>
      <c r="G2080">
        <v>7</v>
      </c>
      <c r="H2080">
        <v>2</v>
      </c>
      <c r="I2080">
        <v>5000</v>
      </c>
      <c r="J2080">
        <v>5</v>
      </c>
      <c r="K2080">
        <v>0</v>
      </c>
      <c r="L2080" s="4">
        <v>0.8036354366620132</v>
      </c>
      <c r="M2080" s="4">
        <v>0.1963645633379868</v>
      </c>
      <c r="N2080">
        <v>5</v>
      </c>
    </row>
    <row r="2081" spans="1:14" x14ac:dyDescent="0.35">
      <c r="A2081" s="1">
        <v>1744</v>
      </c>
      <c r="B2081">
        <v>6</v>
      </c>
      <c r="C2081">
        <v>38</v>
      </c>
      <c r="D2081">
        <v>5</v>
      </c>
      <c r="E2081">
        <v>1</v>
      </c>
      <c r="F2081">
        <v>0</v>
      </c>
      <c r="G2081">
        <v>11</v>
      </c>
      <c r="H2081">
        <v>2</v>
      </c>
      <c r="I2081">
        <v>1100</v>
      </c>
      <c r="J2081">
        <v>1</v>
      </c>
      <c r="K2081">
        <v>1</v>
      </c>
      <c r="L2081" s="4">
        <v>0.80404321701775916</v>
      </c>
      <c r="M2081" s="4">
        <v>0.1959567829822409</v>
      </c>
      <c r="N2081">
        <v>5</v>
      </c>
    </row>
    <row r="2082" spans="1:14" x14ac:dyDescent="0.35">
      <c r="A2082" s="1">
        <v>3598</v>
      </c>
      <c r="B2082">
        <v>5</v>
      </c>
      <c r="C2082">
        <v>38</v>
      </c>
      <c r="D2082">
        <v>4</v>
      </c>
      <c r="E2082">
        <v>0</v>
      </c>
      <c r="F2082">
        <v>3</v>
      </c>
      <c r="G2082">
        <v>3</v>
      </c>
      <c r="H2082">
        <v>3</v>
      </c>
      <c r="I2082">
        <v>0.01</v>
      </c>
      <c r="J2082">
        <v>8</v>
      </c>
      <c r="K2082">
        <v>0</v>
      </c>
      <c r="L2082" s="4">
        <v>0.80405665354154632</v>
      </c>
      <c r="M2082" s="4">
        <v>0.19594334645845371</v>
      </c>
      <c r="N2082">
        <v>5</v>
      </c>
    </row>
    <row r="2083" spans="1:14" x14ac:dyDescent="0.35">
      <c r="A2083" s="1">
        <v>3685</v>
      </c>
      <c r="B2083">
        <v>6</v>
      </c>
      <c r="C2083">
        <v>38</v>
      </c>
      <c r="D2083">
        <v>5</v>
      </c>
      <c r="E2083">
        <v>1</v>
      </c>
      <c r="F2083">
        <v>1</v>
      </c>
      <c r="G2083">
        <v>7</v>
      </c>
      <c r="H2083">
        <v>2</v>
      </c>
      <c r="I2083">
        <v>1000</v>
      </c>
      <c r="J2083">
        <v>6</v>
      </c>
      <c r="K2083">
        <v>0</v>
      </c>
      <c r="L2083" s="4">
        <v>0.80407515403949625</v>
      </c>
      <c r="M2083" s="4">
        <v>0.19592484596050369</v>
      </c>
      <c r="N2083">
        <v>5</v>
      </c>
    </row>
    <row r="2084" spans="1:14" x14ac:dyDescent="0.35">
      <c r="A2084" s="1">
        <v>2639</v>
      </c>
      <c r="B2084">
        <v>8</v>
      </c>
      <c r="C2084">
        <v>47</v>
      </c>
      <c r="D2084">
        <v>0</v>
      </c>
      <c r="E2084">
        <v>1</v>
      </c>
      <c r="F2084">
        <v>3</v>
      </c>
      <c r="G2084">
        <v>3</v>
      </c>
      <c r="H2084">
        <v>3</v>
      </c>
      <c r="I2084">
        <v>0.01</v>
      </c>
      <c r="J2084">
        <v>8</v>
      </c>
      <c r="K2084">
        <v>0</v>
      </c>
      <c r="L2084" s="4">
        <v>0.80416364913719385</v>
      </c>
      <c r="M2084" s="4">
        <v>0.19583635086280621</v>
      </c>
      <c r="N2084">
        <v>5</v>
      </c>
    </row>
    <row r="2085" spans="1:14" x14ac:dyDescent="0.35">
      <c r="A2085" s="1">
        <v>2426</v>
      </c>
      <c r="B2085">
        <v>14</v>
      </c>
      <c r="C2085">
        <v>77</v>
      </c>
      <c r="D2085">
        <v>5</v>
      </c>
      <c r="E2085">
        <v>0</v>
      </c>
      <c r="F2085">
        <v>2</v>
      </c>
      <c r="G2085">
        <v>0</v>
      </c>
      <c r="H2085">
        <v>0</v>
      </c>
      <c r="I2085">
        <v>6000</v>
      </c>
      <c r="J2085">
        <v>2</v>
      </c>
      <c r="K2085">
        <v>0</v>
      </c>
      <c r="L2085" s="4">
        <v>0.80417374705125211</v>
      </c>
      <c r="M2085" s="4">
        <v>0.19582625294874789</v>
      </c>
      <c r="N2085">
        <v>5</v>
      </c>
    </row>
    <row r="2086" spans="1:14" x14ac:dyDescent="0.35">
      <c r="A2086" s="1">
        <v>3876</v>
      </c>
      <c r="B2086">
        <v>8</v>
      </c>
      <c r="C2086">
        <v>53</v>
      </c>
      <c r="D2086">
        <v>1</v>
      </c>
      <c r="E2086">
        <v>0</v>
      </c>
      <c r="F2086">
        <v>0</v>
      </c>
      <c r="G2086">
        <v>2</v>
      </c>
      <c r="H2086">
        <v>3</v>
      </c>
      <c r="I2086">
        <v>0.01</v>
      </c>
      <c r="J2086">
        <v>8</v>
      </c>
      <c r="K2086">
        <v>0</v>
      </c>
      <c r="L2086" s="4">
        <v>0.80433766423455288</v>
      </c>
      <c r="M2086" s="4">
        <v>0.19566233576544709</v>
      </c>
      <c r="N2086">
        <v>5</v>
      </c>
    </row>
    <row r="2087" spans="1:14" x14ac:dyDescent="0.35">
      <c r="A2087" s="1">
        <v>169</v>
      </c>
      <c r="B2087">
        <v>8</v>
      </c>
      <c r="C2087">
        <v>48</v>
      </c>
      <c r="D2087">
        <v>3</v>
      </c>
      <c r="E2087">
        <v>1</v>
      </c>
      <c r="F2087">
        <v>0</v>
      </c>
      <c r="G2087">
        <v>2</v>
      </c>
      <c r="H2087">
        <v>2</v>
      </c>
      <c r="I2087">
        <v>50.01</v>
      </c>
      <c r="J2087">
        <v>10</v>
      </c>
      <c r="K2087">
        <v>0</v>
      </c>
      <c r="L2087" s="4">
        <v>0.80442421720855428</v>
      </c>
      <c r="M2087" s="4">
        <v>0.19557578279144569</v>
      </c>
      <c r="N2087">
        <v>5</v>
      </c>
    </row>
    <row r="2088" spans="1:14" x14ac:dyDescent="0.35">
      <c r="A2088" s="1">
        <v>4213</v>
      </c>
      <c r="B2088">
        <v>8</v>
      </c>
      <c r="C2088">
        <v>51</v>
      </c>
      <c r="D2088">
        <v>2</v>
      </c>
      <c r="E2088">
        <v>0</v>
      </c>
      <c r="F2088">
        <v>3</v>
      </c>
      <c r="G2088">
        <v>3</v>
      </c>
      <c r="H2088">
        <v>3</v>
      </c>
      <c r="I2088">
        <v>0.01</v>
      </c>
      <c r="J2088">
        <v>5</v>
      </c>
      <c r="K2088">
        <v>0</v>
      </c>
      <c r="L2088" s="4">
        <v>0.804427986990359</v>
      </c>
      <c r="M2088" s="4">
        <v>0.195572013009641</v>
      </c>
      <c r="N2088">
        <v>5</v>
      </c>
    </row>
    <row r="2089" spans="1:14" x14ac:dyDescent="0.35">
      <c r="A2089" s="1">
        <v>3229</v>
      </c>
      <c r="B2089">
        <v>5</v>
      </c>
      <c r="C2089">
        <v>39</v>
      </c>
      <c r="D2089">
        <v>3</v>
      </c>
      <c r="E2089">
        <v>0</v>
      </c>
      <c r="F2089">
        <v>1</v>
      </c>
      <c r="G2089">
        <v>7</v>
      </c>
      <c r="H2089">
        <v>3</v>
      </c>
      <c r="I2089">
        <v>0.01</v>
      </c>
      <c r="J2089">
        <v>5</v>
      </c>
      <c r="K2089">
        <v>1</v>
      </c>
      <c r="L2089" s="4">
        <v>0.80450287666785014</v>
      </c>
      <c r="M2089" s="4">
        <v>0.1954971233321498</v>
      </c>
      <c r="N2089">
        <v>5</v>
      </c>
    </row>
    <row r="2090" spans="1:14" x14ac:dyDescent="0.35">
      <c r="A2090" s="1">
        <v>4287</v>
      </c>
      <c r="B2090">
        <v>8</v>
      </c>
      <c r="C2090">
        <v>51</v>
      </c>
      <c r="D2090">
        <v>5</v>
      </c>
      <c r="E2090">
        <v>0</v>
      </c>
      <c r="F2090">
        <v>1</v>
      </c>
      <c r="G2090">
        <v>7</v>
      </c>
      <c r="H2090">
        <v>2</v>
      </c>
      <c r="I2090">
        <v>1060</v>
      </c>
      <c r="J2090">
        <v>2</v>
      </c>
      <c r="K2090">
        <v>1</v>
      </c>
      <c r="L2090" s="4">
        <v>0.80476628366746661</v>
      </c>
      <c r="M2090" s="4">
        <v>0.19523371633253339</v>
      </c>
      <c r="N2090">
        <v>5</v>
      </c>
    </row>
    <row r="2091" spans="1:14" x14ac:dyDescent="0.35">
      <c r="A2091" s="1">
        <v>766</v>
      </c>
      <c r="B2091">
        <v>11</v>
      </c>
      <c r="C2091">
        <v>63</v>
      </c>
      <c r="D2091">
        <v>4</v>
      </c>
      <c r="E2091">
        <v>0</v>
      </c>
      <c r="F2091">
        <v>1</v>
      </c>
      <c r="G2091">
        <v>7</v>
      </c>
      <c r="H2091">
        <v>3</v>
      </c>
      <c r="I2091">
        <v>0.01</v>
      </c>
      <c r="J2091">
        <v>10</v>
      </c>
      <c r="K2091">
        <v>1</v>
      </c>
      <c r="L2091" s="4">
        <v>0.80477745380554677</v>
      </c>
      <c r="M2091" s="4">
        <v>0.1952225461944532</v>
      </c>
      <c r="N2091">
        <v>5</v>
      </c>
    </row>
    <row r="2092" spans="1:14" x14ac:dyDescent="0.35">
      <c r="A2092" s="1">
        <v>1812</v>
      </c>
      <c r="B2092">
        <v>11</v>
      </c>
      <c r="C2092">
        <v>62</v>
      </c>
      <c r="D2092">
        <v>5</v>
      </c>
      <c r="E2092">
        <v>0</v>
      </c>
      <c r="F2092">
        <v>1</v>
      </c>
      <c r="G2092">
        <v>12</v>
      </c>
      <c r="H2092">
        <v>3</v>
      </c>
      <c r="I2092">
        <v>0.01</v>
      </c>
      <c r="J2092">
        <v>5</v>
      </c>
      <c r="K2092">
        <v>0</v>
      </c>
      <c r="L2092" s="4">
        <v>0.80477768019398743</v>
      </c>
      <c r="M2092" s="4">
        <v>0.1952223198060126</v>
      </c>
      <c r="N2092">
        <v>5</v>
      </c>
    </row>
    <row r="2093" spans="1:14" x14ac:dyDescent="0.35">
      <c r="A2093" s="1">
        <v>3815</v>
      </c>
      <c r="B2093">
        <v>9</v>
      </c>
      <c r="C2093">
        <v>56</v>
      </c>
      <c r="D2093">
        <v>3</v>
      </c>
      <c r="E2093">
        <v>0</v>
      </c>
      <c r="F2093">
        <v>1</v>
      </c>
      <c r="G2093">
        <v>7</v>
      </c>
      <c r="H2093">
        <v>2</v>
      </c>
      <c r="I2093">
        <v>2074</v>
      </c>
      <c r="J2093">
        <v>4</v>
      </c>
      <c r="K2093">
        <v>0</v>
      </c>
      <c r="L2093" s="4">
        <v>0.80482016913966126</v>
      </c>
      <c r="M2093" s="4">
        <v>0.19517983086033869</v>
      </c>
      <c r="N2093">
        <v>5</v>
      </c>
    </row>
    <row r="2094" spans="1:14" x14ac:dyDescent="0.35">
      <c r="A2094" s="1">
        <v>1157</v>
      </c>
      <c r="B2094">
        <v>8</v>
      </c>
      <c r="C2094">
        <v>48</v>
      </c>
      <c r="D2094">
        <v>2</v>
      </c>
      <c r="E2094">
        <v>1</v>
      </c>
      <c r="F2094">
        <v>3</v>
      </c>
      <c r="G2094">
        <v>8</v>
      </c>
      <c r="H2094">
        <v>0</v>
      </c>
      <c r="I2094">
        <v>8000</v>
      </c>
      <c r="J2094">
        <v>1</v>
      </c>
      <c r="K2094">
        <v>0</v>
      </c>
      <c r="L2094" s="4">
        <v>0.80483950935154169</v>
      </c>
      <c r="M2094" s="4">
        <v>0.19516049064845831</v>
      </c>
      <c r="N2094">
        <v>5</v>
      </c>
    </row>
    <row r="2095" spans="1:14" x14ac:dyDescent="0.35">
      <c r="A2095" s="1">
        <v>562</v>
      </c>
      <c r="B2095">
        <v>9</v>
      </c>
      <c r="C2095">
        <v>46</v>
      </c>
      <c r="D2095">
        <v>2</v>
      </c>
      <c r="E2095">
        <v>2</v>
      </c>
      <c r="F2095">
        <v>2</v>
      </c>
      <c r="G2095">
        <v>0</v>
      </c>
      <c r="H2095">
        <v>3</v>
      </c>
      <c r="I2095">
        <v>0.01</v>
      </c>
      <c r="J2095">
        <v>4</v>
      </c>
      <c r="K2095">
        <v>0</v>
      </c>
      <c r="L2095" s="4">
        <v>0.80486155007265625</v>
      </c>
      <c r="M2095" s="4">
        <v>0.19513844992734369</v>
      </c>
      <c r="N2095">
        <v>5</v>
      </c>
    </row>
    <row r="2096" spans="1:14" x14ac:dyDescent="0.35">
      <c r="A2096" s="1">
        <v>171</v>
      </c>
      <c r="B2096">
        <v>8</v>
      </c>
      <c r="C2096">
        <v>53</v>
      </c>
      <c r="D2096">
        <v>2</v>
      </c>
      <c r="E2096">
        <v>0</v>
      </c>
      <c r="F2096">
        <v>3</v>
      </c>
      <c r="G2096">
        <v>8</v>
      </c>
      <c r="H2096">
        <v>0</v>
      </c>
      <c r="I2096">
        <v>6000</v>
      </c>
      <c r="J2096">
        <v>6</v>
      </c>
      <c r="K2096">
        <v>0</v>
      </c>
      <c r="L2096" s="4">
        <v>0.80518327233121645</v>
      </c>
      <c r="M2096" s="4">
        <v>0.19481672766878361</v>
      </c>
      <c r="N2096">
        <v>5</v>
      </c>
    </row>
    <row r="2097" spans="1:14" x14ac:dyDescent="0.35">
      <c r="A2097" s="1">
        <v>1749</v>
      </c>
      <c r="B2097">
        <v>9</v>
      </c>
      <c r="C2097">
        <v>51</v>
      </c>
      <c r="D2097">
        <v>2</v>
      </c>
      <c r="E2097">
        <v>1</v>
      </c>
      <c r="F2097">
        <v>3</v>
      </c>
      <c r="G2097">
        <v>3</v>
      </c>
      <c r="H2097">
        <v>2</v>
      </c>
      <c r="I2097">
        <v>3000</v>
      </c>
      <c r="J2097">
        <v>3</v>
      </c>
      <c r="K2097">
        <v>0</v>
      </c>
      <c r="L2097" s="4">
        <v>0.80528932047469803</v>
      </c>
      <c r="M2097" s="4">
        <v>0.19471067952530199</v>
      </c>
      <c r="N2097">
        <v>5</v>
      </c>
    </row>
    <row r="2098" spans="1:14" x14ac:dyDescent="0.35">
      <c r="A2098" s="1">
        <v>3156</v>
      </c>
      <c r="B2098">
        <v>6</v>
      </c>
      <c r="C2098">
        <v>43</v>
      </c>
      <c r="D2098">
        <v>2</v>
      </c>
      <c r="E2098">
        <v>0</v>
      </c>
      <c r="F2098">
        <v>3</v>
      </c>
      <c r="G2098">
        <v>3</v>
      </c>
      <c r="H2098">
        <v>3</v>
      </c>
      <c r="I2098">
        <v>0.01</v>
      </c>
      <c r="J2098">
        <v>5</v>
      </c>
      <c r="K2098">
        <v>0</v>
      </c>
      <c r="L2098" s="4">
        <v>0.8053770197237422</v>
      </c>
      <c r="M2098" s="4">
        <v>0.19462298027625771</v>
      </c>
      <c r="N2098">
        <v>5</v>
      </c>
    </row>
    <row r="2099" spans="1:14" x14ac:dyDescent="0.35">
      <c r="A2099" s="1">
        <v>3668</v>
      </c>
      <c r="B2099">
        <v>9</v>
      </c>
      <c r="C2099">
        <v>49</v>
      </c>
      <c r="D2099">
        <v>5</v>
      </c>
      <c r="E2099">
        <v>1</v>
      </c>
      <c r="F2099">
        <v>3</v>
      </c>
      <c r="G2099">
        <v>3</v>
      </c>
      <c r="H2099">
        <v>3</v>
      </c>
      <c r="I2099">
        <v>0.01</v>
      </c>
      <c r="J2099">
        <v>7</v>
      </c>
      <c r="K2099">
        <v>0</v>
      </c>
      <c r="L2099" s="4">
        <v>0.80564423083297276</v>
      </c>
      <c r="M2099" s="4">
        <v>0.19435576916702729</v>
      </c>
      <c r="N2099">
        <v>5</v>
      </c>
    </row>
    <row r="2100" spans="1:14" x14ac:dyDescent="0.35">
      <c r="A2100" s="1">
        <v>3826</v>
      </c>
      <c r="B2100">
        <v>6</v>
      </c>
      <c r="C2100">
        <v>42</v>
      </c>
      <c r="D2100">
        <v>5</v>
      </c>
      <c r="E2100">
        <v>0</v>
      </c>
      <c r="F2100">
        <v>3</v>
      </c>
      <c r="G2100">
        <v>8</v>
      </c>
      <c r="H2100">
        <v>2</v>
      </c>
      <c r="I2100">
        <v>100</v>
      </c>
      <c r="J2100">
        <v>5</v>
      </c>
      <c r="K2100">
        <v>0</v>
      </c>
      <c r="L2100" s="4">
        <v>0.80569166572535367</v>
      </c>
      <c r="M2100" s="4">
        <v>0.19430833427464639</v>
      </c>
      <c r="N2100">
        <v>5</v>
      </c>
    </row>
    <row r="2101" spans="1:14" x14ac:dyDescent="0.35">
      <c r="A2101" s="1">
        <v>1641</v>
      </c>
      <c r="B2101">
        <v>9</v>
      </c>
      <c r="C2101">
        <v>51</v>
      </c>
      <c r="D2101">
        <v>2</v>
      </c>
      <c r="E2101">
        <v>1</v>
      </c>
      <c r="F2101">
        <v>3</v>
      </c>
      <c r="G2101">
        <v>3</v>
      </c>
      <c r="H2101">
        <v>2</v>
      </c>
      <c r="I2101">
        <v>3000</v>
      </c>
      <c r="J2101">
        <v>1</v>
      </c>
      <c r="K2101">
        <v>0</v>
      </c>
      <c r="L2101" s="4">
        <v>0.80569199518315993</v>
      </c>
      <c r="M2101" s="4">
        <v>0.1943080048168401</v>
      </c>
      <c r="N2101">
        <v>5</v>
      </c>
    </row>
    <row r="2102" spans="1:14" x14ac:dyDescent="0.35">
      <c r="A2102" s="1">
        <v>3372</v>
      </c>
      <c r="B2102">
        <v>10</v>
      </c>
      <c r="C2102">
        <v>61</v>
      </c>
      <c r="D2102">
        <v>0</v>
      </c>
      <c r="E2102">
        <v>0</v>
      </c>
      <c r="F2102">
        <v>3</v>
      </c>
      <c r="G2102">
        <v>3</v>
      </c>
      <c r="H2102">
        <v>2</v>
      </c>
      <c r="I2102">
        <v>2000</v>
      </c>
      <c r="J2102">
        <v>8</v>
      </c>
      <c r="K2102">
        <v>1</v>
      </c>
      <c r="L2102" s="4">
        <v>0.80609176412368633</v>
      </c>
      <c r="M2102" s="4">
        <v>0.1939082358763137</v>
      </c>
      <c r="N2102">
        <v>5</v>
      </c>
    </row>
    <row r="2103" spans="1:14" x14ac:dyDescent="0.35">
      <c r="A2103" s="1">
        <v>3588</v>
      </c>
      <c r="B2103">
        <v>8</v>
      </c>
      <c r="C2103">
        <v>51</v>
      </c>
      <c r="D2103">
        <v>4</v>
      </c>
      <c r="E2103">
        <v>0</v>
      </c>
      <c r="F2103">
        <v>3</v>
      </c>
      <c r="G2103">
        <v>3</v>
      </c>
      <c r="H2103">
        <v>2</v>
      </c>
      <c r="I2103">
        <v>1000</v>
      </c>
      <c r="J2103">
        <v>2</v>
      </c>
      <c r="K2103">
        <v>0</v>
      </c>
      <c r="L2103" s="4">
        <v>0.80612736324046841</v>
      </c>
      <c r="M2103" s="4">
        <v>0.19387263675953159</v>
      </c>
      <c r="N2103">
        <v>5</v>
      </c>
    </row>
    <row r="2104" spans="1:14" x14ac:dyDescent="0.35">
      <c r="A2104" s="1">
        <v>4407</v>
      </c>
      <c r="B2104">
        <v>7</v>
      </c>
      <c r="C2104">
        <v>47</v>
      </c>
      <c r="D2104">
        <v>4</v>
      </c>
      <c r="E2104">
        <v>0</v>
      </c>
      <c r="F2104">
        <v>1</v>
      </c>
      <c r="G2104">
        <v>5</v>
      </c>
      <c r="H2104">
        <v>3</v>
      </c>
      <c r="I2104">
        <v>0.01</v>
      </c>
      <c r="J2104">
        <v>4</v>
      </c>
      <c r="K2104">
        <v>0</v>
      </c>
      <c r="L2104" s="4">
        <v>0.80615919775506861</v>
      </c>
      <c r="M2104" s="4">
        <v>0.1938408022449313</v>
      </c>
      <c r="N2104">
        <v>5</v>
      </c>
    </row>
    <row r="2105" spans="1:14" x14ac:dyDescent="0.35">
      <c r="A2105" s="1">
        <v>856</v>
      </c>
      <c r="B2105">
        <v>8</v>
      </c>
      <c r="C2105">
        <v>51</v>
      </c>
      <c r="D2105">
        <v>4</v>
      </c>
      <c r="E2105">
        <v>0</v>
      </c>
      <c r="F2105">
        <v>0</v>
      </c>
      <c r="G2105">
        <v>11</v>
      </c>
      <c r="H2105">
        <v>3</v>
      </c>
      <c r="I2105">
        <v>0.01</v>
      </c>
      <c r="J2105">
        <v>5</v>
      </c>
      <c r="K2105">
        <v>1</v>
      </c>
      <c r="L2105" s="4">
        <v>0.80619126444815048</v>
      </c>
      <c r="M2105" s="4">
        <v>0.19380873555184949</v>
      </c>
      <c r="N2105">
        <v>5</v>
      </c>
    </row>
    <row r="2106" spans="1:14" x14ac:dyDescent="0.35">
      <c r="A2106" s="1">
        <v>3412</v>
      </c>
      <c r="B2106">
        <v>7</v>
      </c>
      <c r="C2106">
        <v>48</v>
      </c>
      <c r="D2106">
        <v>2</v>
      </c>
      <c r="E2106">
        <v>0</v>
      </c>
      <c r="F2106">
        <v>3</v>
      </c>
      <c r="G2106">
        <v>3</v>
      </c>
      <c r="H2106">
        <v>2</v>
      </c>
      <c r="I2106">
        <v>5000</v>
      </c>
      <c r="J2106">
        <v>4</v>
      </c>
      <c r="K2106">
        <v>0</v>
      </c>
      <c r="L2106" s="4">
        <v>0.80637344290030133</v>
      </c>
      <c r="M2106" s="4">
        <v>0.19362655709969859</v>
      </c>
      <c r="N2106">
        <v>5</v>
      </c>
    </row>
    <row r="2107" spans="1:14" x14ac:dyDescent="0.35">
      <c r="A2107" s="1">
        <v>575</v>
      </c>
      <c r="B2107">
        <v>7</v>
      </c>
      <c r="C2107">
        <v>48</v>
      </c>
      <c r="D2107">
        <v>5</v>
      </c>
      <c r="E2107">
        <v>0</v>
      </c>
      <c r="F2107">
        <v>0</v>
      </c>
      <c r="G2107">
        <v>4</v>
      </c>
      <c r="H2107">
        <v>2</v>
      </c>
      <c r="I2107">
        <v>500</v>
      </c>
      <c r="J2107">
        <v>8</v>
      </c>
      <c r="K2107">
        <v>0</v>
      </c>
      <c r="L2107" s="4">
        <v>0.80656590087747115</v>
      </c>
      <c r="M2107" s="4">
        <v>0.19343409912252879</v>
      </c>
      <c r="N2107">
        <v>5</v>
      </c>
    </row>
    <row r="2108" spans="1:14" x14ac:dyDescent="0.35">
      <c r="A2108" s="1">
        <v>237</v>
      </c>
      <c r="B2108">
        <v>14</v>
      </c>
      <c r="C2108">
        <v>73</v>
      </c>
      <c r="D2108">
        <v>1</v>
      </c>
      <c r="E2108">
        <v>1</v>
      </c>
      <c r="F2108">
        <v>3</v>
      </c>
      <c r="G2108">
        <v>8</v>
      </c>
      <c r="H2108">
        <v>1</v>
      </c>
      <c r="I2108">
        <v>22000</v>
      </c>
      <c r="J2108">
        <v>21</v>
      </c>
      <c r="K2108">
        <v>0</v>
      </c>
      <c r="L2108" s="4">
        <v>0.80663849732988391</v>
      </c>
      <c r="M2108" s="4">
        <v>0.19336150267011609</v>
      </c>
      <c r="N2108">
        <v>5</v>
      </c>
    </row>
    <row r="2109" spans="1:14" x14ac:dyDescent="0.35">
      <c r="A2109" s="1">
        <v>3962</v>
      </c>
      <c r="B2109">
        <v>8</v>
      </c>
      <c r="C2109">
        <v>53</v>
      </c>
      <c r="D2109">
        <v>1</v>
      </c>
      <c r="E2109">
        <v>0</v>
      </c>
      <c r="F2109">
        <v>0</v>
      </c>
      <c r="G2109">
        <v>4</v>
      </c>
      <c r="H2109">
        <v>3</v>
      </c>
      <c r="I2109">
        <v>0.01</v>
      </c>
      <c r="J2109">
        <v>5</v>
      </c>
      <c r="K2109">
        <v>1</v>
      </c>
      <c r="L2109" s="4">
        <v>0.8066616974473475</v>
      </c>
      <c r="M2109" s="4">
        <v>0.19333830255265261</v>
      </c>
      <c r="N2109">
        <v>5</v>
      </c>
    </row>
    <row r="2110" spans="1:14" x14ac:dyDescent="0.35">
      <c r="A2110" s="1">
        <v>3169</v>
      </c>
      <c r="B2110">
        <v>10</v>
      </c>
      <c r="C2110">
        <v>56</v>
      </c>
      <c r="D2110">
        <v>3</v>
      </c>
      <c r="E2110">
        <v>1</v>
      </c>
      <c r="F2110">
        <v>3</v>
      </c>
      <c r="G2110">
        <v>8</v>
      </c>
      <c r="H2110">
        <v>0</v>
      </c>
      <c r="I2110">
        <v>6053.35</v>
      </c>
      <c r="J2110">
        <v>10</v>
      </c>
      <c r="K2110">
        <v>0</v>
      </c>
      <c r="L2110" s="4">
        <v>0.80669097919674693</v>
      </c>
      <c r="M2110" s="4">
        <v>0.1933090208032531</v>
      </c>
      <c r="N2110">
        <v>5</v>
      </c>
    </row>
    <row r="2111" spans="1:14" x14ac:dyDescent="0.35">
      <c r="A2111" s="1">
        <v>1368</v>
      </c>
      <c r="B2111">
        <v>6</v>
      </c>
      <c r="C2111">
        <v>45</v>
      </c>
      <c r="D2111">
        <v>0</v>
      </c>
      <c r="E2111">
        <v>0</v>
      </c>
      <c r="F2111">
        <v>3</v>
      </c>
      <c r="G2111">
        <v>3</v>
      </c>
      <c r="H2111">
        <v>2</v>
      </c>
      <c r="I2111">
        <v>3500</v>
      </c>
      <c r="J2111">
        <v>11</v>
      </c>
      <c r="K2111">
        <v>0</v>
      </c>
      <c r="L2111" s="4">
        <v>0.80699906273080835</v>
      </c>
      <c r="M2111" s="4">
        <v>0.19300093726919171</v>
      </c>
      <c r="N2111">
        <v>5</v>
      </c>
    </row>
    <row r="2112" spans="1:14" x14ac:dyDescent="0.35">
      <c r="A2112" s="1">
        <v>2601</v>
      </c>
      <c r="B2112">
        <v>10</v>
      </c>
      <c r="C2112">
        <v>61</v>
      </c>
      <c r="D2112">
        <v>3</v>
      </c>
      <c r="E2112">
        <v>0</v>
      </c>
      <c r="F2112">
        <v>0</v>
      </c>
      <c r="G2112">
        <v>4</v>
      </c>
      <c r="H2112">
        <v>2</v>
      </c>
      <c r="I2112">
        <v>1000</v>
      </c>
      <c r="J2112">
        <v>4</v>
      </c>
      <c r="K2112">
        <v>1</v>
      </c>
      <c r="L2112" s="4">
        <v>0.80700830251760636</v>
      </c>
      <c r="M2112" s="4">
        <v>0.1929916974823937</v>
      </c>
      <c r="N2112">
        <v>5</v>
      </c>
    </row>
    <row r="2113" spans="1:14" x14ac:dyDescent="0.35">
      <c r="A2113" s="1">
        <v>2242</v>
      </c>
      <c r="B2113">
        <v>11</v>
      </c>
      <c r="C2113">
        <v>67</v>
      </c>
      <c r="D2113">
        <v>1</v>
      </c>
      <c r="E2113">
        <v>0</v>
      </c>
      <c r="F2113">
        <v>1</v>
      </c>
      <c r="G2113">
        <v>5</v>
      </c>
      <c r="H2113">
        <v>0</v>
      </c>
      <c r="I2113">
        <v>6700</v>
      </c>
      <c r="J2113">
        <v>5</v>
      </c>
      <c r="K2113">
        <v>0</v>
      </c>
      <c r="L2113" s="4">
        <v>0.80703054301506338</v>
      </c>
      <c r="M2113" s="4">
        <v>0.19296945698493659</v>
      </c>
      <c r="N2113">
        <v>5</v>
      </c>
    </row>
    <row r="2114" spans="1:14" x14ac:dyDescent="0.35">
      <c r="A2114" s="1">
        <v>560</v>
      </c>
      <c r="B2114">
        <v>10</v>
      </c>
      <c r="C2114">
        <v>57</v>
      </c>
      <c r="D2114">
        <v>2</v>
      </c>
      <c r="E2114">
        <v>1</v>
      </c>
      <c r="F2114">
        <v>3</v>
      </c>
      <c r="G2114">
        <v>3</v>
      </c>
      <c r="H2114">
        <v>0</v>
      </c>
      <c r="I2114">
        <v>9053.35</v>
      </c>
      <c r="J2114">
        <v>9</v>
      </c>
      <c r="K2114">
        <v>0</v>
      </c>
      <c r="L2114" s="4">
        <v>0.80713894340366854</v>
      </c>
      <c r="M2114" s="4">
        <v>0.19286105659633149</v>
      </c>
      <c r="N2114">
        <v>5</v>
      </c>
    </row>
    <row r="2115" spans="1:14" x14ac:dyDescent="0.35">
      <c r="A2115" s="1">
        <v>2870</v>
      </c>
      <c r="B2115">
        <v>8</v>
      </c>
      <c r="C2115">
        <v>41</v>
      </c>
      <c r="D2115">
        <v>5</v>
      </c>
      <c r="E2115">
        <v>2</v>
      </c>
      <c r="F2115">
        <v>3</v>
      </c>
      <c r="G2115">
        <v>3</v>
      </c>
      <c r="H2115">
        <v>2</v>
      </c>
      <c r="I2115">
        <v>1600.01</v>
      </c>
      <c r="J2115">
        <v>8</v>
      </c>
      <c r="K2115">
        <v>0</v>
      </c>
      <c r="L2115" s="4">
        <v>0.80719407142964283</v>
      </c>
      <c r="M2115" s="4">
        <v>0.19280592857035711</v>
      </c>
      <c r="N2115">
        <v>5</v>
      </c>
    </row>
    <row r="2116" spans="1:14" x14ac:dyDescent="0.35">
      <c r="A2116" s="1">
        <v>3444</v>
      </c>
      <c r="B2116">
        <v>10</v>
      </c>
      <c r="C2116">
        <v>51</v>
      </c>
      <c r="D2116">
        <v>1</v>
      </c>
      <c r="E2116">
        <v>2</v>
      </c>
      <c r="F2116">
        <v>3</v>
      </c>
      <c r="G2116">
        <v>3</v>
      </c>
      <c r="H2116">
        <v>2</v>
      </c>
      <c r="I2116">
        <v>500</v>
      </c>
      <c r="J2116">
        <v>16</v>
      </c>
      <c r="K2116">
        <v>0</v>
      </c>
      <c r="L2116" s="4">
        <v>0.80728521460208513</v>
      </c>
      <c r="M2116" s="4">
        <v>0.19271478539791481</v>
      </c>
      <c r="N2116">
        <v>5</v>
      </c>
    </row>
    <row r="2117" spans="1:14" x14ac:dyDescent="0.35">
      <c r="A2117" s="1">
        <v>3463</v>
      </c>
      <c r="B2117">
        <v>12</v>
      </c>
      <c r="C2117">
        <v>68</v>
      </c>
      <c r="D2117">
        <v>4</v>
      </c>
      <c r="E2117">
        <v>0</v>
      </c>
      <c r="F2117">
        <v>1</v>
      </c>
      <c r="G2117">
        <v>7</v>
      </c>
      <c r="H2117">
        <v>2</v>
      </c>
      <c r="I2117">
        <v>100.01</v>
      </c>
      <c r="J2117">
        <v>7</v>
      </c>
      <c r="K2117">
        <v>0</v>
      </c>
      <c r="L2117" s="4">
        <v>0.80740877938299016</v>
      </c>
      <c r="M2117" s="4">
        <v>0.1925912206170099</v>
      </c>
      <c r="N2117">
        <v>5</v>
      </c>
    </row>
    <row r="2118" spans="1:14" x14ac:dyDescent="0.35">
      <c r="A2118" s="1">
        <v>1227</v>
      </c>
      <c r="B2118">
        <v>6</v>
      </c>
      <c r="C2118">
        <v>47</v>
      </c>
      <c r="D2118">
        <v>1</v>
      </c>
      <c r="E2118">
        <v>0</v>
      </c>
      <c r="F2118">
        <v>1</v>
      </c>
      <c r="G2118">
        <v>5</v>
      </c>
      <c r="H2118">
        <v>0</v>
      </c>
      <c r="I2118">
        <v>10000</v>
      </c>
      <c r="J2118">
        <v>10</v>
      </c>
      <c r="K2118">
        <v>1</v>
      </c>
      <c r="L2118" s="4">
        <v>0.80755424150661437</v>
      </c>
      <c r="M2118" s="4">
        <v>0.19244575849338569</v>
      </c>
      <c r="N2118">
        <v>5</v>
      </c>
    </row>
    <row r="2119" spans="1:14" x14ac:dyDescent="0.35">
      <c r="A2119" s="1">
        <v>797</v>
      </c>
      <c r="B2119">
        <v>7</v>
      </c>
      <c r="C2119">
        <v>51</v>
      </c>
      <c r="D2119">
        <v>2</v>
      </c>
      <c r="E2119">
        <v>0</v>
      </c>
      <c r="F2119">
        <v>0</v>
      </c>
      <c r="G2119">
        <v>11</v>
      </c>
      <c r="H2119">
        <v>0</v>
      </c>
      <c r="I2119">
        <v>10000</v>
      </c>
      <c r="J2119">
        <v>31</v>
      </c>
      <c r="K2119">
        <v>1</v>
      </c>
      <c r="L2119" s="4">
        <v>0.80767954622367022</v>
      </c>
      <c r="M2119" s="4">
        <v>0.19232045377632981</v>
      </c>
      <c r="N2119">
        <v>5</v>
      </c>
    </row>
    <row r="2120" spans="1:14" x14ac:dyDescent="0.35">
      <c r="A2120" s="1">
        <v>2686</v>
      </c>
      <c r="B2120">
        <v>8</v>
      </c>
      <c r="C2120">
        <v>53</v>
      </c>
      <c r="D2120">
        <v>0</v>
      </c>
      <c r="E2120">
        <v>0</v>
      </c>
      <c r="F2120">
        <v>3</v>
      </c>
      <c r="G2120">
        <v>3</v>
      </c>
      <c r="H2120">
        <v>2</v>
      </c>
      <c r="I2120">
        <v>2040</v>
      </c>
      <c r="J2120">
        <v>4</v>
      </c>
      <c r="K2120">
        <v>0</v>
      </c>
      <c r="L2120" s="4">
        <v>0.80782387984513515</v>
      </c>
      <c r="M2120" s="4">
        <v>0.19217612015486479</v>
      </c>
      <c r="N2120">
        <v>5</v>
      </c>
    </row>
    <row r="2121" spans="1:14" x14ac:dyDescent="0.35">
      <c r="A2121" s="1">
        <v>847</v>
      </c>
      <c r="B2121">
        <v>9</v>
      </c>
      <c r="C2121">
        <v>51</v>
      </c>
      <c r="D2121">
        <v>0</v>
      </c>
      <c r="E2121">
        <v>1</v>
      </c>
      <c r="F2121">
        <v>3</v>
      </c>
      <c r="G2121">
        <v>8</v>
      </c>
      <c r="H2121">
        <v>3</v>
      </c>
      <c r="I2121">
        <v>0.01</v>
      </c>
      <c r="J2121">
        <v>8</v>
      </c>
      <c r="K2121">
        <v>0</v>
      </c>
      <c r="L2121" s="4">
        <v>0.80798173508564819</v>
      </c>
      <c r="M2121" s="4">
        <v>0.19201826491435181</v>
      </c>
      <c r="N2121">
        <v>5</v>
      </c>
    </row>
    <row r="2122" spans="1:14" x14ac:dyDescent="0.35">
      <c r="A2122" s="1">
        <v>4288</v>
      </c>
      <c r="B2122">
        <v>11</v>
      </c>
      <c r="C2122">
        <v>64</v>
      </c>
      <c r="D2122">
        <v>3</v>
      </c>
      <c r="E2122">
        <v>0</v>
      </c>
      <c r="F2122">
        <v>1</v>
      </c>
      <c r="G2122">
        <v>12</v>
      </c>
      <c r="H2122">
        <v>2</v>
      </c>
      <c r="I2122">
        <v>1000</v>
      </c>
      <c r="J2122">
        <v>6</v>
      </c>
      <c r="K2122">
        <v>0</v>
      </c>
      <c r="L2122" s="4">
        <v>0.80803024583819505</v>
      </c>
      <c r="M2122" s="4">
        <v>0.19196975416180501</v>
      </c>
      <c r="N2122">
        <v>5</v>
      </c>
    </row>
    <row r="2123" spans="1:14" x14ac:dyDescent="0.35">
      <c r="A2123" s="1">
        <v>2556</v>
      </c>
      <c r="B2123">
        <v>6</v>
      </c>
      <c r="C2123">
        <v>42</v>
      </c>
      <c r="D2123">
        <v>5</v>
      </c>
      <c r="E2123">
        <v>0</v>
      </c>
      <c r="F2123">
        <v>3</v>
      </c>
      <c r="G2123">
        <v>3</v>
      </c>
      <c r="H2123">
        <v>3</v>
      </c>
      <c r="I2123">
        <v>0.01</v>
      </c>
      <c r="J2123">
        <v>6</v>
      </c>
      <c r="K2123">
        <v>0</v>
      </c>
      <c r="L2123" s="4">
        <v>0.80809745756978046</v>
      </c>
      <c r="M2123" s="4">
        <v>0.19190254243021959</v>
      </c>
      <c r="N2123">
        <v>5</v>
      </c>
    </row>
    <row r="2124" spans="1:14" x14ac:dyDescent="0.35">
      <c r="A2124" s="1">
        <v>128</v>
      </c>
      <c r="B2124">
        <v>11</v>
      </c>
      <c r="C2124">
        <v>62</v>
      </c>
      <c r="D2124">
        <v>1</v>
      </c>
      <c r="E2124">
        <v>1</v>
      </c>
      <c r="F2124">
        <v>1</v>
      </c>
      <c r="G2124">
        <v>12</v>
      </c>
      <c r="H2124">
        <v>0</v>
      </c>
      <c r="I2124">
        <v>12984.25</v>
      </c>
      <c r="J2124">
        <v>17</v>
      </c>
      <c r="K2124">
        <v>1</v>
      </c>
      <c r="L2124" s="4">
        <v>0.80819385650006415</v>
      </c>
      <c r="M2124" s="4">
        <v>0.19180614349993591</v>
      </c>
      <c r="N2124">
        <v>5</v>
      </c>
    </row>
    <row r="2125" spans="1:14" x14ac:dyDescent="0.35">
      <c r="A2125" s="1">
        <v>2116</v>
      </c>
      <c r="B2125">
        <v>9</v>
      </c>
      <c r="C2125">
        <v>56</v>
      </c>
      <c r="D2125">
        <v>4</v>
      </c>
      <c r="E2125">
        <v>0</v>
      </c>
      <c r="F2125">
        <v>1</v>
      </c>
      <c r="G2125">
        <v>7</v>
      </c>
      <c r="H2125">
        <v>2</v>
      </c>
      <c r="I2125">
        <v>50.01</v>
      </c>
      <c r="J2125">
        <v>10</v>
      </c>
      <c r="K2125">
        <v>0</v>
      </c>
      <c r="L2125" s="4">
        <v>0.80823012873309286</v>
      </c>
      <c r="M2125" s="4">
        <v>0.19176987126690709</v>
      </c>
      <c r="N2125">
        <v>5</v>
      </c>
    </row>
    <row r="2126" spans="1:14" x14ac:dyDescent="0.35">
      <c r="A2126" s="1">
        <v>2769</v>
      </c>
      <c r="B2126">
        <v>10</v>
      </c>
      <c r="C2126">
        <v>63</v>
      </c>
      <c r="D2126">
        <v>0</v>
      </c>
      <c r="E2126">
        <v>0</v>
      </c>
      <c r="F2126">
        <v>3</v>
      </c>
      <c r="G2126">
        <v>3</v>
      </c>
      <c r="H2126">
        <v>0</v>
      </c>
      <c r="I2126">
        <v>12000</v>
      </c>
      <c r="J2126">
        <v>9</v>
      </c>
      <c r="K2126">
        <v>0</v>
      </c>
      <c r="L2126" s="4">
        <v>0.80841431398247776</v>
      </c>
      <c r="M2126" s="4">
        <v>0.19158568601752221</v>
      </c>
      <c r="N2126">
        <v>5</v>
      </c>
    </row>
    <row r="2127" spans="1:14" x14ac:dyDescent="0.35">
      <c r="A2127" s="1">
        <v>712</v>
      </c>
      <c r="B2127">
        <v>10</v>
      </c>
      <c r="C2127">
        <v>61</v>
      </c>
      <c r="D2127">
        <v>2</v>
      </c>
      <c r="E2127">
        <v>0</v>
      </c>
      <c r="F2127">
        <v>0</v>
      </c>
      <c r="G2127">
        <v>11</v>
      </c>
      <c r="H2127">
        <v>2</v>
      </c>
      <c r="I2127">
        <v>1500</v>
      </c>
      <c r="J2127">
        <v>5</v>
      </c>
      <c r="K2127">
        <v>1</v>
      </c>
      <c r="L2127" s="4">
        <v>0.80856609336154117</v>
      </c>
      <c r="M2127" s="4">
        <v>0.1914339066384588</v>
      </c>
      <c r="N2127">
        <v>5</v>
      </c>
    </row>
    <row r="2128" spans="1:14" x14ac:dyDescent="0.35">
      <c r="A2128" s="1">
        <v>3873</v>
      </c>
      <c r="B2128">
        <v>9</v>
      </c>
      <c r="C2128">
        <v>58</v>
      </c>
      <c r="D2128">
        <v>3</v>
      </c>
      <c r="E2128">
        <v>0</v>
      </c>
      <c r="F2128">
        <v>2</v>
      </c>
      <c r="G2128">
        <v>1</v>
      </c>
      <c r="H2128">
        <v>0</v>
      </c>
      <c r="I2128">
        <v>6000</v>
      </c>
      <c r="J2128">
        <v>2</v>
      </c>
      <c r="K2128">
        <v>0</v>
      </c>
      <c r="L2128" s="4">
        <v>0.80857144018076155</v>
      </c>
      <c r="M2128" s="4">
        <v>0.19142855981923851</v>
      </c>
      <c r="N2128">
        <v>5</v>
      </c>
    </row>
    <row r="2129" spans="1:14" x14ac:dyDescent="0.35">
      <c r="A2129" s="1">
        <v>875</v>
      </c>
      <c r="B2129">
        <v>8</v>
      </c>
      <c r="C2129">
        <v>42</v>
      </c>
      <c r="D2129">
        <v>3</v>
      </c>
      <c r="E2129">
        <v>2</v>
      </c>
      <c r="F2129">
        <v>3</v>
      </c>
      <c r="G2129">
        <v>3</v>
      </c>
      <c r="H2129">
        <v>2</v>
      </c>
      <c r="I2129">
        <v>3000</v>
      </c>
      <c r="J2129">
        <v>5</v>
      </c>
      <c r="K2129">
        <v>0</v>
      </c>
      <c r="L2129" s="4">
        <v>0.80861690456526236</v>
      </c>
      <c r="M2129" s="4">
        <v>0.19138309543473769</v>
      </c>
      <c r="N2129">
        <v>5</v>
      </c>
    </row>
    <row r="2130" spans="1:14" x14ac:dyDescent="0.35">
      <c r="A2130" s="1">
        <v>4104</v>
      </c>
      <c r="B2130">
        <v>7</v>
      </c>
      <c r="C2130">
        <v>48</v>
      </c>
      <c r="D2130">
        <v>2</v>
      </c>
      <c r="E2130">
        <v>0</v>
      </c>
      <c r="F2130">
        <v>1</v>
      </c>
      <c r="G2130">
        <v>7</v>
      </c>
      <c r="H2130">
        <v>3</v>
      </c>
      <c r="I2130">
        <v>0.01</v>
      </c>
      <c r="J2130">
        <v>6</v>
      </c>
      <c r="K2130">
        <v>0</v>
      </c>
      <c r="L2130" s="4">
        <v>0.80864373155078051</v>
      </c>
      <c r="M2130" s="4">
        <v>0.19135626844921949</v>
      </c>
      <c r="N2130">
        <v>5</v>
      </c>
    </row>
    <row r="2131" spans="1:14" x14ac:dyDescent="0.35">
      <c r="A2131" s="1">
        <v>961</v>
      </c>
      <c r="B2131">
        <v>13</v>
      </c>
      <c r="C2131">
        <v>72</v>
      </c>
      <c r="D2131">
        <v>2</v>
      </c>
      <c r="E2131">
        <v>0</v>
      </c>
      <c r="F2131">
        <v>3</v>
      </c>
      <c r="G2131">
        <v>8</v>
      </c>
      <c r="H2131">
        <v>2</v>
      </c>
      <c r="I2131">
        <v>3000</v>
      </c>
      <c r="J2131">
        <v>2</v>
      </c>
      <c r="K2131">
        <v>1</v>
      </c>
      <c r="L2131" s="4">
        <v>0.80872164542756109</v>
      </c>
      <c r="M2131" s="4">
        <v>0.19127835457243891</v>
      </c>
      <c r="N2131">
        <v>5</v>
      </c>
    </row>
    <row r="2132" spans="1:14" x14ac:dyDescent="0.35">
      <c r="A2132" s="1">
        <v>2480</v>
      </c>
      <c r="B2132">
        <v>7</v>
      </c>
      <c r="C2132">
        <v>48</v>
      </c>
      <c r="D2132">
        <v>2</v>
      </c>
      <c r="E2132">
        <v>0</v>
      </c>
      <c r="F2132">
        <v>1</v>
      </c>
      <c r="G2132">
        <v>7</v>
      </c>
      <c r="H2132">
        <v>3</v>
      </c>
      <c r="I2132">
        <v>0.01</v>
      </c>
      <c r="J2132">
        <v>5</v>
      </c>
      <c r="K2132">
        <v>0</v>
      </c>
      <c r="L2132" s="4">
        <v>0.80884250169409388</v>
      </c>
      <c r="M2132" s="4">
        <v>0.19115749830590609</v>
      </c>
      <c r="N2132">
        <v>5</v>
      </c>
    </row>
    <row r="2133" spans="1:14" x14ac:dyDescent="0.35">
      <c r="A2133" s="1">
        <v>1713</v>
      </c>
      <c r="B2133">
        <v>10</v>
      </c>
      <c r="C2133">
        <v>59</v>
      </c>
      <c r="D2133">
        <v>5</v>
      </c>
      <c r="E2133">
        <v>0</v>
      </c>
      <c r="F2133">
        <v>0</v>
      </c>
      <c r="G2133">
        <v>11</v>
      </c>
      <c r="H2133">
        <v>3</v>
      </c>
      <c r="I2133">
        <v>0.01</v>
      </c>
      <c r="J2133">
        <v>7</v>
      </c>
      <c r="K2133">
        <v>0</v>
      </c>
      <c r="L2133" s="4">
        <v>0.80894013610574789</v>
      </c>
      <c r="M2133" s="4">
        <v>0.19105986389425211</v>
      </c>
      <c r="N2133">
        <v>5</v>
      </c>
    </row>
    <row r="2134" spans="1:14" x14ac:dyDescent="0.35">
      <c r="A2134" s="1">
        <v>3593</v>
      </c>
      <c r="B2134">
        <v>8</v>
      </c>
      <c r="C2134">
        <v>50</v>
      </c>
      <c r="D2134">
        <v>5</v>
      </c>
      <c r="E2134">
        <v>0</v>
      </c>
      <c r="F2134">
        <v>4</v>
      </c>
      <c r="G2134">
        <v>9</v>
      </c>
      <c r="H2134">
        <v>2</v>
      </c>
      <c r="I2134">
        <v>300.01</v>
      </c>
      <c r="J2134">
        <v>9</v>
      </c>
      <c r="K2134">
        <v>1</v>
      </c>
      <c r="L2134" s="4">
        <v>0.80917571246569331</v>
      </c>
      <c r="M2134" s="4">
        <v>0.19082428753430669</v>
      </c>
      <c r="N2134">
        <v>5</v>
      </c>
    </row>
    <row r="2135" spans="1:14" x14ac:dyDescent="0.35">
      <c r="A2135" s="1">
        <v>4155</v>
      </c>
      <c r="B2135">
        <v>7</v>
      </c>
      <c r="C2135">
        <v>50</v>
      </c>
      <c r="D2135">
        <v>3</v>
      </c>
      <c r="E2135">
        <v>0</v>
      </c>
      <c r="F2135">
        <v>0</v>
      </c>
      <c r="G2135">
        <v>11</v>
      </c>
      <c r="H2135">
        <v>0</v>
      </c>
      <c r="I2135">
        <v>6000</v>
      </c>
      <c r="J2135">
        <v>1</v>
      </c>
      <c r="K2135">
        <v>0</v>
      </c>
      <c r="L2135" s="4">
        <v>0.80940181681732559</v>
      </c>
      <c r="M2135" s="4">
        <v>0.19059818318267441</v>
      </c>
      <c r="N2135">
        <v>5</v>
      </c>
    </row>
    <row r="2136" spans="1:14" x14ac:dyDescent="0.35">
      <c r="A2136" s="1">
        <v>2654</v>
      </c>
      <c r="B2136">
        <v>10</v>
      </c>
      <c r="C2136">
        <v>61</v>
      </c>
      <c r="D2136">
        <v>2</v>
      </c>
      <c r="E2136">
        <v>0</v>
      </c>
      <c r="F2136">
        <v>0</v>
      </c>
      <c r="G2136">
        <v>4</v>
      </c>
      <c r="H2136">
        <v>3</v>
      </c>
      <c r="I2136">
        <v>0.01</v>
      </c>
      <c r="J2136">
        <v>7</v>
      </c>
      <c r="K2136">
        <v>1</v>
      </c>
      <c r="L2136" s="4">
        <v>0.80940547418791442</v>
      </c>
      <c r="M2136" s="4">
        <v>0.1905945258120855</v>
      </c>
      <c r="N2136">
        <v>5</v>
      </c>
    </row>
    <row r="2137" spans="1:14" x14ac:dyDescent="0.35">
      <c r="A2137" s="1">
        <v>2732</v>
      </c>
      <c r="B2137">
        <v>8</v>
      </c>
      <c r="C2137">
        <v>53</v>
      </c>
      <c r="D2137">
        <v>4</v>
      </c>
      <c r="E2137">
        <v>0</v>
      </c>
      <c r="F2137">
        <v>0</v>
      </c>
      <c r="G2137">
        <v>2</v>
      </c>
      <c r="H2137">
        <v>2</v>
      </c>
      <c r="I2137">
        <v>500</v>
      </c>
      <c r="J2137">
        <v>9</v>
      </c>
      <c r="K2137">
        <v>0</v>
      </c>
      <c r="L2137" s="4">
        <v>0.80944903910227084</v>
      </c>
      <c r="M2137" s="4">
        <v>0.19055096089772919</v>
      </c>
      <c r="N2137">
        <v>5</v>
      </c>
    </row>
    <row r="2138" spans="1:14" x14ac:dyDescent="0.35">
      <c r="A2138" s="1">
        <v>3832</v>
      </c>
      <c r="B2138">
        <v>10</v>
      </c>
      <c r="C2138">
        <v>62</v>
      </c>
      <c r="D2138">
        <v>2</v>
      </c>
      <c r="E2138">
        <v>0</v>
      </c>
      <c r="F2138">
        <v>0</v>
      </c>
      <c r="G2138">
        <v>2</v>
      </c>
      <c r="H2138">
        <v>2</v>
      </c>
      <c r="I2138">
        <v>3000</v>
      </c>
      <c r="J2138">
        <v>7</v>
      </c>
      <c r="K2138">
        <v>0</v>
      </c>
      <c r="L2138" s="4">
        <v>0.8094594031103084</v>
      </c>
      <c r="M2138" s="4">
        <v>0.1905405968896916</v>
      </c>
      <c r="N2138">
        <v>5</v>
      </c>
    </row>
    <row r="2139" spans="1:14" x14ac:dyDescent="0.35">
      <c r="A2139" s="1">
        <v>4089</v>
      </c>
      <c r="B2139">
        <v>9</v>
      </c>
      <c r="C2139">
        <v>59</v>
      </c>
      <c r="D2139">
        <v>3</v>
      </c>
      <c r="E2139">
        <v>0</v>
      </c>
      <c r="F2139">
        <v>0</v>
      </c>
      <c r="G2139">
        <v>4</v>
      </c>
      <c r="H2139">
        <v>0</v>
      </c>
      <c r="I2139">
        <v>7438.32</v>
      </c>
      <c r="J2139">
        <v>11</v>
      </c>
      <c r="K2139">
        <v>0</v>
      </c>
      <c r="L2139" s="4">
        <v>0.80948447071111118</v>
      </c>
      <c r="M2139" s="4">
        <v>0.19051552928888879</v>
      </c>
      <c r="N2139">
        <v>5</v>
      </c>
    </row>
    <row r="2140" spans="1:14" x14ac:dyDescent="0.35">
      <c r="A2140" s="1">
        <v>673</v>
      </c>
      <c r="B2140">
        <v>8</v>
      </c>
      <c r="C2140">
        <v>49</v>
      </c>
      <c r="D2140">
        <v>2</v>
      </c>
      <c r="E2140">
        <v>1</v>
      </c>
      <c r="F2140">
        <v>0</v>
      </c>
      <c r="G2140">
        <v>2</v>
      </c>
      <c r="H2140">
        <v>2</v>
      </c>
      <c r="I2140">
        <v>420</v>
      </c>
      <c r="J2140">
        <v>10</v>
      </c>
      <c r="K2140">
        <v>0</v>
      </c>
      <c r="L2140" s="4">
        <v>0.80960626334281927</v>
      </c>
      <c r="M2140" s="4">
        <v>0.19039373665718079</v>
      </c>
      <c r="N2140">
        <v>5</v>
      </c>
    </row>
    <row r="2141" spans="1:14" x14ac:dyDescent="0.35">
      <c r="A2141" s="1">
        <v>3657</v>
      </c>
      <c r="B2141">
        <v>6</v>
      </c>
      <c r="C2141">
        <v>38</v>
      </c>
      <c r="D2141">
        <v>5</v>
      </c>
      <c r="E2141">
        <v>1</v>
      </c>
      <c r="F2141">
        <v>1</v>
      </c>
      <c r="G2141">
        <v>5</v>
      </c>
      <c r="H2141">
        <v>3</v>
      </c>
      <c r="I2141">
        <v>0.01</v>
      </c>
      <c r="J2141">
        <v>5</v>
      </c>
      <c r="K2141">
        <v>0</v>
      </c>
      <c r="L2141" s="4">
        <v>0.80967354248870871</v>
      </c>
      <c r="M2141" s="4">
        <v>0.19032645751129129</v>
      </c>
      <c r="N2141">
        <v>5</v>
      </c>
    </row>
    <row r="2142" spans="1:14" x14ac:dyDescent="0.35">
      <c r="A2142" s="1">
        <v>4179</v>
      </c>
      <c r="B2142">
        <v>6</v>
      </c>
      <c r="C2142">
        <v>45</v>
      </c>
      <c r="D2142">
        <v>0</v>
      </c>
      <c r="E2142">
        <v>0</v>
      </c>
      <c r="F2142">
        <v>0</v>
      </c>
      <c r="G2142">
        <v>11</v>
      </c>
      <c r="H2142">
        <v>3</v>
      </c>
      <c r="I2142">
        <v>0.01</v>
      </c>
      <c r="J2142">
        <v>4</v>
      </c>
      <c r="K2142">
        <v>0</v>
      </c>
      <c r="L2142" s="4">
        <v>0.80967735776290084</v>
      </c>
      <c r="M2142" s="4">
        <v>0.19032264223709919</v>
      </c>
      <c r="N2142">
        <v>5</v>
      </c>
    </row>
    <row r="2143" spans="1:14" x14ac:dyDescent="0.35">
      <c r="A2143" s="1">
        <v>1736</v>
      </c>
      <c r="B2143">
        <v>11</v>
      </c>
      <c r="C2143">
        <v>60</v>
      </c>
      <c r="D2143">
        <v>1</v>
      </c>
      <c r="E2143">
        <v>1</v>
      </c>
      <c r="F2143">
        <v>3</v>
      </c>
      <c r="G2143">
        <v>3</v>
      </c>
      <c r="H2143">
        <v>2</v>
      </c>
      <c r="I2143">
        <v>3000</v>
      </c>
      <c r="J2143">
        <v>1</v>
      </c>
      <c r="K2143">
        <v>0</v>
      </c>
      <c r="L2143" s="4">
        <v>0.81001145784815265</v>
      </c>
      <c r="M2143" s="4">
        <v>0.18998854215184729</v>
      </c>
      <c r="N2143">
        <v>5</v>
      </c>
    </row>
    <row r="2144" spans="1:14" x14ac:dyDescent="0.35">
      <c r="A2144" s="1">
        <v>4432</v>
      </c>
      <c r="B2144">
        <v>11</v>
      </c>
      <c r="C2144">
        <v>66</v>
      </c>
      <c r="D2144">
        <v>1</v>
      </c>
      <c r="E2144">
        <v>0</v>
      </c>
      <c r="F2144">
        <v>3</v>
      </c>
      <c r="G2144">
        <v>8</v>
      </c>
      <c r="H2144">
        <v>0</v>
      </c>
      <c r="I2144">
        <v>6000</v>
      </c>
      <c r="J2144">
        <v>1</v>
      </c>
      <c r="K2144">
        <v>1</v>
      </c>
      <c r="L2144" s="4">
        <v>0.81003565594469618</v>
      </c>
      <c r="M2144" s="4">
        <v>0.1899643440553038</v>
      </c>
      <c r="N2144">
        <v>5</v>
      </c>
    </row>
    <row r="2145" spans="1:14" x14ac:dyDescent="0.35">
      <c r="A2145" s="1">
        <v>4245</v>
      </c>
      <c r="B2145">
        <v>6</v>
      </c>
      <c r="C2145">
        <v>45</v>
      </c>
      <c r="D2145">
        <v>2</v>
      </c>
      <c r="E2145">
        <v>0</v>
      </c>
      <c r="F2145">
        <v>0</v>
      </c>
      <c r="G2145">
        <v>11</v>
      </c>
      <c r="H2145">
        <v>2</v>
      </c>
      <c r="I2145">
        <v>3052.66</v>
      </c>
      <c r="J2145">
        <v>5</v>
      </c>
      <c r="K2145">
        <v>0</v>
      </c>
      <c r="L2145" s="4">
        <v>0.8100453775383607</v>
      </c>
      <c r="M2145" s="4">
        <v>0.1899546224616393</v>
      </c>
      <c r="N2145">
        <v>5</v>
      </c>
    </row>
    <row r="2146" spans="1:14" x14ac:dyDescent="0.35">
      <c r="A2146" s="1">
        <v>3633</v>
      </c>
      <c r="B2146">
        <v>8</v>
      </c>
      <c r="C2146">
        <v>49</v>
      </c>
      <c r="D2146">
        <v>0</v>
      </c>
      <c r="E2146">
        <v>1</v>
      </c>
      <c r="F2146">
        <v>1</v>
      </c>
      <c r="G2146">
        <v>7</v>
      </c>
      <c r="H2146">
        <v>2</v>
      </c>
      <c r="I2146">
        <v>3000</v>
      </c>
      <c r="J2146">
        <v>7</v>
      </c>
      <c r="K2146">
        <v>0</v>
      </c>
      <c r="L2146" s="4">
        <v>0.81006291249567242</v>
      </c>
      <c r="M2146" s="4">
        <v>0.18993708750432761</v>
      </c>
      <c r="N2146">
        <v>5</v>
      </c>
    </row>
    <row r="2147" spans="1:14" x14ac:dyDescent="0.35">
      <c r="A2147" s="1">
        <v>3388</v>
      </c>
      <c r="B2147">
        <v>14</v>
      </c>
      <c r="C2147">
        <v>74</v>
      </c>
      <c r="D2147">
        <v>0</v>
      </c>
      <c r="E2147">
        <v>1</v>
      </c>
      <c r="F2147">
        <v>3</v>
      </c>
      <c r="G2147">
        <v>8</v>
      </c>
      <c r="H2147">
        <v>0</v>
      </c>
      <c r="I2147">
        <v>8000</v>
      </c>
      <c r="J2147">
        <v>13</v>
      </c>
      <c r="K2147">
        <v>0</v>
      </c>
      <c r="L2147" s="4">
        <v>0.81015409335035793</v>
      </c>
      <c r="M2147" s="4">
        <v>0.1898459066496421</v>
      </c>
      <c r="N2147">
        <v>5</v>
      </c>
    </row>
    <row r="2148" spans="1:14" x14ac:dyDescent="0.35">
      <c r="A2148" s="1">
        <v>1272</v>
      </c>
      <c r="B2148">
        <v>6</v>
      </c>
      <c r="C2148">
        <v>46</v>
      </c>
      <c r="D2148">
        <v>2</v>
      </c>
      <c r="E2148">
        <v>0</v>
      </c>
      <c r="F2148">
        <v>2</v>
      </c>
      <c r="G2148">
        <v>6</v>
      </c>
      <c r="H2148">
        <v>0</v>
      </c>
      <c r="I2148">
        <v>6544.99</v>
      </c>
      <c r="J2148">
        <v>1</v>
      </c>
      <c r="K2148">
        <v>0</v>
      </c>
      <c r="L2148" s="4">
        <v>0.81020939118466295</v>
      </c>
      <c r="M2148" s="4">
        <v>0.18979060881533699</v>
      </c>
      <c r="N2148">
        <v>5</v>
      </c>
    </row>
    <row r="2149" spans="1:14" x14ac:dyDescent="0.35">
      <c r="A2149" s="1">
        <v>2147</v>
      </c>
      <c r="B2149">
        <v>4</v>
      </c>
      <c r="C2149">
        <v>36</v>
      </c>
      <c r="D2149">
        <v>2</v>
      </c>
      <c r="E2149">
        <v>0</v>
      </c>
      <c r="F2149">
        <v>1</v>
      </c>
      <c r="G2149">
        <v>7</v>
      </c>
      <c r="H2149">
        <v>3</v>
      </c>
      <c r="I2149">
        <v>0.01</v>
      </c>
      <c r="J2149">
        <v>5</v>
      </c>
      <c r="K2149">
        <v>0</v>
      </c>
      <c r="L2149" s="4">
        <v>0.81024020922655615</v>
      </c>
      <c r="M2149" s="4">
        <v>0.18975979077344379</v>
      </c>
      <c r="N2149">
        <v>5</v>
      </c>
    </row>
    <row r="2150" spans="1:14" x14ac:dyDescent="0.35">
      <c r="A2150" s="1">
        <v>596</v>
      </c>
      <c r="B2150">
        <v>9</v>
      </c>
      <c r="C2150">
        <v>46</v>
      </c>
      <c r="D2150">
        <v>3</v>
      </c>
      <c r="E2150">
        <v>2</v>
      </c>
      <c r="F2150">
        <v>1</v>
      </c>
      <c r="G2150">
        <v>7</v>
      </c>
      <c r="H2150">
        <v>3</v>
      </c>
      <c r="I2150">
        <v>0.01</v>
      </c>
      <c r="J2150">
        <v>5</v>
      </c>
      <c r="K2150">
        <v>0</v>
      </c>
      <c r="L2150" s="4">
        <v>0.81030294788846169</v>
      </c>
      <c r="M2150" s="4">
        <v>0.18969705211153831</v>
      </c>
      <c r="N2150">
        <v>5</v>
      </c>
    </row>
    <row r="2151" spans="1:14" x14ac:dyDescent="0.35">
      <c r="A2151" s="1">
        <v>3797</v>
      </c>
      <c r="B2151">
        <v>7</v>
      </c>
      <c r="C2151">
        <v>49</v>
      </c>
      <c r="D2151">
        <v>1</v>
      </c>
      <c r="E2151">
        <v>0</v>
      </c>
      <c r="F2151">
        <v>3</v>
      </c>
      <c r="G2151">
        <v>3</v>
      </c>
      <c r="H2151">
        <v>2</v>
      </c>
      <c r="I2151">
        <v>3000</v>
      </c>
      <c r="J2151">
        <v>13</v>
      </c>
      <c r="K2151">
        <v>0</v>
      </c>
      <c r="L2151" s="4">
        <v>0.81032813142341031</v>
      </c>
      <c r="M2151" s="4">
        <v>0.1896718685765896</v>
      </c>
      <c r="N2151">
        <v>5</v>
      </c>
    </row>
    <row r="2152" spans="1:14" x14ac:dyDescent="0.35">
      <c r="A2152" s="1">
        <v>3361</v>
      </c>
      <c r="B2152">
        <v>9</v>
      </c>
      <c r="C2152">
        <v>55</v>
      </c>
      <c r="D2152">
        <v>4</v>
      </c>
      <c r="E2152">
        <v>0</v>
      </c>
      <c r="F2152">
        <v>2</v>
      </c>
      <c r="G2152">
        <v>6</v>
      </c>
      <c r="H2152">
        <v>3</v>
      </c>
      <c r="I2152">
        <v>0.01</v>
      </c>
      <c r="J2152">
        <v>4</v>
      </c>
      <c r="K2152">
        <v>0</v>
      </c>
      <c r="L2152" s="4">
        <v>0.81047732728233934</v>
      </c>
      <c r="M2152" s="4">
        <v>0.1895226727176606</v>
      </c>
      <c r="N2152">
        <v>5</v>
      </c>
    </row>
    <row r="2153" spans="1:14" x14ac:dyDescent="0.35">
      <c r="A2153" s="1">
        <v>3838</v>
      </c>
      <c r="B2153">
        <v>11</v>
      </c>
      <c r="C2153">
        <v>60</v>
      </c>
      <c r="D2153">
        <v>5</v>
      </c>
      <c r="E2153">
        <v>1</v>
      </c>
      <c r="F2153">
        <v>1</v>
      </c>
      <c r="G2153">
        <v>12</v>
      </c>
      <c r="H2153">
        <v>0</v>
      </c>
      <c r="I2153">
        <v>6000</v>
      </c>
      <c r="J2153">
        <v>2</v>
      </c>
      <c r="K2153">
        <v>0</v>
      </c>
      <c r="L2153" s="4">
        <v>0.81056854538779677</v>
      </c>
      <c r="M2153" s="4">
        <v>0.1894314546122032</v>
      </c>
      <c r="N2153">
        <v>5</v>
      </c>
    </row>
    <row r="2154" spans="1:14" x14ac:dyDescent="0.35">
      <c r="A2154" s="1">
        <v>35</v>
      </c>
      <c r="B2154">
        <v>8</v>
      </c>
      <c r="C2154">
        <v>52</v>
      </c>
      <c r="D2154">
        <v>3</v>
      </c>
      <c r="E2154">
        <v>0</v>
      </c>
      <c r="F2154">
        <v>3</v>
      </c>
      <c r="G2154">
        <v>3</v>
      </c>
      <c r="H2154">
        <v>2</v>
      </c>
      <c r="I2154">
        <v>2470.56</v>
      </c>
      <c r="J2154">
        <v>4</v>
      </c>
      <c r="K2154">
        <v>0</v>
      </c>
      <c r="L2154" s="4">
        <v>0.8106089602124662</v>
      </c>
      <c r="M2154" s="4">
        <v>0.1893910397875338</v>
      </c>
      <c r="N2154">
        <v>5</v>
      </c>
    </row>
    <row r="2155" spans="1:14" x14ac:dyDescent="0.35">
      <c r="A2155" s="1">
        <v>2660</v>
      </c>
      <c r="B2155">
        <v>6</v>
      </c>
      <c r="C2155">
        <v>33</v>
      </c>
      <c r="D2155">
        <v>5</v>
      </c>
      <c r="E2155">
        <v>2</v>
      </c>
      <c r="F2155">
        <v>1</v>
      </c>
      <c r="G2155">
        <v>7</v>
      </c>
      <c r="H2155">
        <v>3</v>
      </c>
      <c r="I2155">
        <v>0.01</v>
      </c>
      <c r="J2155">
        <v>4</v>
      </c>
      <c r="K2155">
        <v>0</v>
      </c>
      <c r="L2155" s="4">
        <v>0.81073014727594372</v>
      </c>
      <c r="M2155" s="4">
        <v>0.18926985272405619</v>
      </c>
      <c r="N2155">
        <v>5</v>
      </c>
    </row>
    <row r="2156" spans="1:14" x14ac:dyDescent="0.35">
      <c r="A2156" s="1">
        <v>407</v>
      </c>
      <c r="B2156">
        <v>10</v>
      </c>
      <c r="C2156">
        <v>60</v>
      </c>
      <c r="D2156">
        <v>3</v>
      </c>
      <c r="E2156">
        <v>0</v>
      </c>
      <c r="F2156">
        <v>2</v>
      </c>
      <c r="G2156">
        <v>1</v>
      </c>
      <c r="H2156">
        <v>3</v>
      </c>
      <c r="I2156">
        <v>0.01</v>
      </c>
      <c r="J2156">
        <v>5</v>
      </c>
      <c r="K2156">
        <v>0</v>
      </c>
      <c r="L2156" s="4">
        <v>0.81080230230874828</v>
      </c>
      <c r="M2156" s="4">
        <v>0.1891976976912518</v>
      </c>
      <c r="N2156">
        <v>5</v>
      </c>
    </row>
    <row r="2157" spans="1:14" x14ac:dyDescent="0.35">
      <c r="A2157" s="1">
        <v>4072</v>
      </c>
      <c r="B2157">
        <v>11</v>
      </c>
      <c r="C2157">
        <v>67</v>
      </c>
      <c r="D2157">
        <v>1</v>
      </c>
      <c r="E2157">
        <v>0</v>
      </c>
      <c r="F2157">
        <v>1</v>
      </c>
      <c r="G2157">
        <v>7</v>
      </c>
      <c r="H2157">
        <v>1</v>
      </c>
      <c r="I2157">
        <v>20333.63</v>
      </c>
      <c r="J2157">
        <v>11</v>
      </c>
      <c r="K2157">
        <v>0</v>
      </c>
      <c r="L2157" s="4">
        <v>0.81094195871725638</v>
      </c>
      <c r="M2157" s="4">
        <v>0.18905804128274359</v>
      </c>
      <c r="N2157">
        <v>5</v>
      </c>
    </row>
    <row r="2158" spans="1:14" x14ac:dyDescent="0.35">
      <c r="A2158" s="1">
        <v>4028</v>
      </c>
      <c r="B2158">
        <v>5</v>
      </c>
      <c r="C2158">
        <v>40</v>
      </c>
      <c r="D2158">
        <v>4</v>
      </c>
      <c r="E2158">
        <v>0</v>
      </c>
      <c r="F2158">
        <v>0</v>
      </c>
      <c r="G2158">
        <v>4</v>
      </c>
      <c r="H2158">
        <v>3</v>
      </c>
      <c r="I2158">
        <v>0.01</v>
      </c>
      <c r="J2158">
        <v>5</v>
      </c>
      <c r="K2158">
        <v>0</v>
      </c>
      <c r="L2158" s="4">
        <v>0.81096027351020361</v>
      </c>
      <c r="M2158" s="4">
        <v>0.18903972648979639</v>
      </c>
      <c r="N2158">
        <v>5</v>
      </c>
    </row>
    <row r="2159" spans="1:14" x14ac:dyDescent="0.35">
      <c r="A2159" s="1">
        <v>3044</v>
      </c>
      <c r="B2159">
        <v>11</v>
      </c>
      <c r="C2159">
        <v>59</v>
      </c>
      <c r="D2159">
        <v>5</v>
      </c>
      <c r="E2159">
        <v>1</v>
      </c>
      <c r="F2159">
        <v>1</v>
      </c>
      <c r="G2159">
        <v>7</v>
      </c>
      <c r="H2159">
        <v>2</v>
      </c>
      <c r="I2159">
        <v>2000</v>
      </c>
      <c r="J2159">
        <v>5</v>
      </c>
      <c r="K2159">
        <v>0</v>
      </c>
      <c r="L2159" s="4">
        <v>0.81102747804357023</v>
      </c>
      <c r="M2159" s="4">
        <v>0.18897252195642969</v>
      </c>
      <c r="N2159">
        <v>5</v>
      </c>
    </row>
    <row r="2160" spans="1:14" x14ac:dyDescent="0.35">
      <c r="A2160" s="1">
        <v>935</v>
      </c>
      <c r="B2160">
        <v>12</v>
      </c>
      <c r="C2160">
        <v>70</v>
      </c>
      <c r="D2160">
        <v>4</v>
      </c>
      <c r="E2160">
        <v>0</v>
      </c>
      <c r="F2160">
        <v>1</v>
      </c>
      <c r="G2160">
        <v>7</v>
      </c>
      <c r="H2160">
        <v>0</v>
      </c>
      <c r="I2160">
        <v>8000</v>
      </c>
      <c r="J2160">
        <v>4</v>
      </c>
      <c r="K2160">
        <v>0</v>
      </c>
      <c r="L2160" s="4">
        <v>0.81102911828581614</v>
      </c>
      <c r="M2160" s="4">
        <v>0.18897088171418391</v>
      </c>
      <c r="N2160">
        <v>5</v>
      </c>
    </row>
    <row r="2161" spans="1:14" x14ac:dyDescent="0.35">
      <c r="A2161" s="1">
        <v>2027</v>
      </c>
      <c r="B2161">
        <v>14</v>
      </c>
      <c r="C2161">
        <v>77</v>
      </c>
      <c r="D2161">
        <v>1</v>
      </c>
      <c r="E2161">
        <v>0</v>
      </c>
      <c r="F2161">
        <v>3</v>
      </c>
      <c r="G2161">
        <v>8</v>
      </c>
      <c r="H2161">
        <v>2</v>
      </c>
      <c r="I2161">
        <v>4884.25</v>
      </c>
      <c r="J2161">
        <v>11</v>
      </c>
      <c r="K2161">
        <v>0</v>
      </c>
      <c r="L2161" s="4">
        <v>0.81122244365820606</v>
      </c>
      <c r="M2161" s="4">
        <v>0.188777556341794</v>
      </c>
      <c r="N2161">
        <v>5</v>
      </c>
    </row>
    <row r="2162" spans="1:14" x14ac:dyDescent="0.35">
      <c r="A2162" s="1">
        <v>3338</v>
      </c>
      <c r="B2162">
        <v>12</v>
      </c>
      <c r="C2162">
        <v>71</v>
      </c>
      <c r="D2162">
        <v>1</v>
      </c>
      <c r="E2162">
        <v>0</v>
      </c>
      <c r="F2162">
        <v>3</v>
      </c>
      <c r="G2162">
        <v>3</v>
      </c>
      <c r="H2162">
        <v>0</v>
      </c>
      <c r="I2162">
        <v>18000</v>
      </c>
      <c r="J2162">
        <v>3</v>
      </c>
      <c r="K2162">
        <v>0</v>
      </c>
      <c r="L2162" s="4">
        <v>0.81123293494321236</v>
      </c>
      <c r="M2162" s="4">
        <v>0.1887670650567877</v>
      </c>
      <c r="N2162">
        <v>5</v>
      </c>
    </row>
    <row r="2163" spans="1:14" x14ac:dyDescent="0.35">
      <c r="A2163" s="1">
        <v>1493</v>
      </c>
      <c r="B2163">
        <v>8</v>
      </c>
      <c r="C2163">
        <v>46</v>
      </c>
      <c r="D2163">
        <v>3</v>
      </c>
      <c r="E2163">
        <v>1</v>
      </c>
      <c r="F2163">
        <v>3</v>
      </c>
      <c r="G2163">
        <v>8</v>
      </c>
      <c r="H2163">
        <v>3</v>
      </c>
      <c r="I2163">
        <v>0.01</v>
      </c>
      <c r="J2163">
        <v>8</v>
      </c>
      <c r="K2163">
        <v>0</v>
      </c>
      <c r="L2163" s="4">
        <v>0.81133445265104132</v>
      </c>
      <c r="M2163" s="4">
        <v>0.18866554734895871</v>
      </c>
      <c r="N2163">
        <v>5</v>
      </c>
    </row>
    <row r="2164" spans="1:14" x14ac:dyDescent="0.35">
      <c r="A2164" s="1">
        <v>2405</v>
      </c>
      <c r="B2164">
        <v>9</v>
      </c>
      <c r="C2164">
        <v>56</v>
      </c>
      <c r="D2164">
        <v>3</v>
      </c>
      <c r="E2164">
        <v>0</v>
      </c>
      <c r="F2164">
        <v>1</v>
      </c>
      <c r="G2164">
        <v>7</v>
      </c>
      <c r="H2164">
        <v>3</v>
      </c>
      <c r="I2164">
        <v>0.01</v>
      </c>
      <c r="J2164">
        <v>8</v>
      </c>
      <c r="K2164">
        <v>0</v>
      </c>
      <c r="L2164" s="4">
        <v>0.81136595773606535</v>
      </c>
      <c r="M2164" s="4">
        <v>0.1886340422639346</v>
      </c>
      <c r="N2164">
        <v>5</v>
      </c>
    </row>
    <row r="2165" spans="1:14" x14ac:dyDescent="0.35">
      <c r="A2165" s="1">
        <v>69</v>
      </c>
      <c r="B2165">
        <v>8</v>
      </c>
      <c r="C2165">
        <v>51</v>
      </c>
      <c r="D2165">
        <v>4</v>
      </c>
      <c r="E2165">
        <v>0</v>
      </c>
      <c r="F2165">
        <v>3</v>
      </c>
      <c r="G2165">
        <v>3</v>
      </c>
      <c r="H2165">
        <v>3</v>
      </c>
      <c r="I2165">
        <v>0.01</v>
      </c>
      <c r="J2165">
        <v>11</v>
      </c>
      <c r="K2165">
        <v>0</v>
      </c>
      <c r="L2165" s="4">
        <v>0.81139458033759193</v>
      </c>
      <c r="M2165" s="4">
        <v>0.18860541966240801</v>
      </c>
      <c r="N2165">
        <v>5</v>
      </c>
    </row>
    <row r="2166" spans="1:14" x14ac:dyDescent="0.35">
      <c r="A2166" s="1">
        <v>1668</v>
      </c>
      <c r="B2166">
        <v>6</v>
      </c>
      <c r="C2166">
        <v>40</v>
      </c>
      <c r="D2166">
        <v>1</v>
      </c>
      <c r="E2166">
        <v>1</v>
      </c>
      <c r="F2166">
        <v>1</v>
      </c>
      <c r="G2166">
        <v>5</v>
      </c>
      <c r="H2166">
        <v>3</v>
      </c>
      <c r="I2166">
        <v>0.01</v>
      </c>
      <c r="J2166">
        <v>8</v>
      </c>
      <c r="K2166">
        <v>0</v>
      </c>
      <c r="L2166" s="4">
        <v>0.81140607395918651</v>
      </c>
      <c r="M2166" s="4">
        <v>0.18859392604081349</v>
      </c>
      <c r="N2166">
        <v>5</v>
      </c>
    </row>
    <row r="2167" spans="1:14" x14ac:dyDescent="0.35">
      <c r="A2167" s="1">
        <v>1565</v>
      </c>
      <c r="B2167">
        <v>8</v>
      </c>
      <c r="C2167">
        <v>51</v>
      </c>
      <c r="D2167">
        <v>5</v>
      </c>
      <c r="E2167">
        <v>0</v>
      </c>
      <c r="F2167">
        <v>1</v>
      </c>
      <c r="G2167">
        <v>7</v>
      </c>
      <c r="H2167">
        <v>3</v>
      </c>
      <c r="I2167">
        <v>0.01</v>
      </c>
      <c r="J2167">
        <v>4</v>
      </c>
      <c r="K2167">
        <v>0</v>
      </c>
      <c r="L2167" s="4">
        <v>0.81145674963541703</v>
      </c>
      <c r="M2167" s="4">
        <v>0.188543250364583</v>
      </c>
      <c r="N2167">
        <v>5</v>
      </c>
    </row>
    <row r="2168" spans="1:14" x14ac:dyDescent="0.35">
      <c r="A2168" s="1">
        <v>3080</v>
      </c>
      <c r="B2168">
        <v>5</v>
      </c>
      <c r="C2168">
        <v>38</v>
      </c>
      <c r="D2168">
        <v>2</v>
      </c>
      <c r="E2168">
        <v>1</v>
      </c>
      <c r="F2168">
        <v>2</v>
      </c>
      <c r="G2168">
        <v>1</v>
      </c>
      <c r="H2168">
        <v>0</v>
      </c>
      <c r="I2168">
        <v>17555.03</v>
      </c>
      <c r="J2168">
        <v>4</v>
      </c>
      <c r="K2168">
        <v>0</v>
      </c>
      <c r="L2168" s="4">
        <v>0.81155279051535156</v>
      </c>
      <c r="M2168" s="4">
        <v>0.18844720948464841</v>
      </c>
      <c r="N2168">
        <v>5</v>
      </c>
    </row>
    <row r="2169" spans="1:14" x14ac:dyDescent="0.35">
      <c r="A2169" s="1">
        <v>379</v>
      </c>
      <c r="B2169">
        <v>6</v>
      </c>
      <c r="C2169">
        <v>44</v>
      </c>
      <c r="D2169">
        <v>3</v>
      </c>
      <c r="E2169">
        <v>0</v>
      </c>
      <c r="F2169">
        <v>3</v>
      </c>
      <c r="G2169">
        <v>3</v>
      </c>
      <c r="H2169">
        <v>2</v>
      </c>
      <c r="I2169">
        <v>3000</v>
      </c>
      <c r="J2169">
        <v>3</v>
      </c>
      <c r="K2169">
        <v>1</v>
      </c>
      <c r="L2169" s="4">
        <v>0.8116010906102552</v>
      </c>
      <c r="M2169" s="4">
        <v>0.1883989093897448</v>
      </c>
      <c r="N2169">
        <v>5</v>
      </c>
    </row>
    <row r="2170" spans="1:14" x14ac:dyDescent="0.35">
      <c r="A2170" s="1">
        <v>2021</v>
      </c>
      <c r="B2170">
        <v>9</v>
      </c>
      <c r="C2170">
        <v>57</v>
      </c>
      <c r="D2170">
        <v>4</v>
      </c>
      <c r="E2170">
        <v>0</v>
      </c>
      <c r="F2170">
        <v>0</v>
      </c>
      <c r="G2170">
        <v>4</v>
      </c>
      <c r="H2170">
        <v>2</v>
      </c>
      <c r="I2170">
        <v>1035</v>
      </c>
      <c r="J2170">
        <v>2</v>
      </c>
      <c r="K2170">
        <v>0</v>
      </c>
      <c r="L2170" s="4">
        <v>0.81191852098599804</v>
      </c>
      <c r="M2170" s="4">
        <v>0.18808147901400191</v>
      </c>
      <c r="N2170">
        <v>5</v>
      </c>
    </row>
    <row r="2171" spans="1:14" x14ac:dyDescent="0.35">
      <c r="A2171" s="1">
        <v>2001</v>
      </c>
      <c r="B2171">
        <v>8</v>
      </c>
      <c r="C2171">
        <v>46</v>
      </c>
      <c r="D2171">
        <v>3</v>
      </c>
      <c r="E2171">
        <v>1</v>
      </c>
      <c r="F2171">
        <v>3</v>
      </c>
      <c r="G2171">
        <v>8</v>
      </c>
      <c r="H2171">
        <v>3</v>
      </c>
      <c r="I2171">
        <v>0.01</v>
      </c>
      <c r="J2171">
        <v>5</v>
      </c>
      <c r="K2171">
        <v>0</v>
      </c>
      <c r="L2171" s="4">
        <v>0.81192386034013853</v>
      </c>
      <c r="M2171" s="4">
        <v>0.1880761396598615</v>
      </c>
      <c r="N2171">
        <v>5</v>
      </c>
    </row>
    <row r="2172" spans="1:14" x14ac:dyDescent="0.35">
      <c r="A2172" s="1">
        <v>3604</v>
      </c>
      <c r="B2172">
        <v>10</v>
      </c>
      <c r="C2172">
        <v>51</v>
      </c>
      <c r="D2172">
        <v>1</v>
      </c>
      <c r="E2172">
        <v>2</v>
      </c>
      <c r="F2172">
        <v>3</v>
      </c>
      <c r="G2172">
        <v>8</v>
      </c>
      <c r="H2172">
        <v>2</v>
      </c>
      <c r="I2172">
        <v>4000</v>
      </c>
      <c r="J2172">
        <v>9</v>
      </c>
      <c r="K2172">
        <v>0</v>
      </c>
      <c r="L2172" s="4">
        <v>0.81203216193068872</v>
      </c>
      <c r="M2172" s="4">
        <v>0.18796783806931119</v>
      </c>
      <c r="N2172">
        <v>5</v>
      </c>
    </row>
    <row r="2173" spans="1:14" x14ac:dyDescent="0.35">
      <c r="A2173" s="1">
        <v>1880</v>
      </c>
      <c r="B2173">
        <v>7</v>
      </c>
      <c r="C2173">
        <v>47</v>
      </c>
      <c r="D2173">
        <v>4</v>
      </c>
      <c r="E2173">
        <v>0</v>
      </c>
      <c r="F2173">
        <v>1</v>
      </c>
      <c r="G2173">
        <v>12</v>
      </c>
      <c r="H2173">
        <v>3</v>
      </c>
      <c r="I2173">
        <v>0.01</v>
      </c>
      <c r="J2173">
        <v>4</v>
      </c>
      <c r="K2173">
        <v>0</v>
      </c>
      <c r="L2173" s="4">
        <v>0.81209338048607371</v>
      </c>
      <c r="M2173" s="4">
        <v>0.18790661951392629</v>
      </c>
      <c r="N2173">
        <v>5</v>
      </c>
    </row>
    <row r="2174" spans="1:14" x14ac:dyDescent="0.35">
      <c r="A2174" s="1">
        <v>4357</v>
      </c>
      <c r="B2174">
        <v>8</v>
      </c>
      <c r="C2174">
        <v>45</v>
      </c>
      <c r="D2174">
        <v>2</v>
      </c>
      <c r="E2174">
        <v>2</v>
      </c>
      <c r="F2174">
        <v>1</v>
      </c>
      <c r="G2174">
        <v>12</v>
      </c>
      <c r="H2174">
        <v>0</v>
      </c>
      <c r="I2174">
        <v>19731.810000000001</v>
      </c>
      <c r="J2174">
        <v>12</v>
      </c>
      <c r="K2174">
        <v>0</v>
      </c>
      <c r="L2174" s="4">
        <v>0.81212004654269943</v>
      </c>
      <c r="M2174" s="4">
        <v>0.18787995345730049</v>
      </c>
      <c r="N2174">
        <v>5</v>
      </c>
    </row>
    <row r="2175" spans="1:14" x14ac:dyDescent="0.35">
      <c r="A2175" s="1">
        <v>236</v>
      </c>
      <c r="B2175">
        <v>7</v>
      </c>
      <c r="C2175">
        <v>45</v>
      </c>
      <c r="D2175">
        <v>2</v>
      </c>
      <c r="E2175">
        <v>1</v>
      </c>
      <c r="F2175">
        <v>0</v>
      </c>
      <c r="G2175">
        <v>4</v>
      </c>
      <c r="H2175">
        <v>2</v>
      </c>
      <c r="I2175">
        <v>4217.08</v>
      </c>
      <c r="J2175">
        <v>3</v>
      </c>
      <c r="K2175">
        <v>0</v>
      </c>
      <c r="L2175" s="4">
        <v>0.81219432761659249</v>
      </c>
      <c r="M2175" s="4">
        <v>0.18780567238340751</v>
      </c>
      <c r="N2175">
        <v>5</v>
      </c>
    </row>
    <row r="2176" spans="1:14" x14ac:dyDescent="0.35">
      <c r="A2176" s="1">
        <v>416</v>
      </c>
      <c r="B2176">
        <v>8</v>
      </c>
      <c r="C2176">
        <v>52</v>
      </c>
      <c r="D2176">
        <v>4</v>
      </c>
      <c r="E2176">
        <v>0</v>
      </c>
      <c r="F2176">
        <v>3</v>
      </c>
      <c r="G2176">
        <v>3</v>
      </c>
      <c r="H2176">
        <v>2</v>
      </c>
      <c r="I2176">
        <v>3000</v>
      </c>
      <c r="J2176">
        <v>15</v>
      </c>
      <c r="K2176">
        <v>0</v>
      </c>
      <c r="L2176" s="4">
        <v>0.81233976999744106</v>
      </c>
      <c r="M2176" s="4">
        <v>0.18766023000255891</v>
      </c>
      <c r="N2176">
        <v>5</v>
      </c>
    </row>
    <row r="2177" spans="1:14" x14ac:dyDescent="0.35">
      <c r="A2177" s="1">
        <v>2004</v>
      </c>
      <c r="B2177">
        <v>10</v>
      </c>
      <c r="C2177">
        <v>51</v>
      </c>
      <c r="D2177">
        <v>1</v>
      </c>
      <c r="E2177">
        <v>2</v>
      </c>
      <c r="F2177">
        <v>3</v>
      </c>
      <c r="G2177">
        <v>8</v>
      </c>
      <c r="H2177">
        <v>2</v>
      </c>
      <c r="I2177">
        <v>5000</v>
      </c>
      <c r="J2177">
        <v>6</v>
      </c>
      <c r="K2177">
        <v>0</v>
      </c>
      <c r="L2177" s="4">
        <v>0.81237442777438107</v>
      </c>
      <c r="M2177" s="4">
        <v>0.1876255722256189</v>
      </c>
      <c r="N2177">
        <v>5</v>
      </c>
    </row>
    <row r="2178" spans="1:14" x14ac:dyDescent="0.35">
      <c r="A2178" s="1">
        <v>968</v>
      </c>
      <c r="B2178">
        <v>10</v>
      </c>
      <c r="C2178">
        <v>60</v>
      </c>
      <c r="D2178">
        <v>1</v>
      </c>
      <c r="E2178">
        <v>0</v>
      </c>
      <c r="F2178">
        <v>3</v>
      </c>
      <c r="G2178">
        <v>8</v>
      </c>
      <c r="H2178">
        <v>3</v>
      </c>
      <c r="I2178">
        <v>0.01</v>
      </c>
      <c r="J2178">
        <v>8</v>
      </c>
      <c r="K2178">
        <v>0</v>
      </c>
      <c r="L2178" s="4">
        <v>0.81239111926175323</v>
      </c>
      <c r="M2178" s="4">
        <v>0.18760888073824669</v>
      </c>
      <c r="N2178">
        <v>5</v>
      </c>
    </row>
    <row r="2179" spans="1:14" x14ac:dyDescent="0.35">
      <c r="A2179" s="1">
        <v>3882</v>
      </c>
      <c r="B2179">
        <v>9</v>
      </c>
      <c r="C2179">
        <v>51</v>
      </c>
      <c r="D2179">
        <v>2</v>
      </c>
      <c r="E2179">
        <v>1</v>
      </c>
      <c r="F2179">
        <v>3</v>
      </c>
      <c r="G2179">
        <v>3</v>
      </c>
      <c r="H2179">
        <v>3</v>
      </c>
      <c r="I2179">
        <v>0.01</v>
      </c>
      <c r="J2179">
        <v>5</v>
      </c>
      <c r="K2179">
        <v>0</v>
      </c>
      <c r="L2179" s="4">
        <v>0.81244282503966381</v>
      </c>
      <c r="M2179" s="4">
        <v>0.18755717496033619</v>
      </c>
      <c r="N2179">
        <v>5</v>
      </c>
    </row>
    <row r="2180" spans="1:14" x14ac:dyDescent="0.35">
      <c r="A2180" s="1">
        <v>603</v>
      </c>
      <c r="B2180">
        <v>6</v>
      </c>
      <c r="C2180">
        <v>39</v>
      </c>
      <c r="D2180">
        <v>5</v>
      </c>
      <c r="E2180">
        <v>1</v>
      </c>
      <c r="F2180">
        <v>0</v>
      </c>
      <c r="G2180">
        <v>2</v>
      </c>
      <c r="H2180">
        <v>3</v>
      </c>
      <c r="I2180">
        <v>0.01</v>
      </c>
      <c r="J2180">
        <v>1</v>
      </c>
      <c r="K2180">
        <v>0</v>
      </c>
      <c r="L2180" s="4">
        <v>0.81280054772703592</v>
      </c>
      <c r="M2180" s="4">
        <v>0.18719945227296411</v>
      </c>
      <c r="N2180">
        <v>5</v>
      </c>
    </row>
    <row r="2181" spans="1:14" x14ac:dyDescent="0.35">
      <c r="A2181" s="1">
        <v>772</v>
      </c>
      <c r="B2181">
        <v>9</v>
      </c>
      <c r="C2181">
        <v>58</v>
      </c>
      <c r="D2181">
        <v>3</v>
      </c>
      <c r="E2181">
        <v>0</v>
      </c>
      <c r="F2181">
        <v>3</v>
      </c>
      <c r="G2181">
        <v>3</v>
      </c>
      <c r="H2181">
        <v>0</v>
      </c>
      <c r="I2181">
        <v>10000</v>
      </c>
      <c r="J2181">
        <v>6</v>
      </c>
      <c r="K2181">
        <v>0</v>
      </c>
      <c r="L2181" s="4">
        <v>0.81284035481632089</v>
      </c>
      <c r="M2181" s="4">
        <v>0.18715964518367911</v>
      </c>
      <c r="N2181">
        <v>5</v>
      </c>
    </row>
    <row r="2182" spans="1:14" x14ac:dyDescent="0.35">
      <c r="A2182" s="1">
        <v>3170</v>
      </c>
      <c r="B2182">
        <v>7</v>
      </c>
      <c r="C2182">
        <v>49</v>
      </c>
      <c r="D2182">
        <v>5</v>
      </c>
      <c r="E2182">
        <v>0</v>
      </c>
      <c r="F2182">
        <v>1</v>
      </c>
      <c r="G2182">
        <v>12</v>
      </c>
      <c r="H2182">
        <v>0</v>
      </c>
      <c r="I2182">
        <v>6000</v>
      </c>
      <c r="J2182">
        <v>4</v>
      </c>
      <c r="K2182">
        <v>0</v>
      </c>
      <c r="L2182" s="4">
        <v>0.81284728933697969</v>
      </c>
      <c r="M2182" s="4">
        <v>0.18715271066302031</v>
      </c>
      <c r="N2182">
        <v>5</v>
      </c>
    </row>
    <row r="2183" spans="1:14" x14ac:dyDescent="0.35">
      <c r="A2183" s="1">
        <v>4211</v>
      </c>
      <c r="B2183">
        <v>7</v>
      </c>
      <c r="C2183">
        <v>51</v>
      </c>
      <c r="D2183">
        <v>0</v>
      </c>
      <c r="E2183">
        <v>0</v>
      </c>
      <c r="F2183">
        <v>3</v>
      </c>
      <c r="G2183">
        <v>3</v>
      </c>
      <c r="H2183">
        <v>0</v>
      </c>
      <c r="I2183">
        <v>6000</v>
      </c>
      <c r="J2183">
        <v>1</v>
      </c>
      <c r="K2183">
        <v>0</v>
      </c>
      <c r="L2183" s="4">
        <v>0.81286772709966282</v>
      </c>
      <c r="M2183" s="4">
        <v>0.18713227290033721</v>
      </c>
      <c r="N2183">
        <v>5</v>
      </c>
    </row>
    <row r="2184" spans="1:14" x14ac:dyDescent="0.35">
      <c r="A2184" s="1">
        <v>859</v>
      </c>
      <c r="B2184">
        <v>7</v>
      </c>
      <c r="C2184">
        <v>50</v>
      </c>
      <c r="D2184">
        <v>2</v>
      </c>
      <c r="E2184">
        <v>0</v>
      </c>
      <c r="F2184">
        <v>0</v>
      </c>
      <c r="G2184">
        <v>4</v>
      </c>
      <c r="H2184">
        <v>2</v>
      </c>
      <c r="I2184">
        <v>4000</v>
      </c>
      <c r="J2184">
        <v>4</v>
      </c>
      <c r="K2184">
        <v>0</v>
      </c>
      <c r="L2184" s="4">
        <v>0.81287331176006949</v>
      </c>
      <c r="M2184" s="4">
        <v>0.18712668823993051</v>
      </c>
      <c r="N2184">
        <v>5</v>
      </c>
    </row>
    <row r="2185" spans="1:14" x14ac:dyDescent="0.35">
      <c r="A2185" s="1">
        <v>1138</v>
      </c>
      <c r="B2185">
        <v>8</v>
      </c>
      <c r="C2185">
        <v>56</v>
      </c>
      <c r="D2185">
        <v>2</v>
      </c>
      <c r="E2185">
        <v>0</v>
      </c>
      <c r="F2185">
        <v>0</v>
      </c>
      <c r="G2185">
        <v>2</v>
      </c>
      <c r="H2185">
        <v>0</v>
      </c>
      <c r="I2185">
        <v>12000</v>
      </c>
      <c r="J2185">
        <v>8</v>
      </c>
      <c r="K2185">
        <v>0</v>
      </c>
      <c r="L2185" s="4">
        <v>0.81291797386384579</v>
      </c>
      <c r="M2185" s="4">
        <v>0.18708202613615421</v>
      </c>
      <c r="N2185">
        <v>5</v>
      </c>
    </row>
    <row r="2186" spans="1:14" x14ac:dyDescent="0.35">
      <c r="A2186" s="1">
        <v>3158</v>
      </c>
      <c r="B2186">
        <v>9</v>
      </c>
      <c r="C2186">
        <v>59</v>
      </c>
      <c r="D2186">
        <v>0</v>
      </c>
      <c r="E2186">
        <v>0</v>
      </c>
      <c r="F2186">
        <v>3</v>
      </c>
      <c r="G2186">
        <v>8</v>
      </c>
      <c r="H2186">
        <v>1</v>
      </c>
      <c r="I2186">
        <v>36000</v>
      </c>
      <c r="J2186">
        <v>14</v>
      </c>
      <c r="K2186">
        <v>0</v>
      </c>
      <c r="L2186" s="4">
        <v>0.8129243216772557</v>
      </c>
      <c r="M2186" s="4">
        <v>0.18707567832274419</v>
      </c>
      <c r="N2186">
        <v>5</v>
      </c>
    </row>
    <row r="2187" spans="1:14" x14ac:dyDescent="0.35">
      <c r="A2187" s="1">
        <v>2154</v>
      </c>
      <c r="B2187">
        <v>3</v>
      </c>
      <c r="C2187">
        <v>28</v>
      </c>
      <c r="D2187">
        <v>1</v>
      </c>
      <c r="E2187">
        <v>1</v>
      </c>
      <c r="F2187">
        <v>3</v>
      </c>
      <c r="G2187">
        <v>3</v>
      </c>
      <c r="H2187">
        <v>2</v>
      </c>
      <c r="I2187">
        <v>550</v>
      </c>
      <c r="J2187">
        <v>7</v>
      </c>
      <c r="K2187">
        <v>1</v>
      </c>
      <c r="L2187" s="4">
        <v>0.81313272129364933</v>
      </c>
      <c r="M2187" s="4">
        <v>0.1868672787063507</v>
      </c>
      <c r="N2187">
        <v>5</v>
      </c>
    </row>
    <row r="2188" spans="1:14" x14ac:dyDescent="0.35">
      <c r="A2188" s="1">
        <v>591</v>
      </c>
      <c r="B2188">
        <v>10</v>
      </c>
      <c r="C2188">
        <v>51</v>
      </c>
      <c r="D2188">
        <v>1</v>
      </c>
      <c r="E2188">
        <v>2</v>
      </c>
      <c r="F2188">
        <v>3</v>
      </c>
      <c r="G2188">
        <v>8</v>
      </c>
      <c r="H2188">
        <v>2</v>
      </c>
      <c r="I2188">
        <v>300</v>
      </c>
      <c r="J2188">
        <v>8</v>
      </c>
      <c r="K2188">
        <v>0</v>
      </c>
      <c r="L2188" s="4">
        <v>0.81313576194778525</v>
      </c>
      <c r="M2188" s="4">
        <v>0.1868642380522148</v>
      </c>
      <c r="N2188">
        <v>5</v>
      </c>
    </row>
    <row r="2189" spans="1:14" x14ac:dyDescent="0.35">
      <c r="A2189" s="1">
        <v>1363</v>
      </c>
      <c r="B2189">
        <v>11</v>
      </c>
      <c r="C2189">
        <v>66</v>
      </c>
      <c r="D2189">
        <v>1</v>
      </c>
      <c r="E2189">
        <v>0</v>
      </c>
      <c r="F2189">
        <v>1</v>
      </c>
      <c r="G2189">
        <v>7</v>
      </c>
      <c r="H2189">
        <v>2</v>
      </c>
      <c r="I2189">
        <v>5000</v>
      </c>
      <c r="J2189">
        <v>5</v>
      </c>
      <c r="K2189">
        <v>0</v>
      </c>
      <c r="L2189" s="4">
        <v>0.81342140565427978</v>
      </c>
      <c r="M2189" s="4">
        <v>0.18657859434572019</v>
      </c>
      <c r="N2189">
        <v>5</v>
      </c>
    </row>
    <row r="2190" spans="1:14" x14ac:dyDescent="0.35">
      <c r="A2190" s="1">
        <v>4227</v>
      </c>
      <c r="B2190">
        <v>11</v>
      </c>
      <c r="C2190">
        <v>54</v>
      </c>
      <c r="D2190">
        <v>3</v>
      </c>
      <c r="E2190">
        <v>2</v>
      </c>
      <c r="F2190">
        <v>3</v>
      </c>
      <c r="G2190">
        <v>3</v>
      </c>
      <c r="H2190">
        <v>3</v>
      </c>
      <c r="I2190">
        <v>0.01</v>
      </c>
      <c r="J2190">
        <v>11</v>
      </c>
      <c r="K2190">
        <v>0</v>
      </c>
      <c r="L2190" s="4">
        <v>0.81353078439872162</v>
      </c>
      <c r="M2190" s="4">
        <v>0.18646921560127841</v>
      </c>
      <c r="N2190">
        <v>5</v>
      </c>
    </row>
    <row r="2191" spans="1:14" x14ac:dyDescent="0.35">
      <c r="A2191" s="1">
        <v>1252</v>
      </c>
      <c r="B2191">
        <v>8</v>
      </c>
      <c r="C2191">
        <v>47</v>
      </c>
      <c r="D2191">
        <v>4</v>
      </c>
      <c r="E2191">
        <v>1</v>
      </c>
      <c r="F2191">
        <v>3</v>
      </c>
      <c r="G2191">
        <v>3</v>
      </c>
      <c r="H2191">
        <v>2</v>
      </c>
      <c r="I2191">
        <v>50.01</v>
      </c>
      <c r="J2191">
        <v>8</v>
      </c>
      <c r="K2191">
        <v>0</v>
      </c>
      <c r="L2191" s="4">
        <v>0.81361022756609336</v>
      </c>
      <c r="M2191" s="4">
        <v>0.18638977243390659</v>
      </c>
      <c r="N2191">
        <v>5</v>
      </c>
    </row>
    <row r="2192" spans="1:14" x14ac:dyDescent="0.35">
      <c r="A2192" s="1">
        <v>1261</v>
      </c>
      <c r="B2192">
        <v>7</v>
      </c>
      <c r="C2192">
        <v>48</v>
      </c>
      <c r="D2192">
        <v>1</v>
      </c>
      <c r="E2192">
        <v>0</v>
      </c>
      <c r="F2192">
        <v>3</v>
      </c>
      <c r="G2192">
        <v>8</v>
      </c>
      <c r="H2192">
        <v>3</v>
      </c>
      <c r="I2192">
        <v>0.01</v>
      </c>
      <c r="J2192">
        <v>8</v>
      </c>
      <c r="K2192">
        <v>0</v>
      </c>
      <c r="L2192" s="4">
        <v>0.8137688540730319</v>
      </c>
      <c r="M2192" s="4">
        <v>0.1862311459269681</v>
      </c>
      <c r="N2192">
        <v>5</v>
      </c>
    </row>
    <row r="2193" spans="1:14" x14ac:dyDescent="0.35">
      <c r="A2193" s="1">
        <v>276</v>
      </c>
      <c r="B2193">
        <v>10</v>
      </c>
      <c r="C2193">
        <v>58</v>
      </c>
      <c r="D2193">
        <v>1</v>
      </c>
      <c r="E2193">
        <v>1</v>
      </c>
      <c r="F2193">
        <v>3</v>
      </c>
      <c r="G2193">
        <v>3</v>
      </c>
      <c r="H2193">
        <v>0</v>
      </c>
      <c r="I2193">
        <v>6000</v>
      </c>
      <c r="J2193">
        <v>4</v>
      </c>
      <c r="K2193">
        <v>1</v>
      </c>
      <c r="L2193" s="4">
        <v>0.81407996378613867</v>
      </c>
      <c r="M2193" s="4">
        <v>0.18592003621386141</v>
      </c>
      <c r="N2193">
        <v>5</v>
      </c>
    </row>
    <row r="2194" spans="1:14" x14ac:dyDescent="0.35">
      <c r="A2194" s="1">
        <v>868</v>
      </c>
      <c r="B2194">
        <v>9</v>
      </c>
      <c r="C2194">
        <v>58</v>
      </c>
      <c r="D2194">
        <v>1</v>
      </c>
      <c r="E2194">
        <v>0</v>
      </c>
      <c r="F2194">
        <v>1</v>
      </c>
      <c r="G2194">
        <v>7</v>
      </c>
      <c r="H2194">
        <v>2</v>
      </c>
      <c r="I2194">
        <v>5000</v>
      </c>
      <c r="J2194">
        <v>5</v>
      </c>
      <c r="K2194">
        <v>0</v>
      </c>
      <c r="L2194" s="4">
        <v>0.81433686943706129</v>
      </c>
      <c r="M2194" s="4">
        <v>0.18566313056293871</v>
      </c>
      <c r="N2194">
        <v>5</v>
      </c>
    </row>
    <row r="2195" spans="1:14" x14ac:dyDescent="0.35">
      <c r="A2195" s="1">
        <v>4139</v>
      </c>
      <c r="B2195">
        <v>8</v>
      </c>
      <c r="C2195">
        <v>53</v>
      </c>
      <c r="D2195">
        <v>2</v>
      </c>
      <c r="E2195">
        <v>0</v>
      </c>
      <c r="F2195">
        <v>3</v>
      </c>
      <c r="G2195">
        <v>3</v>
      </c>
      <c r="H2195">
        <v>2</v>
      </c>
      <c r="I2195">
        <v>5000</v>
      </c>
      <c r="J2195">
        <v>8</v>
      </c>
      <c r="K2195">
        <v>1</v>
      </c>
      <c r="L2195" s="4">
        <v>0.81436514438258123</v>
      </c>
      <c r="M2195" s="4">
        <v>0.1856348556174188</v>
      </c>
      <c r="N2195">
        <v>5</v>
      </c>
    </row>
    <row r="2196" spans="1:14" x14ac:dyDescent="0.35">
      <c r="A2196" s="1">
        <v>3093</v>
      </c>
      <c r="B2196">
        <v>10</v>
      </c>
      <c r="C2196">
        <v>58</v>
      </c>
      <c r="D2196">
        <v>1</v>
      </c>
      <c r="E2196">
        <v>1</v>
      </c>
      <c r="F2196">
        <v>3</v>
      </c>
      <c r="G2196">
        <v>3</v>
      </c>
      <c r="H2196">
        <v>0</v>
      </c>
      <c r="I2196">
        <v>6994.34</v>
      </c>
      <c r="J2196">
        <v>1</v>
      </c>
      <c r="K2196">
        <v>0</v>
      </c>
      <c r="L2196" s="4">
        <v>0.8144207313534928</v>
      </c>
      <c r="M2196" s="4">
        <v>0.18557926864650709</v>
      </c>
      <c r="N2196">
        <v>5</v>
      </c>
    </row>
    <row r="2197" spans="1:14" x14ac:dyDescent="0.35">
      <c r="A2197" s="1">
        <v>2117</v>
      </c>
      <c r="B2197">
        <v>4</v>
      </c>
      <c r="C2197">
        <v>31</v>
      </c>
      <c r="D2197">
        <v>5</v>
      </c>
      <c r="E2197">
        <v>1</v>
      </c>
      <c r="F2197">
        <v>0</v>
      </c>
      <c r="G2197">
        <v>4</v>
      </c>
      <c r="H2197">
        <v>3</v>
      </c>
      <c r="I2197">
        <v>0.01</v>
      </c>
      <c r="J2197">
        <v>5</v>
      </c>
      <c r="K2197">
        <v>1</v>
      </c>
      <c r="L2197" s="4">
        <v>0.81460176914988969</v>
      </c>
      <c r="M2197" s="4">
        <v>0.1853982308501104</v>
      </c>
      <c r="N2197">
        <v>5</v>
      </c>
    </row>
    <row r="2198" spans="1:14" x14ac:dyDescent="0.35">
      <c r="A2198" s="1">
        <v>3485</v>
      </c>
      <c r="B2198">
        <v>10</v>
      </c>
      <c r="C2198">
        <v>64</v>
      </c>
      <c r="D2198">
        <v>3</v>
      </c>
      <c r="E2198">
        <v>0</v>
      </c>
      <c r="F2198">
        <v>0</v>
      </c>
      <c r="G2198">
        <v>2</v>
      </c>
      <c r="H2198">
        <v>0</v>
      </c>
      <c r="I2198">
        <v>19597.32</v>
      </c>
      <c r="J2198">
        <v>5</v>
      </c>
      <c r="K2198">
        <v>0</v>
      </c>
      <c r="L2198" s="4">
        <v>0.81471695022304047</v>
      </c>
      <c r="M2198" s="4">
        <v>0.18528304977695961</v>
      </c>
      <c r="N2198">
        <v>5</v>
      </c>
    </row>
    <row r="2199" spans="1:14" x14ac:dyDescent="0.35">
      <c r="A2199" s="1">
        <v>1542</v>
      </c>
      <c r="B2199">
        <v>13</v>
      </c>
      <c r="C2199">
        <v>68</v>
      </c>
      <c r="D2199">
        <v>4</v>
      </c>
      <c r="E2199">
        <v>1</v>
      </c>
      <c r="F2199">
        <v>1</v>
      </c>
      <c r="G2199">
        <v>7</v>
      </c>
      <c r="H2199">
        <v>2</v>
      </c>
      <c r="I2199">
        <v>500</v>
      </c>
      <c r="J2199">
        <v>9</v>
      </c>
      <c r="K2199">
        <v>1</v>
      </c>
      <c r="L2199" s="4">
        <v>0.81484499881168515</v>
      </c>
      <c r="M2199" s="4">
        <v>0.1851550011883149</v>
      </c>
      <c r="N2199">
        <v>5</v>
      </c>
    </row>
    <row r="2200" spans="1:14" x14ac:dyDescent="0.35">
      <c r="A2200" s="1">
        <v>3558</v>
      </c>
      <c r="B2200">
        <v>9</v>
      </c>
      <c r="C2200">
        <v>55</v>
      </c>
      <c r="D2200">
        <v>4</v>
      </c>
      <c r="E2200">
        <v>0</v>
      </c>
      <c r="F2200">
        <v>3</v>
      </c>
      <c r="G2200">
        <v>8</v>
      </c>
      <c r="H2200">
        <v>3</v>
      </c>
      <c r="I2200">
        <v>0.01</v>
      </c>
      <c r="J2200">
        <v>11</v>
      </c>
      <c r="K2200">
        <v>0</v>
      </c>
      <c r="L2200" s="4">
        <v>0.81510410358259766</v>
      </c>
      <c r="M2200" s="4">
        <v>0.18489589641740231</v>
      </c>
      <c r="N2200">
        <v>5</v>
      </c>
    </row>
    <row r="2201" spans="1:14" x14ac:dyDescent="0.35">
      <c r="A2201" s="1">
        <v>1376</v>
      </c>
      <c r="B2201">
        <v>9</v>
      </c>
      <c r="C2201">
        <v>51</v>
      </c>
      <c r="D2201">
        <v>4</v>
      </c>
      <c r="E2201">
        <v>1</v>
      </c>
      <c r="F2201">
        <v>1</v>
      </c>
      <c r="G2201">
        <v>7</v>
      </c>
      <c r="H2201">
        <v>3</v>
      </c>
      <c r="I2201">
        <v>0.01</v>
      </c>
      <c r="J2201">
        <v>5</v>
      </c>
      <c r="K2201">
        <v>1</v>
      </c>
      <c r="L2201" s="4">
        <v>0.81512704985566065</v>
      </c>
      <c r="M2201" s="4">
        <v>0.1848729501443393</v>
      </c>
      <c r="N2201">
        <v>5</v>
      </c>
    </row>
    <row r="2202" spans="1:14" x14ac:dyDescent="0.35">
      <c r="A2202" s="1">
        <v>3679</v>
      </c>
      <c r="B2202">
        <v>7</v>
      </c>
      <c r="C2202">
        <v>46</v>
      </c>
      <c r="D2202">
        <v>1</v>
      </c>
      <c r="E2202">
        <v>1</v>
      </c>
      <c r="F2202">
        <v>3</v>
      </c>
      <c r="G2202">
        <v>3</v>
      </c>
      <c r="H2202">
        <v>0</v>
      </c>
      <c r="I2202">
        <v>6000</v>
      </c>
      <c r="J2202">
        <v>5</v>
      </c>
      <c r="K2202">
        <v>0</v>
      </c>
      <c r="L2202" s="4">
        <v>0.81525464342678922</v>
      </c>
      <c r="M2202" s="4">
        <v>0.18474535657321081</v>
      </c>
      <c r="N2202">
        <v>5</v>
      </c>
    </row>
    <row r="2203" spans="1:14" x14ac:dyDescent="0.35">
      <c r="A2203" s="1">
        <v>2641</v>
      </c>
      <c r="B2203">
        <v>8</v>
      </c>
      <c r="C2203">
        <v>53</v>
      </c>
      <c r="D2203">
        <v>5</v>
      </c>
      <c r="E2203">
        <v>0</v>
      </c>
      <c r="F2203">
        <v>0</v>
      </c>
      <c r="G2203">
        <v>4</v>
      </c>
      <c r="H2203">
        <v>2</v>
      </c>
      <c r="I2203">
        <v>3187</v>
      </c>
      <c r="J2203">
        <v>5</v>
      </c>
      <c r="K2203">
        <v>0</v>
      </c>
      <c r="L2203" s="4">
        <v>0.81525528719126217</v>
      </c>
      <c r="M2203" s="4">
        <v>0.1847447128087378</v>
      </c>
      <c r="N2203">
        <v>5</v>
      </c>
    </row>
    <row r="2204" spans="1:14" x14ac:dyDescent="0.35">
      <c r="A2204" s="1">
        <v>162</v>
      </c>
      <c r="B2204">
        <v>9</v>
      </c>
      <c r="C2204">
        <v>51</v>
      </c>
      <c r="D2204">
        <v>3</v>
      </c>
      <c r="E2204">
        <v>1</v>
      </c>
      <c r="F2204">
        <v>1</v>
      </c>
      <c r="G2204">
        <v>12</v>
      </c>
      <c r="H2204">
        <v>3</v>
      </c>
      <c r="I2204">
        <v>0.01</v>
      </c>
      <c r="J2204">
        <v>5</v>
      </c>
      <c r="K2204">
        <v>0</v>
      </c>
      <c r="L2204" s="4">
        <v>0.81529950279979291</v>
      </c>
      <c r="M2204" s="4">
        <v>0.18470049720020709</v>
      </c>
      <c r="N2204">
        <v>5</v>
      </c>
    </row>
    <row r="2205" spans="1:14" x14ac:dyDescent="0.35">
      <c r="A2205" s="1">
        <v>2583</v>
      </c>
      <c r="B2205">
        <v>5</v>
      </c>
      <c r="C2205">
        <v>41</v>
      </c>
      <c r="D2205">
        <v>3</v>
      </c>
      <c r="E2205">
        <v>0</v>
      </c>
      <c r="F2205">
        <v>0</v>
      </c>
      <c r="G2205">
        <v>4</v>
      </c>
      <c r="H2205">
        <v>3</v>
      </c>
      <c r="I2205">
        <v>0.01</v>
      </c>
      <c r="J2205">
        <v>9</v>
      </c>
      <c r="K2205">
        <v>0</v>
      </c>
      <c r="L2205" s="4">
        <v>0.81532552499964472</v>
      </c>
      <c r="M2205" s="4">
        <v>0.1846744750003553</v>
      </c>
      <c r="N2205">
        <v>5</v>
      </c>
    </row>
    <row r="2206" spans="1:14" x14ac:dyDescent="0.35">
      <c r="A2206" s="1">
        <v>1476</v>
      </c>
      <c r="B2206">
        <v>11</v>
      </c>
      <c r="C2206">
        <v>66</v>
      </c>
      <c r="D2206">
        <v>3</v>
      </c>
      <c r="E2206">
        <v>0</v>
      </c>
      <c r="F2206">
        <v>3</v>
      </c>
      <c r="G2206">
        <v>8</v>
      </c>
      <c r="H2206">
        <v>0</v>
      </c>
      <c r="I2206">
        <v>6655.53</v>
      </c>
      <c r="J2206">
        <v>14</v>
      </c>
      <c r="K2206">
        <v>1</v>
      </c>
      <c r="L2206" s="4">
        <v>0.81533938377368143</v>
      </c>
      <c r="M2206" s="4">
        <v>0.18466061622631849</v>
      </c>
      <c r="N2206">
        <v>5</v>
      </c>
    </row>
    <row r="2207" spans="1:14" x14ac:dyDescent="0.35">
      <c r="A2207" s="1">
        <v>1181</v>
      </c>
      <c r="B2207">
        <v>8</v>
      </c>
      <c r="C2207">
        <v>44</v>
      </c>
      <c r="D2207">
        <v>2</v>
      </c>
      <c r="E2207">
        <v>2</v>
      </c>
      <c r="F2207">
        <v>1</v>
      </c>
      <c r="G2207">
        <v>5</v>
      </c>
      <c r="H2207">
        <v>2</v>
      </c>
      <c r="I2207">
        <v>4500</v>
      </c>
      <c r="J2207">
        <v>6</v>
      </c>
      <c r="K2207">
        <v>0</v>
      </c>
      <c r="L2207" s="4">
        <v>0.81540495856286832</v>
      </c>
      <c r="M2207" s="4">
        <v>0.18459504143713171</v>
      </c>
      <c r="N2207">
        <v>5</v>
      </c>
    </row>
    <row r="2208" spans="1:14" x14ac:dyDescent="0.35">
      <c r="A2208" s="1">
        <v>2551</v>
      </c>
      <c r="B2208">
        <v>8</v>
      </c>
      <c r="C2208">
        <v>53</v>
      </c>
      <c r="D2208">
        <v>2</v>
      </c>
      <c r="E2208">
        <v>0</v>
      </c>
      <c r="F2208">
        <v>1</v>
      </c>
      <c r="G2208">
        <v>5</v>
      </c>
      <c r="H2208">
        <v>3</v>
      </c>
      <c r="I2208">
        <v>0.01</v>
      </c>
      <c r="J2208">
        <v>7</v>
      </c>
      <c r="K2208">
        <v>0</v>
      </c>
      <c r="L2208" s="4">
        <v>0.81549359083973272</v>
      </c>
      <c r="M2208" s="4">
        <v>0.1845064091602672</v>
      </c>
      <c r="N2208">
        <v>5</v>
      </c>
    </row>
    <row r="2209" spans="1:14" x14ac:dyDescent="0.35">
      <c r="A2209" s="1">
        <v>3952</v>
      </c>
      <c r="B2209">
        <v>8</v>
      </c>
      <c r="C2209">
        <v>54</v>
      </c>
      <c r="D2209">
        <v>0</v>
      </c>
      <c r="E2209">
        <v>0</v>
      </c>
      <c r="F2209">
        <v>3</v>
      </c>
      <c r="G2209">
        <v>3</v>
      </c>
      <c r="H2209">
        <v>2</v>
      </c>
      <c r="I2209">
        <v>4884.25</v>
      </c>
      <c r="J2209">
        <v>8</v>
      </c>
      <c r="K2209">
        <v>0</v>
      </c>
      <c r="L2209" s="4">
        <v>0.81553467004018587</v>
      </c>
      <c r="M2209" s="4">
        <v>0.1844653299598141</v>
      </c>
      <c r="N2209">
        <v>5</v>
      </c>
    </row>
    <row r="2210" spans="1:14" x14ac:dyDescent="0.35">
      <c r="A2210" s="1">
        <v>3112</v>
      </c>
      <c r="B2210">
        <v>7</v>
      </c>
      <c r="C2210">
        <v>49</v>
      </c>
      <c r="D2210">
        <v>5</v>
      </c>
      <c r="E2210">
        <v>0</v>
      </c>
      <c r="F2210">
        <v>0</v>
      </c>
      <c r="G2210">
        <v>4</v>
      </c>
      <c r="H2210">
        <v>2</v>
      </c>
      <c r="I2210">
        <v>500</v>
      </c>
      <c r="J2210">
        <v>9</v>
      </c>
      <c r="K2210">
        <v>0</v>
      </c>
      <c r="L2210" s="4">
        <v>0.81558804875460567</v>
      </c>
      <c r="M2210" s="4">
        <v>0.18441195124539439</v>
      </c>
      <c r="N2210">
        <v>5</v>
      </c>
    </row>
    <row r="2211" spans="1:14" x14ac:dyDescent="0.35">
      <c r="A2211" s="1">
        <v>4378</v>
      </c>
      <c r="B2211">
        <v>10</v>
      </c>
      <c r="C2211">
        <v>61</v>
      </c>
      <c r="D2211">
        <v>2</v>
      </c>
      <c r="E2211">
        <v>0</v>
      </c>
      <c r="F2211">
        <v>3</v>
      </c>
      <c r="G2211">
        <v>3</v>
      </c>
      <c r="H2211">
        <v>2</v>
      </c>
      <c r="I2211">
        <v>60</v>
      </c>
      <c r="J2211">
        <v>2</v>
      </c>
      <c r="K2211">
        <v>0</v>
      </c>
      <c r="L2211" s="4">
        <v>0.81581601262491277</v>
      </c>
      <c r="M2211" s="4">
        <v>0.1841839873750872</v>
      </c>
      <c r="N2211">
        <v>5</v>
      </c>
    </row>
    <row r="2212" spans="1:14" x14ac:dyDescent="0.35">
      <c r="A2212" s="1">
        <v>3401</v>
      </c>
      <c r="B2212">
        <v>9</v>
      </c>
      <c r="C2212">
        <v>54</v>
      </c>
      <c r="D2212">
        <v>2</v>
      </c>
      <c r="E2212">
        <v>1</v>
      </c>
      <c r="F2212">
        <v>0</v>
      </c>
      <c r="G2212">
        <v>4</v>
      </c>
      <c r="H2212">
        <v>2</v>
      </c>
      <c r="I2212">
        <v>3250</v>
      </c>
      <c r="J2212">
        <v>27</v>
      </c>
      <c r="K2212">
        <v>0</v>
      </c>
      <c r="L2212" s="4">
        <v>0.81595497333622957</v>
      </c>
      <c r="M2212" s="4">
        <v>0.18404502666377051</v>
      </c>
      <c r="N2212">
        <v>5</v>
      </c>
    </row>
    <row r="2213" spans="1:14" x14ac:dyDescent="0.35">
      <c r="A2213" s="1">
        <v>1489</v>
      </c>
      <c r="B2213">
        <v>8</v>
      </c>
      <c r="C2213">
        <v>55</v>
      </c>
      <c r="D2213">
        <v>0</v>
      </c>
      <c r="E2213">
        <v>0</v>
      </c>
      <c r="F2213">
        <v>3</v>
      </c>
      <c r="G2213">
        <v>8</v>
      </c>
      <c r="H2213">
        <v>0</v>
      </c>
      <c r="I2213">
        <v>6000</v>
      </c>
      <c r="J2213">
        <v>4</v>
      </c>
      <c r="K2213">
        <v>0</v>
      </c>
      <c r="L2213" s="4">
        <v>0.81597664272695025</v>
      </c>
      <c r="M2213" s="4">
        <v>0.18402335727304969</v>
      </c>
      <c r="N2213">
        <v>5</v>
      </c>
    </row>
    <row r="2214" spans="1:14" x14ac:dyDescent="0.35">
      <c r="A2214" s="1">
        <v>3154</v>
      </c>
      <c r="B2214">
        <v>3</v>
      </c>
      <c r="C2214">
        <v>32</v>
      </c>
      <c r="D2214">
        <v>2</v>
      </c>
      <c r="E2214">
        <v>0</v>
      </c>
      <c r="F2214">
        <v>3</v>
      </c>
      <c r="G2214">
        <v>3</v>
      </c>
      <c r="H2214">
        <v>3</v>
      </c>
      <c r="I2214">
        <v>0.01</v>
      </c>
      <c r="J2214">
        <v>5</v>
      </c>
      <c r="K2214">
        <v>1</v>
      </c>
      <c r="L2214" s="4">
        <v>0.81600097319957843</v>
      </c>
      <c r="M2214" s="4">
        <v>0.18399902680042149</v>
      </c>
      <c r="N2214">
        <v>5</v>
      </c>
    </row>
    <row r="2215" spans="1:14" x14ac:dyDescent="0.35">
      <c r="A2215" s="1">
        <v>4103</v>
      </c>
      <c r="B2215">
        <v>6</v>
      </c>
      <c r="C2215">
        <v>33</v>
      </c>
      <c r="D2215">
        <v>5</v>
      </c>
      <c r="E2215">
        <v>2</v>
      </c>
      <c r="F2215">
        <v>3</v>
      </c>
      <c r="G2215">
        <v>3</v>
      </c>
      <c r="H2215">
        <v>3</v>
      </c>
      <c r="I2215">
        <v>0.01</v>
      </c>
      <c r="J2215">
        <v>4</v>
      </c>
      <c r="K2215">
        <v>0</v>
      </c>
      <c r="L2215" s="4">
        <v>0.81602619373090513</v>
      </c>
      <c r="M2215" s="4">
        <v>0.1839738062690949</v>
      </c>
      <c r="N2215">
        <v>5</v>
      </c>
    </row>
    <row r="2216" spans="1:14" x14ac:dyDescent="0.35">
      <c r="A2216" s="1">
        <v>4414</v>
      </c>
      <c r="B2216">
        <v>12</v>
      </c>
      <c r="C2216">
        <v>66</v>
      </c>
      <c r="D2216">
        <v>5</v>
      </c>
      <c r="E2216">
        <v>1</v>
      </c>
      <c r="F2216">
        <v>0</v>
      </c>
      <c r="G2216">
        <v>4</v>
      </c>
      <c r="H2216">
        <v>0</v>
      </c>
      <c r="I2216">
        <v>10000</v>
      </c>
      <c r="J2216">
        <v>4</v>
      </c>
      <c r="K2216">
        <v>1</v>
      </c>
      <c r="L2216" s="4">
        <v>0.81603004286992642</v>
      </c>
      <c r="M2216" s="4">
        <v>0.18396995713007361</v>
      </c>
      <c r="N2216">
        <v>5</v>
      </c>
    </row>
    <row r="2217" spans="1:14" x14ac:dyDescent="0.35">
      <c r="A2217" s="1">
        <v>3568</v>
      </c>
      <c r="B2217">
        <v>8</v>
      </c>
      <c r="C2217">
        <v>49</v>
      </c>
      <c r="D2217">
        <v>3</v>
      </c>
      <c r="E2217">
        <v>1</v>
      </c>
      <c r="F2217">
        <v>0</v>
      </c>
      <c r="G2217">
        <v>4</v>
      </c>
      <c r="H2217">
        <v>2</v>
      </c>
      <c r="I2217">
        <v>420.01</v>
      </c>
      <c r="J2217">
        <v>5</v>
      </c>
      <c r="K2217">
        <v>0</v>
      </c>
      <c r="L2217" s="4">
        <v>0.81625238927884536</v>
      </c>
      <c r="M2217" s="4">
        <v>0.18374761072115459</v>
      </c>
      <c r="N2217">
        <v>5</v>
      </c>
    </row>
    <row r="2218" spans="1:14" x14ac:dyDescent="0.35">
      <c r="A2218" s="1">
        <v>3478</v>
      </c>
      <c r="B2218">
        <v>8</v>
      </c>
      <c r="C2218">
        <v>56</v>
      </c>
      <c r="D2218">
        <v>1</v>
      </c>
      <c r="E2218">
        <v>0</v>
      </c>
      <c r="F2218">
        <v>1</v>
      </c>
      <c r="G2218">
        <v>7</v>
      </c>
      <c r="H2218">
        <v>0</v>
      </c>
      <c r="I2218">
        <v>16000</v>
      </c>
      <c r="J2218">
        <v>8</v>
      </c>
      <c r="K2218">
        <v>0</v>
      </c>
      <c r="L2218" s="4">
        <v>0.81640938718485512</v>
      </c>
      <c r="M2218" s="4">
        <v>0.18359061281514491</v>
      </c>
      <c r="N2218">
        <v>5</v>
      </c>
    </row>
    <row r="2219" spans="1:14" x14ac:dyDescent="0.35">
      <c r="A2219" s="1">
        <v>4436</v>
      </c>
      <c r="B2219">
        <v>7</v>
      </c>
      <c r="C2219">
        <v>51</v>
      </c>
      <c r="D2219">
        <v>2</v>
      </c>
      <c r="E2219">
        <v>0</v>
      </c>
      <c r="F2219">
        <v>0</v>
      </c>
      <c r="G2219">
        <v>10</v>
      </c>
      <c r="H2219">
        <v>1</v>
      </c>
      <c r="I2219">
        <v>20513.95</v>
      </c>
      <c r="J2219">
        <v>3</v>
      </c>
      <c r="K2219">
        <v>0</v>
      </c>
      <c r="L2219" s="4">
        <v>0.816463019618903</v>
      </c>
      <c r="M2219" s="4">
        <v>0.183536980381097</v>
      </c>
      <c r="N2219">
        <v>5</v>
      </c>
    </row>
    <row r="2220" spans="1:14" x14ac:dyDescent="0.35">
      <c r="A2220" s="1">
        <v>306</v>
      </c>
      <c r="B2220">
        <v>9</v>
      </c>
      <c r="C2220">
        <v>57</v>
      </c>
      <c r="D2220">
        <v>4</v>
      </c>
      <c r="E2220">
        <v>0</v>
      </c>
      <c r="F2220">
        <v>0</v>
      </c>
      <c r="G2220">
        <v>11</v>
      </c>
      <c r="H2220">
        <v>2</v>
      </c>
      <c r="I2220">
        <v>500</v>
      </c>
      <c r="J2220">
        <v>9</v>
      </c>
      <c r="K2220">
        <v>0</v>
      </c>
      <c r="L2220" s="4">
        <v>0.81650078614160648</v>
      </c>
      <c r="M2220" s="4">
        <v>0.18349921385839349</v>
      </c>
      <c r="N2220">
        <v>5</v>
      </c>
    </row>
    <row r="2221" spans="1:14" x14ac:dyDescent="0.35">
      <c r="A2221" s="1">
        <v>2502</v>
      </c>
      <c r="B2221">
        <v>7</v>
      </c>
      <c r="C2221">
        <v>52</v>
      </c>
      <c r="D2221">
        <v>1</v>
      </c>
      <c r="E2221">
        <v>0</v>
      </c>
      <c r="F2221">
        <v>1</v>
      </c>
      <c r="G2221">
        <v>5</v>
      </c>
      <c r="H2221">
        <v>0</v>
      </c>
      <c r="I2221">
        <v>8853.34</v>
      </c>
      <c r="J2221">
        <v>10</v>
      </c>
      <c r="K2221">
        <v>1</v>
      </c>
      <c r="L2221" s="4">
        <v>0.81655738436349856</v>
      </c>
      <c r="M2221" s="4">
        <v>0.18344261563650141</v>
      </c>
      <c r="N2221">
        <v>5</v>
      </c>
    </row>
    <row r="2222" spans="1:14" x14ac:dyDescent="0.35">
      <c r="A2222" s="1">
        <v>653</v>
      </c>
      <c r="B2222">
        <v>9</v>
      </c>
      <c r="C2222">
        <v>51</v>
      </c>
      <c r="D2222">
        <v>5</v>
      </c>
      <c r="E2222">
        <v>1</v>
      </c>
      <c r="F2222">
        <v>3</v>
      </c>
      <c r="G2222">
        <v>3</v>
      </c>
      <c r="H2222">
        <v>2</v>
      </c>
      <c r="I2222">
        <v>1519.91</v>
      </c>
      <c r="J2222">
        <v>9</v>
      </c>
      <c r="K2222">
        <v>0</v>
      </c>
      <c r="L2222" s="4">
        <v>0.81656837829224271</v>
      </c>
      <c r="M2222" s="4">
        <v>0.18343162170775729</v>
      </c>
      <c r="N2222">
        <v>5</v>
      </c>
    </row>
    <row r="2223" spans="1:14" x14ac:dyDescent="0.35">
      <c r="A2223" s="1">
        <v>956</v>
      </c>
      <c r="B2223">
        <v>7</v>
      </c>
      <c r="C2223">
        <v>51</v>
      </c>
      <c r="D2223">
        <v>1</v>
      </c>
      <c r="E2223">
        <v>0</v>
      </c>
      <c r="F2223">
        <v>3</v>
      </c>
      <c r="G2223">
        <v>3</v>
      </c>
      <c r="H2223">
        <v>0</v>
      </c>
      <c r="I2223">
        <v>6000</v>
      </c>
      <c r="J2223">
        <v>2</v>
      </c>
      <c r="K2223">
        <v>0</v>
      </c>
      <c r="L2223" s="4">
        <v>0.81664346994997516</v>
      </c>
      <c r="M2223" s="4">
        <v>0.18335653005002481</v>
      </c>
      <c r="N2223">
        <v>5</v>
      </c>
    </row>
    <row r="2224" spans="1:14" x14ac:dyDescent="0.35">
      <c r="A2224" s="1">
        <v>1549</v>
      </c>
      <c r="B2224">
        <v>8</v>
      </c>
      <c r="C2224">
        <v>48</v>
      </c>
      <c r="D2224">
        <v>2</v>
      </c>
      <c r="E2224">
        <v>1</v>
      </c>
      <c r="F2224">
        <v>1</v>
      </c>
      <c r="G2224">
        <v>7</v>
      </c>
      <c r="H2224">
        <v>3</v>
      </c>
      <c r="I2224">
        <v>0.01</v>
      </c>
      <c r="J2224">
        <v>5</v>
      </c>
      <c r="K2224">
        <v>0</v>
      </c>
      <c r="L2224" s="4">
        <v>0.81671764589642748</v>
      </c>
      <c r="M2224" s="4">
        <v>0.18328235410357249</v>
      </c>
      <c r="N2224">
        <v>5</v>
      </c>
    </row>
    <row r="2225" spans="1:14" x14ac:dyDescent="0.35">
      <c r="A2225" s="1">
        <v>4200</v>
      </c>
      <c r="B2225">
        <v>8</v>
      </c>
      <c r="C2225">
        <v>51</v>
      </c>
      <c r="D2225">
        <v>5</v>
      </c>
      <c r="E2225">
        <v>0</v>
      </c>
      <c r="F2225">
        <v>3</v>
      </c>
      <c r="G2225">
        <v>3</v>
      </c>
      <c r="H2225">
        <v>3</v>
      </c>
      <c r="I2225">
        <v>0.01</v>
      </c>
      <c r="J2225">
        <v>4</v>
      </c>
      <c r="K2225">
        <v>0</v>
      </c>
      <c r="L2225" s="4">
        <v>0.81673706054293116</v>
      </c>
      <c r="M2225" s="4">
        <v>0.1832629394570689</v>
      </c>
      <c r="N2225">
        <v>5</v>
      </c>
    </row>
    <row r="2226" spans="1:14" x14ac:dyDescent="0.35">
      <c r="A2226" s="1">
        <v>67</v>
      </c>
      <c r="B2226">
        <v>7</v>
      </c>
      <c r="C2226">
        <v>51</v>
      </c>
      <c r="D2226">
        <v>1</v>
      </c>
      <c r="E2226">
        <v>0</v>
      </c>
      <c r="F2226">
        <v>0</v>
      </c>
      <c r="G2226">
        <v>2</v>
      </c>
      <c r="H2226">
        <v>2</v>
      </c>
      <c r="I2226">
        <v>4250</v>
      </c>
      <c r="J2226">
        <v>1</v>
      </c>
      <c r="K2226">
        <v>0</v>
      </c>
      <c r="L2226" s="4">
        <v>0.8168476072428057</v>
      </c>
      <c r="M2226" s="4">
        <v>0.18315239275719419</v>
      </c>
      <c r="N2226">
        <v>5</v>
      </c>
    </row>
    <row r="2227" spans="1:14" x14ac:dyDescent="0.35">
      <c r="A2227" s="1">
        <v>3710</v>
      </c>
      <c r="B2227">
        <v>6</v>
      </c>
      <c r="C2227">
        <v>45</v>
      </c>
      <c r="D2227">
        <v>5</v>
      </c>
      <c r="E2227">
        <v>0</v>
      </c>
      <c r="F2227">
        <v>0</v>
      </c>
      <c r="G2227">
        <v>4</v>
      </c>
      <c r="H2227">
        <v>2</v>
      </c>
      <c r="I2227">
        <v>1000</v>
      </c>
      <c r="J2227">
        <v>4</v>
      </c>
      <c r="K2227">
        <v>0</v>
      </c>
      <c r="L2227" s="4">
        <v>0.8168842114740722</v>
      </c>
      <c r="M2227" s="4">
        <v>0.1831157885259278</v>
      </c>
      <c r="N2227">
        <v>6</v>
      </c>
    </row>
    <row r="2228" spans="1:14" x14ac:dyDescent="0.35">
      <c r="A2228" s="1">
        <v>4039</v>
      </c>
      <c r="B2228">
        <v>8</v>
      </c>
      <c r="C2228">
        <v>48</v>
      </c>
      <c r="D2228">
        <v>2</v>
      </c>
      <c r="E2228">
        <v>1</v>
      </c>
      <c r="F2228">
        <v>1</v>
      </c>
      <c r="G2228">
        <v>7</v>
      </c>
      <c r="H2228">
        <v>3</v>
      </c>
      <c r="I2228">
        <v>0.01</v>
      </c>
      <c r="J2228">
        <v>2</v>
      </c>
      <c r="K2228">
        <v>0</v>
      </c>
      <c r="L2228" s="4">
        <v>0.81729402319897893</v>
      </c>
      <c r="M2228" s="4">
        <v>0.18270597680102099</v>
      </c>
      <c r="N2228">
        <v>6</v>
      </c>
    </row>
    <row r="2229" spans="1:14" x14ac:dyDescent="0.35">
      <c r="A2229" s="1">
        <v>4063</v>
      </c>
      <c r="B2229">
        <v>12</v>
      </c>
      <c r="C2229">
        <v>71</v>
      </c>
      <c r="D2229">
        <v>2</v>
      </c>
      <c r="E2229">
        <v>0</v>
      </c>
      <c r="F2229">
        <v>3</v>
      </c>
      <c r="G2229">
        <v>3</v>
      </c>
      <c r="H2229">
        <v>0</v>
      </c>
      <c r="I2229">
        <v>6053.35</v>
      </c>
      <c r="J2229">
        <v>7</v>
      </c>
      <c r="K2229">
        <v>1</v>
      </c>
      <c r="L2229" s="4">
        <v>0.81734357607907082</v>
      </c>
      <c r="M2229" s="4">
        <v>0.18265642392092921</v>
      </c>
      <c r="N2229">
        <v>6</v>
      </c>
    </row>
    <row r="2230" spans="1:14" x14ac:dyDescent="0.35">
      <c r="A2230" s="1">
        <v>3907</v>
      </c>
      <c r="B2230">
        <v>8</v>
      </c>
      <c r="C2230">
        <v>51</v>
      </c>
      <c r="D2230">
        <v>1</v>
      </c>
      <c r="E2230">
        <v>1</v>
      </c>
      <c r="F2230">
        <v>1</v>
      </c>
      <c r="G2230">
        <v>7</v>
      </c>
      <c r="H2230">
        <v>0</v>
      </c>
      <c r="I2230">
        <v>9500.01</v>
      </c>
      <c r="J2230">
        <v>7</v>
      </c>
      <c r="K2230">
        <v>0</v>
      </c>
      <c r="L2230" s="4">
        <v>0.81736152760531489</v>
      </c>
      <c r="M2230" s="4">
        <v>0.18263847239468509</v>
      </c>
      <c r="N2230">
        <v>6</v>
      </c>
    </row>
    <row r="2231" spans="1:14" x14ac:dyDescent="0.35">
      <c r="A2231" s="1">
        <v>1938</v>
      </c>
      <c r="B2231">
        <v>11</v>
      </c>
      <c r="C2231">
        <v>69</v>
      </c>
      <c r="D2231">
        <v>1</v>
      </c>
      <c r="E2231">
        <v>0</v>
      </c>
      <c r="F2231">
        <v>0</v>
      </c>
      <c r="G2231">
        <v>2</v>
      </c>
      <c r="H2231">
        <v>0</v>
      </c>
      <c r="I2231">
        <v>9000</v>
      </c>
      <c r="J2231">
        <v>8</v>
      </c>
      <c r="K2231">
        <v>0</v>
      </c>
      <c r="L2231" s="4">
        <v>0.8173838923920389</v>
      </c>
      <c r="M2231" s="4">
        <v>0.18261610760796121</v>
      </c>
      <c r="N2231">
        <v>6</v>
      </c>
    </row>
    <row r="2232" spans="1:14" x14ac:dyDescent="0.35">
      <c r="A2232" s="1">
        <v>2365</v>
      </c>
      <c r="B2232">
        <v>10</v>
      </c>
      <c r="C2232">
        <v>63</v>
      </c>
      <c r="D2232">
        <v>2</v>
      </c>
      <c r="E2232">
        <v>0</v>
      </c>
      <c r="F2232">
        <v>3</v>
      </c>
      <c r="G2232">
        <v>3</v>
      </c>
      <c r="H2232">
        <v>0</v>
      </c>
      <c r="I2232">
        <v>8400</v>
      </c>
      <c r="J2232">
        <v>8</v>
      </c>
      <c r="K2232">
        <v>0</v>
      </c>
      <c r="L2232" s="4">
        <v>0.81748944912953214</v>
      </c>
      <c r="M2232" s="4">
        <v>0.1825105508704678</v>
      </c>
      <c r="N2232">
        <v>6</v>
      </c>
    </row>
    <row r="2233" spans="1:14" x14ac:dyDescent="0.35">
      <c r="A2233" s="1">
        <v>1877</v>
      </c>
      <c r="B2233">
        <v>12</v>
      </c>
      <c r="C2233">
        <v>58</v>
      </c>
      <c r="D2233">
        <v>4</v>
      </c>
      <c r="E2233">
        <v>2</v>
      </c>
      <c r="F2233">
        <v>3</v>
      </c>
      <c r="G2233">
        <v>3</v>
      </c>
      <c r="H2233">
        <v>3</v>
      </c>
      <c r="I2233">
        <v>0.01</v>
      </c>
      <c r="J2233">
        <v>8</v>
      </c>
      <c r="K2233">
        <v>0</v>
      </c>
      <c r="L2233" s="4">
        <v>0.81761228466547697</v>
      </c>
      <c r="M2233" s="4">
        <v>0.18238771533452311</v>
      </c>
      <c r="N2233">
        <v>6</v>
      </c>
    </row>
    <row r="2234" spans="1:14" x14ac:dyDescent="0.35">
      <c r="A2234" s="1">
        <v>3084</v>
      </c>
      <c r="B2234">
        <v>5</v>
      </c>
      <c r="C2234">
        <v>35</v>
      </c>
      <c r="D2234">
        <v>3</v>
      </c>
      <c r="E2234">
        <v>1</v>
      </c>
      <c r="F2234">
        <v>3</v>
      </c>
      <c r="G2234">
        <v>3</v>
      </c>
      <c r="H2234">
        <v>3</v>
      </c>
      <c r="I2234">
        <v>0.01</v>
      </c>
      <c r="J2234">
        <v>8</v>
      </c>
      <c r="K2234">
        <v>0</v>
      </c>
      <c r="L2234" s="4">
        <v>0.81764844949894178</v>
      </c>
      <c r="M2234" s="4">
        <v>0.1823515505010582</v>
      </c>
      <c r="N2234">
        <v>6</v>
      </c>
    </row>
    <row r="2235" spans="1:14" x14ac:dyDescent="0.35">
      <c r="A2235" s="1">
        <v>109</v>
      </c>
      <c r="B2235">
        <v>8</v>
      </c>
      <c r="C2235">
        <v>51</v>
      </c>
      <c r="D2235">
        <v>3</v>
      </c>
      <c r="E2235">
        <v>0</v>
      </c>
      <c r="F2235">
        <v>4</v>
      </c>
      <c r="G2235">
        <v>9</v>
      </c>
      <c r="H2235">
        <v>3</v>
      </c>
      <c r="I2235">
        <v>0.01</v>
      </c>
      <c r="J2235">
        <v>4</v>
      </c>
      <c r="K2235">
        <v>1</v>
      </c>
      <c r="L2235" s="4">
        <v>0.81804407714356742</v>
      </c>
      <c r="M2235" s="4">
        <v>0.18195592285643261</v>
      </c>
      <c r="N2235">
        <v>6</v>
      </c>
    </row>
    <row r="2236" spans="1:14" x14ac:dyDescent="0.35">
      <c r="A2236" s="1">
        <v>481</v>
      </c>
      <c r="B2236">
        <v>8</v>
      </c>
      <c r="C2236">
        <v>49</v>
      </c>
      <c r="D2236">
        <v>2</v>
      </c>
      <c r="E2236">
        <v>1</v>
      </c>
      <c r="F2236">
        <v>1</v>
      </c>
      <c r="G2236">
        <v>7</v>
      </c>
      <c r="H2236">
        <v>2</v>
      </c>
      <c r="I2236">
        <v>2000</v>
      </c>
      <c r="J2236">
        <v>8</v>
      </c>
      <c r="K2236">
        <v>0</v>
      </c>
      <c r="L2236" s="4">
        <v>0.81807360614308888</v>
      </c>
      <c r="M2236" s="4">
        <v>0.1819263938569112</v>
      </c>
      <c r="N2236">
        <v>6</v>
      </c>
    </row>
    <row r="2237" spans="1:14" x14ac:dyDescent="0.35">
      <c r="A2237" s="1">
        <v>2073</v>
      </c>
      <c r="B2237">
        <v>14</v>
      </c>
      <c r="C2237">
        <v>79</v>
      </c>
      <c r="D2237">
        <v>1</v>
      </c>
      <c r="E2237">
        <v>0</v>
      </c>
      <c r="F2237">
        <v>2</v>
      </c>
      <c r="G2237">
        <v>1</v>
      </c>
      <c r="H2237">
        <v>2</v>
      </c>
      <c r="I2237">
        <v>50</v>
      </c>
      <c r="J2237">
        <v>22</v>
      </c>
      <c r="K2237">
        <v>0</v>
      </c>
      <c r="L2237" s="4">
        <v>0.8183372710483261</v>
      </c>
      <c r="M2237" s="4">
        <v>0.18166272895167401</v>
      </c>
      <c r="N2237">
        <v>6</v>
      </c>
    </row>
    <row r="2238" spans="1:14" x14ac:dyDescent="0.35">
      <c r="A2238" s="1">
        <v>3144</v>
      </c>
      <c r="B2238">
        <v>10</v>
      </c>
      <c r="C2238">
        <v>59</v>
      </c>
      <c r="D2238">
        <v>0</v>
      </c>
      <c r="E2238">
        <v>1</v>
      </c>
      <c r="F2238">
        <v>3</v>
      </c>
      <c r="G2238">
        <v>3</v>
      </c>
      <c r="H2238">
        <v>0</v>
      </c>
      <c r="I2238">
        <v>6000.01</v>
      </c>
      <c r="J2238">
        <v>8</v>
      </c>
      <c r="K2238">
        <v>0</v>
      </c>
      <c r="L2238" s="4">
        <v>0.81838930667272813</v>
      </c>
      <c r="M2238" s="4">
        <v>0.18161069332727189</v>
      </c>
      <c r="N2238">
        <v>6</v>
      </c>
    </row>
    <row r="2239" spans="1:14" x14ac:dyDescent="0.35">
      <c r="A2239" s="1">
        <v>579</v>
      </c>
      <c r="B2239">
        <v>10</v>
      </c>
      <c r="C2239">
        <v>55</v>
      </c>
      <c r="D2239">
        <v>5</v>
      </c>
      <c r="E2239">
        <v>1</v>
      </c>
      <c r="F2239">
        <v>1</v>
      </c>
      <c r="G2239">
        <v>7</v>
      </c>
      <c r="H2239">
        <v>3</v>
      </c>
      <c r="I2239">
        <v>0.01</v>
      </c>
      <c r="J2239">
        <v>6</v>
      </c>
      <c r="K2239">
        <v>0</v>
      </c>
      <c r="L2239" s="4">
        <v>0.81841873755311723</v>
      </c>
      <c r="M2239" s="4">
        <v>0.1815812624468828</v>
      </c>
      <c r="N2239">
        <v>6</v>
      </c>
    </row>
    <row r="2240" spans="1:14" x14ac:dyDescent="0.35">
      <c r="A2240" s="1">
        <v>3848</v>
      </c>
      <c r="B2240">
        <v>12</v>
      </c>
      <c r="C2240">
        <v>72</v>
      </c>
      <c r="D2240">
        <v>0</v>
      </c>
      <c r="E2240">
        <v>0</v>
      </c>
      <c r="F2240">
        <v>3</v>
      </c>
      <c r="G2240">
        <v>3</v>
      </c>
      <c r="H2240">
        <v>0</v>
      </c>
      <c r="I2240">
        <v>6107.64</v>
      </c>
      <c r="J2240">
        <v>7</v>
      </c>
      <c r="K2240">
        <v>0</v>
      </c>
      <c r="L2240" s="4">
        <v>0.81845781432264841</v>
      </c>
      <c r="M2240" s="4">
        <v>0.18154218567735159</v>
      </c>
      <c r="N2240">
        <v>6</v>
      </c>
    </row>
    <row r="2241" spans="1:14" x14ac:dyDescent="0.35">
      <c r="A2241" s="1">
        <v>3302</v>
      </c>
      <c r="B2241">
        <v>6</v>
      </c>
      <c r="C2241">
        <v>39</v>
      </c>
      <c r="D2241">
        <v>3</v>
      </c>
      <c r="E2241">
        <v>1</v>
      </c>
      <c r="F2241">
        <v>3</v>
      </c>
      <c r="G2241">
        <v>3</v>
      </c>
      <c r="H2241">
        <v>3</v>
      </c>
      <c r="I2241">
        <v>0.01</v>
      </c>
      <c r="J2241">
        <v>1</v>
      </c>
      <c r="K2241">
        <v>0</v>
      </c>
      <c r="L2241" s="4">
        <v>0.81853743296420689</v>
      </c>
      <c r="M2241" s="4">
        <v>0.18146256703579311</v>
      </c>
      <c r="N2241">
        <v>6</v>
      </c>
    </row>
    <row r="2242" spans="1:14" x14ac:dyDescent="0.35">
      <c r="A2242" s="1">
        <v>3223</v>
      </c>
      <c r="B2242">
        <v>8</v>
      </c>
      <c r="C2242">
        <v>46</v>
      </c>
      <c r="D2242">
        <v>2</v>
      </c>
      <c r="E2242">
        <v>2</v>
      </c>
      <c r="F2242">
        <v>0</v>
      </c>
      <c r="G2242">
        <v>10</v>
      </c>
      <c r="H2242">
        <v>0</v>
      </c>
      <c r="I2242">
        <v>6053.35</v>
      </c>
      <c r="J2242">
        <v>12</v>
      </c>
      <c r="K2242">
        <v>0</v>
      </c>
      <c r="L2242" s="4">
        <v>0.81856483890510456</v>
      </c>
      <c r="M2242" s="4">
        <v>0.18143516109489549</v>
      </c>
      <c r="N2242">
        <v>6</v>
      </c>
    </row>
    <row r="2243" spans="1:14" x14ac:dyDescent="0.35">
      <c r="A2243" s="1">
        <v>3550</v>
      </c>
      <c r="B2243">
        <v>11</v>
      </c>
      <c r="C2243">
        <v>67</v>
      </c>
      <c r="D2243">
        <v>5</v>
      </c>
      <c r="E2243">
        <v>0</v>
      </c>
      <c r="F2243">
        <v>0</v>
      </c>
      <c r="G2243">
        <v>4</v>
      </c>
      <c r="H2243">
        <v>0</v>
      </c>
      <c r="I2243">
        <v>6000</v>
      </c>
      <c r="J2243">
        <v>2</v>
      </c>
      <c r="K2243">
        <v>1</v>
      </c>
      <c r="L2243" s="4">
        <v>0.81863227182978737</v>
      </c>
      <c r="M2243" s="4">
        <v>0.18136772817021271</v>
      </c>
      <c r="N2243">
        <v>6</v>
      </c>
    </row>
    <row r="2244" spans="1:14" x14ac:dyDescent="0.35">
      <c r="A2244" s="1">
        <v>2342</v>
      </c>
      <c r="B2244">
        <v>9</v>
      </c>
      <c r="C2244">
        <v>60</v>
      </c>
      <c r="D2244">
        <v>2</v>
      </c>
      <c r="E2244">
        <v>0</v>
      </c>
      <c r="F2244">
        <v>0</v>
      </c>
      <c r="G2244">
        <v>10</v>
      </c>
      <c r="H2244">
        <v>0</v>
      </c>
      <c r="I2244">
        <v>18000</v>
      </c>
      <c r="J2244">
        <v>2</v>
      </c>
      <c r="K2244">
        <v>0</v>
      </c>
      <c r="L2244" s="4">
        <v>0.81876756269893525</v>
      </c>
      <c r="M2244" s="4">
        <v>0.18123243730106481</v>
      </c>
      <c r="N2244">
        <v>6</v>
      </c>
    </row>
    <row r="2245" spans="1:14" x14ac:dyDescent="0.35">
      <c r="A2245" s="1">
        <v>2356</v>
      </c>
      <c r="B2245">
        <v>8</v>
      </c>
      <c r="C2245">
        <v>53</v>
      </c>
      <c r="D2245">
        <v>1</v>
      </c>
      <c r="E2245">
        <v>0</v>
      </c>
      <c r="F2245">
        <v>3</v>
      </c>
      <c r="G2245">
        <v>3</v>
      </c>
      <c r="H2245">
        <v>3</v>
      </c>
      <c r="I2245">
        <v>0.01</v>
      </c>
      <c r="J2245">
        <v>5</v>
      </c>
      <c r="K2245">
        <v>0</v>
      </c>
      <c r="L2245" s="4">
        <v>0.81880134331038779</v>
      </c>
      <c r="M2245" s="4">
        <v>0.18119865668961219</v>
      </c>
      <c r="N2245">
        <v>6</v>
      </c>
    </row>
    <row r="2246" spans="1:14" x14ac:dyDescent="0.35">
      <c r="A2246" s="1">
        <v>2683</v>
      </c>
      <c r="B2246">
        <v>8</v>
      </c>
      <c r="C2246">
        <v>48</v>
      </c>
      <c r="D2246">
        <v>2</v>
      </c>
      <c r="E2246">
        <v>1</v>
      </c>
      <c r="F2246">
        <v>3</v>
      </c>
      <c r="G2246">
        <v>3</v>
      </c>
      <c r="H2246">
        <v>3</v>
      </c>
      <c r="I2246">
        <v>0.01</v>
      </c>
      <c r="J2246">
        <v>20</v>
      </c>
      <c r="K2246">
        <v>0</v>
      </c>
      <c r="L2246" s="4">
        <v>0.81904360664993048</v>
      </c>
      <c r="M2246" s="4">
        <v>0.18095639335006961</v>
      </c>
      <c r="N2246">
        <v>6</v>
      </c>
    </row>
    <row r="2247" spans="1:14" x14ac:dyDescent="0.35">
      <c r="A2247" s="1">
        <v>3104</v>
      </c>
      <c r="B2247">
        <v>12</v>
      </c>
      <c r="C2247">
        <v>58</v>
      </c>
      <c r="D2247">
        <v>5</v>
      </c>
      <c r="E2247">
        <v>2</v>
      </c>
      <c r="F2247">
        <v>3</v>
      </c>
      <c r="G2247">
        <v>8</v>
      </c>
      <c r="H2247">
        <v>2</v>
      </c>
      <c r="I2247">
        <v>4035</v>
      </c>
      <c r="J2247">
        <v>3</v>
      </c>
      <c r="K2247">
        <v>0</v>
      </c>
      <c r="L2247" s="4">
        <v>0.81904873525688449</v>
      </c>
      <c r="M2247" s="4">
        <v>0.18095126474311549</v>
      </c>
      <c r="N2247">
        <v>6</v>
      </c>
    </row>
    <row r="2248" spans="1:14" x14ac:dyDescent="0.35">
      <c r="A2248" s="1">
        <v>2043</v>
      </c>
      <c r="B2248">
        <v>11</v>
      </c>
      <c r="C2248">
        <v>65</v>
      </c>
      <c r="D2248">
        <v>4</v>
      </c>
      <c r="E2248">
        <v>0</v>
      </c>
      <c r="F2248">
        <v>3</v>
      </c>
      <c r="G2248">
        <v>3</v>
      </c>
      <c r="H2248">
        <v>2</v>
      </c>
      <c r="I2248">
        <v>4391.5600000000004</v>
      </c>
      <c r="J2248">
        <v>18</v>
      </c>
      <c r="K2248">
        <v>0</v>
      </c>
      <c r="L2248" s="4">
        <v>0.8191051751344407</v>
      </c>
      <c r="M2248" s="4">
        <v>0.18089482486555919</v>
      </c>
      <c r="N2248">
        <v>6</v>
      </c>
    </row>
    <row r="2249" spans="1:14" x14ac:dyDescent="0.35">
      <c r="A2249" s="1">
        <v>1730</v>
      </c>
      <c r="B2249">
        <v>8</v>
      </c>
      <c r="C2249">
        <v>53</v>
      </c>
      <c r="D2249">
        <v>3</v>
      </c>
      <c r="E2249">
        <v>0</v>
      </c>
      <c r="F2249">
        <v>3</v>
      </c>
      <c r="G2249">
        <v>3</v>
      </c>
      <c r="H2249">
        <v>2</v>
      </c>
      <c r="I2249">
        <v>4000</v>
      </c>
      <c r="J2249">
        <v>5</v>
      </c>
      <c r="K2249">
        <v>0</v>
      </c>
      <c r="L2249" s="4">
        <v>0.81911990702877668</v>
      </c>
      <c r="M2249" s="4">
        <v>0.18088009297122329</v>
      </c>
      <c r="N2249">
        <v>6</v>
      </c>
    </row>
    <row r="2250" spans="1:14" x14ac:dyDescent="0.35">
      <c r="A2250" s="1">
        <v>4285</v>
      </c>
      <c r="B2250">
        <v>10</v>
      </c>
      <c r="C2250">
        <v>51</v>
      </c>
      <c r="D2250">
        <v>5</v>
      </c>
      <c r="E2250">
        <v>2</v>
      </c>
      <c r="F2250">
        <v>0</v>
      </c>
      <c r="G2250">
        <v>11</v>
      </c>
      <c r="H2250">
        <v>2</v>
      </c>
      <c r="I2250">
        <v>420</v>
      </c>
      <c r="J2250">
        <v>5</v>
      </c>
      <c r="K2250">
        <v>0</v>
      </c>
      <c r="L2250" s="4">
        <v>0.81914739772687362</v>
      </c>
      <c r="M2250" s="4">
        <v>0.18085260227312641</v>
      </c>
      <c r="N2250">
        <v>6</v>
      </c>
    </row>
    <row r="2251" spans="1:14" x14ac:dyDescent="0.35">
      <c r="A2251" s="1">
        <v>983</v>
      </c>
      <c r="B2251">
        <v>11</v>
      </c>
      <c r="C2251">
        <v>68</v>
      </c>
      <c r="D2251">
        <v>2</v>
      </c>
      <c r="E2251">
        <v>0</v>
      </c>
      <c r="F2251">
        <v>0</v>
      </c>
      <c r="G2251">
        <v>10</v>
      </c>
      <c r="H2251">
        <v>0</v>
      </c>
      <c r="I2251">
        <v>12000</v>
      </c>
      <c r="J2251">
        <v>2</v>
      </c>
      <c r="K2251">
        <v>0</v>
      </c>
      <c r="L2251" s="4">
        <v>0.81930469359183933</v>
      </c>
      <c r="M2251" s="4">
        <v>0.1806953064081607</v>
      </c>
      <c r="N2251">
        <v>6</v>
      </c>
    </row>
    <row r="2252" spans="1:14" x14ac:dyDescent="0.35">
      <c r="A2252" s="1">
        <v>583</v>
      </c>
      <c r="B2252">
        <v>6</v>
      </c>
      <c r="C2252">
        <v>47</v>
      </c>
      <c r="D2252">
        <v>0</v>
      </c>
      <c r="E2252">
        <v>0</v>
      </c>
      <c r="F2252">
        <v>0</v>
      </c>
      <c r="G2252">
        <v>2</v>
      </c>
      <c r="H2252">
        <v>3</v>
      </c>
      <c r="I2252">
        <v>0.01</v>
      </c>
      <c r="J2252">
        <v>8</v>
      </c>
      <c r="K2252">
        <v>0</v>
      </c>
      <c r="L2252" s="4">
        <v>0.81961140865097981</v>
      </c>
      <c r="M2252" s="4">
        <v>0.18038859134902019</v>
      </c>
      <c r="N2252">
        <v>6</v>
      </c>
    </row>
    <row r="2253" spans="1:14" x14ac:dyDescent="0.35">
      <c r="A2253" s="1">
        <v>1776</v>
      </c>
      <c r="B2253">
        <v>4</v>
      </c>
      <c r="C2253">
        <v>36</v>
      </c>
      <c r="D2253">
        <v>3</v>
      </c>
      <c r="E2253">
        <v>0</v>
      </c>
      <c r="F2253">
        <v>3</v>
      </c>
      <c r="G2253">
        <v>3</v>
      </c>
      <c r="H2253">
        <v>3</v>
      </c>
      <c r="I2253">
        <v>0.01</v>
      </c>
      <c r="J2253">
        <v>4</v>
      </c>
      <c r="K2253">
        <v>0</v>
      </c>
      <c r="L2253" s="4">
        <v>0.81966077007499216</v>
      </c>
      <c r="M2253" s="4">
        <v>0.18033922992500781</v>
      </c>
      <c r="N2253">
        <v>6</v>
      </c>
    </row>
    <row r="2254" spans="1:14" x14ac:dyDescent="0.35">
      <c r="A2254" s="1">
        <v>473</v>
      </c>
      <c r="B2254">
        <v>6</v>
      </c>
      <c r="C2254">
        <v>34</v>
      </c>
      <c r="D2254">
        <v>3</v>
      </c>
      <c r="E2254">
        <v>2</v>
      </c>
      <c r="F2254">
        <v>4</v>
      </c>
      <c r="G2254">
        <v>9</v>
      </c>
      <c r="H2254">
        <v>2</v>
      </c>
      <c r="I2254">
        <v>1000</v>
      </c>
      <c r="J2254">
        <v>2</v>
      </c>
      <c r="K2254">
        <v>0</v>
      </c>
      <c r="L2254" s="4">
        <v>0.81987940727990027</v>
      </c>
      <c r="M2254" s="4">
        <v>0.1801205927200997</v>
      </c>
      <c r="N2254">
        <v>6</v>
      </c>
    </row>
    <row r="2255" spans="1:14" x14ac:dyDescent="0.35">
      <c r="A2255" s="1">
        <v>3499</v>
      </c>
      <c r="B2255">
        <v>12</v>
      </c>
      <c r="C2255">
        <v>58</v>
      </c>
      <c r="D2255">
        <v>5</v>
      </c>
      <c r="E2255">
        <v>2</v>
      </c>
      <c r="F2255">
        <v>1</v>
      </c>
      <c r="G2255">
        <v>12</v>
      </c>
      <c r="H2255">
        <v>3</v>
      </c>
      <c r="I2255">
        <v>0.01</v>
      </c>
      <c r="J2255">
        <v>8</v>
      </c>
      <c r="K2255">
        <v>0</v>
      </c>
      <c r="L2255" s="4">
        <v>0.82040763128962368</v>
      </c>
      <c r="M2255" s="4">
        <v>0.17959236871037629</v>
      </c>
      <c r="N2255">
        <v>6</v>
      </c>
    </row>
    <row r="2256" spans="1:14" x14ac:dyDescent="0.35">
      <c r="A2256" s="1">
        <v>792</v>
      </c>
      <c r="B2256">
        <v>4</v>
      </c>
      <c r="C2256">
        <v>37</v>
      </c>
      <c r="D2256">
        <v>2</v>
      </c>
      <c r="E2256">
        <v>0</v>
      </c>
      <c r="F2256">
        <v>3</v>
      </c>
      <c r="G2256">
        <v>8</v>
      </c>
      <c r="H2256">
        <v>2</v>
      </c>
      <c r="I2256">
        <v>1000</v>
      </c>
      <c r="J2256">
        <v>12</v>
      </c>
      <c r="K2256">
        <v>0</v>
      </c>
      <c r="L2256" s="4">
        <v>0.82045986172917584</v>
      </c>
      <c r="M2256" s="4">
        <v>0.17954013827082421</v>
      </c>
      <c r="N2256">
        <v>6</v>
      </c>
    </row>
    <row r="2257" spans="1:14" x14ac:dyDescent="0.35">
      <c r="A2257" s="1">
        <v>2322</v>
      </c>
      <c r="B2257">
        <v>16</v>
      </c>
      <c r="C2257">
        <v>76</v>
      </c>
      <c r="D2257">
        <v>4</v>
      </c>
      <c r="E2257">
        <v>2</v>
      </c>
      <c r="F2257">
        <v>4</v>
      </c>
      <c r="G2257">
        <v>9</v>
      </c>
      <c r="H2257">
        <v>0</v>
      </c>
      <c r="I2257">
        <v>6000</v>
      </c>
      <c r="J2257">
        <v>14</v>
      </c>
      <c r="K2257">
        <v>1</v>
      </c>
      <c r="L2257" s="4">
        <v>0.8206066932593582</v>
      </c>
      <c r="M2257" s="4">
        <v>0.1793933067406418</v>
      </c>
      <c r="N2257">
        <v>6</v>
      </c>
    </row>
    <row r="2258" spans="1:14" x14ac:dyDescent="0.35">
      <c r="A2258" s="1">
        <v>2510</v>
      </c>
      <c r="B2258">
        <v>7</v>
      </c>
      <c r="C2258">
        <v>44</v>
      </c>
      <c r="D2258">
        <v>2</v>
      </c>
      <c r="E2258">
        <v>1</v>
      </c>
      <c r="F2258">
        <v>1</v>
      </c>
      <c r="G2258">
        <v>12</v>
      </c>
      <c r="H2258">
        <v>3</v>
      </c>
      <c r="I2258">
        <v>0.01</v>
      </c>
      <c r="J2258">
        <v>7</v>
      </c>
      <c r="K2258">
        <v>0</v>
      </c>
      <c r="L2258" s="4">
        <v>0.82085698438899124</v>
      </c>
      <c r="M2258" s="4">
        <v>0.1791430156110087</v>
      </c>
      <c r="N2258">
        <v>6</v>
      </c>
    </row>
    <row r="2259" spans="1:14" x14ac:dyDescent="0.35">
      <c r="A2259" s="1">
        <v>1584</v>
      </c>
      <c r="B2259">
        <v>8</v>
      </c>
      <c r="C2259">
        <v>57</v>
      </c>
      <c r="D2259">
        <v>1</v>
      </c>
      <c r="E2259">
        <v>0</v>
      </c>
      <c r="F2259">
        <v>0</v>
      </c>
      <c r="G2259">
        <v>4</v>
      </c>
      <c r="H2259">
        <v>0</v>
      </c>
      <c r="I2259">
        <v>10000</v>
      </c>
      <c r="J2259">
        <v>4</v>
      </c>
      <c r="K2259">
        <v>0</v>
      </c>
      <c r="L2259" s="4">
        <v>0.82087630164796377</v>
      </c>
      <c r="M2259" s="4">
        <v>0.1791236983520362</v>
      </c>
      <c r="N2259">
        <v>6</v>
      </c>
    </row>
    <row r="2260" spans="1:14" x14ac:dyDescent="0.35">
      <c r="A2260" s="1">
        <v>3075</v>
      </c>
      <c r="B2260">
        <v>8</v>
      </c>
      <c r="C2260">
        <v>47</v>
      </c>
      <c r="D2260">
        <v>3</v>
      </c>
      <c r="E2260">
        <v>1</v>
      </c>
      <c r="F2260">
        <v>3</v>
      </c>
      <c r="G2260">
        <v>8</v>
      </c>
      <c r="H2260">
        <v>3</v>
      </c>
      <c r="I2260">
        <v>0.01</v>
      </c>
      <c r="J2260">
        <v>5</v>
      </c>
      <c r="K2260">
        <v>0</v>
      </c>
      <c r="L2260" s="4">
        <v>0.82094061868100532</v>
      </c>
      <c r="M2260" s="4">
        <v>0.17905938131899471</v>
      </c>
      <c r="N2260">
        <v>6</v>
      </c>
    </row>
    <row r="2261" spans="1:14" x14ac:dyDescent="0.35">
      <c r="A2261" s="1">
        <v>899</v>
      </c>
      <c r="B2261">
        <v>8</v>
      </c>
      <c r="C2261">
        <v>52</v>
      </c>
      <c r="D2261">
        <v>4</v>
      </c>
      <c r="E2261">
        <v>0</v>
      </c>
      <c r="F2261">
        <v>3</v>
      </c>
      <c r="G2261">
        <v>3</v>
      </c>
      <c r="H2261">
        <v>3</v>
      </c>
      <c r="I2261">
        <v>0.01</v>
      </c>
      <c r="J2261">
        <v>8</v>
      </c>
      <c r="K2261">
        <v>0</v>
      </c>
      <c r="L2261" s="4">
        <v>0.82099836032720674</v>
      </c>
      <c r="M2261" s="4">
        <v>0.17900163967279331</v>
      </c>
      <c r="N2261">
        <v>6</v>
      </c>
    </row>
    <row r="2262" spans="1:14" x14ac:dyDescent="0.35">
      <c r="A2262" s="1">
        <v>4031</v>
      </c>
      <c r="B2262">
        <v>10</v>
      </c>
      <c r="C2262">
        <v>63</v>
      </c>
      <c r="D2262">
        <v>4</v>
      </c>
      <c r="E2262">
        <v>0</v>
      </c>
      <c r="F2262">
        <v>1</v>
      </c>
      <c r="G2262">
        <v>7</v>
      </c>
      <c r="H2262">
        <v>0</v>
      </c>
      <c r="I2262">
        <v>6000</v>
      </c>
      <c r="J2262">
        <v>4</v>
      </c>
      <c r="K2262">
        <v>1</v>
      </c>
      <c r="L2262" s="4">
        <v>0.82144240013596936</v>
      </c>
      <c r="M2262" s="4">
        <v>0.17855759986403061</v>
      </c>
      <c r="N2262">
        <v>6</v>
      </c>
    </row>
    <row r="2263" spans="1:14" x14ac:dyDescent="0.35">
      <c r="A2263" s="1">
        <v>1319</v>
      </c>
      <c r="B2263">
        <v>5</v>
      </c>
      <c r="C2263">
        <v>42</v>
      </c>
      <c r="D2263">
        <v>0</v>
      </c>
      <c r="E2263">
        <v>0</v>
      </c>
      <c r="F2263">
        <v>3</v>
      </c>
      <c r="G2263">
        <v>8</v>
      </c>
      <c r="H2263">
        <v>2</v>
      </c>
      <c r="I2263">
        <v>300</v>
      </c>
      <c r="J2263">
        <v>11</v>
      </c>
      <c r="K2263">
        <v>0</v>
      </c>
      <c r="L2263" s="4">
        <v>0.82148279999982421</v>
      </c>
      <c r="M2263" s="4">
        <v>0.17851720000017579</v>
      </c>
      <c r="N2263">
        <v>6</v>
      </c>
    </row>
    <row r="2264" spans="1:14" x14ac:dyDescent="0.35">
      <c r="A2264" s="1">
        <v>647</v>
      </c>
      <c r="B2264">
        <v>7</v>
      </c>
      <c r="C2264">
        <v>51</v>
      </c>
      <c r="D2264">
        <v>5</v>
      </c>
      <c r="E2264">
        <v>0</v>
      </c>
      <c r="F2264">
        <v>1</v>
      </c>
      <c r="G2264">
        <v>7</v>
      </c>
      <c r="H2264">
        <v>1</v>
      </c>
      <c r="I2264">
        <v>49910.05</v>
      </c>
      <c r="J2264">
        <v>10</v>
      </c>
      <c r="K2264">
        <v>0</v>
      </c>
      <c r="L2264" s="4">
        <v>0.8215771475669682</v>
      </c>
      <c r="M2264" s="4">
        <v>0.1784228524330318</v>
      </c>
      <c r="N2264">
        <v>6</v>
      </c>
    </row>
    <row r="2265" spans="1:14" x14ac:dyDescent="0.35">
      <c r="A2265" s="1">
        <v>819</v>
      </c>
      <c r="B2265">
        <v>14</v>
      </c>
      <c r="C2265">
        <v>72</v>
      </c>
      <c r="D2265">
        <v>2</v>
      </c>
      <c r="E2265">
        <v>1</v>
      </c>
      <c r="F2265">
        <v>4</v>
      </c>
      <c r="G2265">
        <v>9</v>
      </c>
      <c r="H2265">
        <v>2</v>
      </c>
      <c r="I2265">
        <v>1400</v>
      </c>
      <c r="J2265">
        <v>4</v>
      </c>
      <c r="K2265">
        <v>1</v>
      </c>
      <c r="L2265" s="4">
        <v>0.82162648098188684</v>
      </c>
      <c r="M2265" s="4">
        <v>0.17837351901811321</v>
      </c>
      <c r="N2265">
        <v>6</v>
      </c>
    </row>
    <row r="2266" spans="1:14" x14ac:dyDescent="0.35">
      <c r="A2266" s="1">
        <v>1814</v>
      </c>
      <c r="B2266">
        <v>8</v>
      </c>
      <c r="C2266">
        <v>48</v>
      </c>
      <c r="D2266">
        <v>4</v>
      </c>
      <c r="E2266">
        <v>1</v>
      </c>
      <c r="F2266">
        <v>1</v>
      </c>
      <c r="G2266">
        <v>12</v>
      </c>
      <c r="H2266">
        <v>2</v>
      </c>
      <c r="I2266">
        <v>2500</v>
      </c>
      <c r="J2266">
        <v>4</v>
      </c>
      <c r="K2266">
        <v>0</v>
      </c>
      <c r="L2266" s="4">
        <v>0.82164952642500433</v>
      </c>
      <c r="M2266" s="4">
        <v>0.1783504735749957</v>
      </c>
      <c r="N2266">
        <v>6</v>
      </c>
    </row>
    <row r="2267" spans="1:14" x14ac:dyDescent="0.35">
      <c r="A2267" s="1">
        <v>2952</v>
      </c>
      <c r="B2267">
        <v>12</v>
      </c>
      <c r="C2267">
        <v>70</v>
      </c>
      <c r="D2267">
        <v>1</v>
      </c>
      <c r="E2267">
        <v>0</v>
      </c>
      <c r="F2267">
        <v>3</v>
      </c>
      <c r="G2267">
        <v>8</v>
      </c>
      <c r="H2267">
        <v>2</v>
      </c>
      <c r="I2267">
        <v>4884.25</v>
      </c>
      <c r="J2267">
        <v>8</v>
      </c>
      <c r="K2267">
        <v>0</v>
      </c>
      <c r="L2267" s="4">
        <v>0.82172012168143882</v>
      </c>
      <c r="M2267" s="4">
        <v>0.17827987831856121</v>
      </c>
      <c r="N2267">
        <v>6</v>
      </c>
    </row>
    <row r="2268" spans="1:14" x14ac:dyDescent="0.35">
      <c r="A2268" s="1">
        <v>1663</v>
      </c>
      <c r="B2268">
        <v>9</v>
      </c>
      <c r="C2268">
        <v>61</v>
      </c>
      <c r="D2268">
        <v>2</v>
      </c>
      <c r="E2268">
        <v>0</v>
      </c>
      <c r="F2268">
        <v>0</v>
      </c>
      <c r="G2268">
        <v>2</v>
      </c>
      <c r="H2268">
        <v>0</v>
      </c>
      <c r="I2268">
        <v>7500</v>
      </c>
      <c r="J2268">
        <v>12</v>
      </c>
      <c r="K2268">
        <v>1</v>
      </c>
      <c r="L2268" s="4">
        <v>0.82176407688597708</v>
      </c>
      <c r="M2268" s="4">
        <v>0.178235923114023</v>
      </c>
      <c r="N2268">
        <v>6</v>
      </c>
    </row>
    <row r="2269" spans="1:14" x14ac:dyDescent="0.35">
      <c r="A2269" s="1">
        <v>1143</v>
      </c>
      <c r="B2269">
        <v>5</v>
      </c>
      <c r="C2269">
        <v>44</v>
      </c>
      <c r="D2269">
        <v>3</v>
      </c>
      <c r="E2269">
        <v>0</v>
      </c>
      <c r="F2269">
        <v>0</v>
      </c>
      <c r="G2269">
        <v>4</v>
      </c>
      <c r="H2269">
        <v>0</v>
      </c>
      <c r="I2269">
        <v>6000</v>
      </c>
      <c r="J2269">
        <v>5</v>
      </c>
      <c r="K2269">
        <v>1</v>
      </c>
      <c r="L2269" s="4">
        <v>0.8218529683652126</v>
      </c>
      <c r="M2269" s="4">
        <v>0.1781470316347874</v>
      </c>
      <c r="N2269">
        <v>6</v>
      </c>
    </row>
    <row r="2270" spans="1:14" x14ac:dyDescent="0.35">
      <c r="A2270" s="1">
        <v>1160</v>
      </c>
      <c r="B2270">
        <v>8</v>
      </c>
      <c r="C2270">
        <v>53</v>
      </c>
      <c r="D2270">
        <v>2</v>
      </c>
      <c r="E2270">
        <v>0</v>
      </c>
      <c r="F2270">
        <v>3</v>
      </c>
      <c r="G2270">
        <v>3</v>
      </c>
      <c r="H2270">
        <v>3</v>
      </c>
      <c r="I2270">
        <v>0.01</v>
      </c>
      <c r="J2270">
        <v>9</v>
      </c>
      <c r="K2270">
        <v>0</v>
      </c>
      <c r="L2270" s="4">
        <v>0.82191993630078142</v>
      </c>
      <c r="M2270" s="4">
        <v>0.17808006369921861</v>
      </c>
      <c r="N2270">
        <v>6</v>
      </c>
    </row>
    <row r="2271" spans="1:14" x14ac:dyDescent="0.35">
      <c r="A2271" s="1">
        <v>1684</v>
      </c>
      <c r="B2271">
        <v>11</v>
      </c>
      <c r="C2271">
        <v>66</v>
      </c>
      <c r="D2271">
        <v>5</v>
      </c>
      <c r="E2271">
        <v>0</v>
      </c>
      <c r="F2271">
        <v>0</v>
      </c>
      <c r="G2271">
        <v>2</v>
      </c>
      <c r="H2271">
        <v>2</v>
      </c>
      <c r="I2271">
        <v>1000</v>
      </c>
      <c r="J2271">
        <v>4</v>
      </c>
      <c r="K2271">
        <v>0</v>
      </c>
      <c r="L2271" s="4">
        <v>0.8219279773853978</v>
      </c>
      <c r="M2271" s="4">
        <v>0.1780720226146022</v>
      </c>
      <c r="N2271">
        <v>6</v>
      </c>
    </row>
    <row r="2272" spans="1:14" x14ac:dyDescent="0.35">
      <c r="A2272" s="1">
        <v>2020</v>
      </c>
      <c r="B2272">
        <v>6</v>
      </c>
      <c r="C2272">
        <v>46</v>
      </c>
      <c r="D2272">
        <v>4</v>
      </c>
      <c r="E2272">
        <v>0</v>
      </c>
      <c r="F2272">
        <v>0</v>
      </c>
      <c r="G2272">
        <v>4</v>
      </c>
      <c r="H2272">
        <v>2</v>
      </c>
      <c r="I2272">
        <v>2200</v>
      </c>
      <c r="J2272">
        <v>1</v>
      </c>
      <c r="K2272">
        <v>0</v>
      </c>
      <c r="L2272" s="4">
        <v>0.82217765440964663</v>
      </c>
      <c r="M2272" s="4">
        <v>0.1778223455903534</v>
      </c>
      <c r="N2272">
        <v>6</v>
      </c>
    </row>
    <row r="2273" spans="1:14" x14ac:dyDescent="0.35">
      <c r="A2273" s="1">
        <v>3621</v>
      </c>
      <c r="B2273">
        <v>6</v>
      </c>
      <c r="C2273">
        <v>48</v>
      </c>
      <c r="D2273">
        <v>2</v>
      </c>
      <c r="E2273">
        <v>0</v>
      </c>
      <c r="F2273">
        <v>0</v>
      </c>
      <c r="G2273">
        <v>10</v>
      </c>
      <c r="H2273">
        <v>0</v>
      </c>
      <c r="I2273">
        <v>6053.35</v>
      </c>
      <c r="J2273">
        <v>6</v>
      </c>
      <c r="K2273">
        <v>0</v>
      </c>
      <c r="L2273" s="4">
        <v>0.8221809100051739</v>
      </c>
      <c r="M2273" s="4">
        <v>0.1778190899948261</v>
      </c>
      <c r="N2273">
        <v>6</v>
      </c>
    </row>
    <row r="2274" spans="1:14" x14ac:dyDescent="0.35">
      <c r="A2274" s="1">
        <v>1625</v>
      </c>
      <c r="B2274">
        <v>8</v>
      </c>
      <c r="C2274">
        <v>52</v>
      </c>
      <c r="D2274">
        <v>5</v>
      </c>
      <c r="E2274">
        <v>0</v>
      </c>
      <c r="F2274">
        <v>3</v>
      </c>
      <c r="G2274">
        <v>8</v>
      </c>
      <c r="H2274">
        <v>2</v>
      </c>
      <c r="I2274">
        <v>0.02</v>
      </c>
      <c r="J2274">
        <v>9</v>
      </c>
      <c r="K2274">
        <v>0</v>
      </c>
      <c r="L2274" s="4">
        <v>0.82223728828998111</v>
      </c>
      <c r="M2274" s="4">
        <v>0.17776271171001889</v>
      </c>
      <c r="N2274">
        <v>6</v>
      </c>
    </row>
    <row r="2275" spans="1:14" x14ac:dyDescent="0.35">
      <c r="A2275" s="1">
        <v>2844</v>
      </c>
      <c r="B2275">
        <v>11</v>
      </c>
      <c r="C2275">
        <v>67</v>
      </c>
      <c r="D2275">
        <v>1</v>
      </c>
      <c r="E2275">
        <v>0</v>
      </c>
      <c r="F2275">
        <v>1</v>
      </c>
      <c r="G2275">
        <v>7</v>
      </c>
      <c r="H2275">
        <v>2</v>
      </c>
      <c r="I2275">
        <v>2400</v>
      </c>
      <c r="J2275">
        <v>9</v>
      </c>
      <c r="K2275">
        <v>0</v>
      </c>
      <c r="L2275" s="4">
        <v>0.82224311812232964</v>
      </c>
      <c r="M2275" s="4">
        <v>0.17775688187767039</v>
      </c>
      <c r="N2275">
        <v>6</v>
      </c>
    </row>
    <row r="2276" spans="1:14" x14ac:dyDescent="0.35">
      <c r="A2276" s="1">
        <v>3038</v>
      </c>
      <c r="B2276">
        <v>8</v>
      </c>
      <c r="C2276">
        <v>49</v>
      </c>
      <c r="D2276">
        <v>0</v>
      </c>
      <c r="E2276">
        <v>1</v>
      </c>
      <c r="F2276">
        <v>3</v>
      </c>
      <c r="G2276">
        <v>3</v>
      </c>
      <c r="H2276">
        <v>3</v>
      </c>
      <c r="I2276">
        <v>0.01</v>
      </c>
      <c r="J2276">
        <v>8</v>
      </c>
      <c r="K2276">
        <v>0</v>
      </c>
      <c r="L2276" s="4">
        <v>0.82242593295128819</v>
      </c>
      <c r="M2276" s="4">
        <v>0.17757406704871179</v>
      </c>
      <c r="N2276">
        <v>6</v>
      </c>
    </row>
    <row r="2277" spans="1:14" x14ac:dyDescent="0.35">
      <c r="A2277" s="1">
        <v>274</v>
      </c>
      <c r="B2277">
        <v>8</v>
      </c>
      <c r="C2277">
        <v>56</v>
      </c>
      <c r="D2277">
        <v>1</v>
      </c>
      <c r="E2277">
        <v>0</v>
      </c>
      <c r="F2277">
        <v>3</v>
      </c>
      <c r="G2277">
        <v>3</v>
      </c>
      <c r="H2277">
        <v>0</v>
      </c>
      <c r="I2277">
        <v>15000</v>
      </c>
      <c r="J2277">
        <v>4</v>
      </c>
      <c r="K2277">
        <v>0</v>
      </c>
      <c r="L2277" s="4">
        <v>0.8225690132730229</v>
      </c>
      <c r="M2277" s="4">
        <v>0.1774309867269771</v>
      </c>
      <c r="N2277">
        <v>6</v>
      </c>
    </row>
    <row r="2278" spans="1:14" x14ac:dyDescent="0.35">
      <c r="A2278" s="1">
        <v>4369</v>
      </c>
      <c r="B2278">
        <v>7</v>
      </c>
      <c r="C2278">
        <v>51</v>
      </c>
      <c r="D2278">
        <v>2</v>
      </c>
      <c r="E2278">
        <v>0</v>
      </c>
      <c r="F2278">
        <v>0</v>
      </c>
      <c r="G2278">
        <v>4</v>
      </c>
      <c r="H2278">
        <v>2</v>
      </c>
      <c r="I2278">
        <v>480</v>
      </c>
      <c r="J2278">
        <v>4</v>
      </c>
      <c r="K2278">
        <v>1</v>
      </c>
      <c r="L2278" s="4">
        <v>0.82268339664356549</v>
      </c>
      <c r="M2278" s="4">
        <v>0.17731660335643451</v>
      </c>
      <c r="N2278">
        <v>6</v>
      </c>
    </row>
    <row r="2279" spans="1:14" x14ac:dyDescent="0.35">
      <c r="A2279" s="1">
        <v>4307</v>
      </c>
      <c r="B2279">
        <v>6</v>
      </c>
      <c r="C2279">
        <v>47</v>
      </c>
      <c r="D2279">
        <v>2</v>
      </c>
      <c r="E2279">
        <v>0</v>
      </c>
      <c r="F2279">
        <v>0</v>
      </c>
      <c r="G2279">
        <v>4</v>
      </c>
      <c r="H2279">
        <v>2</v>
      </c>
      <c r="I2279">
        <v>3000</v>
      </c>
      <c r="J2279">
        <v>3</v>
      </c>
      <c r="K2279">
        <v>0</v>
      </c>
      <c r="L2279" s="4">
        <v>0.82271934742262964</v>
      </c>
      <c r="M2279" s="4">
        <v>0.17728065257737041</v>
      </c>
      <c r="N2279">
        <v>6</v>
      </c>
    </row>
    <row r="2280" spans="1:14" x14ac:dyDescent="0.35">
      <c r="A2280" s="1">
        <v>2764</v>
      </c>
      <c r="B2280">
        <v>12</v>
      </c>
      <c r="C2280">
        <v>70</v>
      </c>
      <c r="D2280">
        <v>5</v>
      </c>
      <c r="E2280">
        <v>0</v>
      </c>
      <c r="F2280">
        <v>0</v>
      </c>
      <c r="G2280">
        <v>4</v>
      </c>
      <c r="H2280">
        <v>2</v>
      </c>
      <c r="I2280">
        <v>1000</v>
      </c>
      <c r="J2280">
        <v>5</v>
      </c>
      <c r="K2280">
        <v>0</v>
      </c>
      <c r="L2280" s="4">
        <v>0.82290242634156452</v>
      </c>
      <c r="M2280" s="4">
        <v>0.17709757365843551</v>
      </c>
      <c r="N2280">
        <v>6</v>
      </c>
    </row>
    <row r="2281" spans="1:14" x14ac:dyDescent="0.35">
      <c r="A2281" s="1">
        <v>1591</v>
      </c>
      <c r="B2281">
        <v>8</v>
      </c>
      <c r="C2281">
        <v>50</v>
      </c>
      <c r="D2281">
        <v>1</v>
      </c>
      <c r="E2281">
        <v>1</v>
      </c>
      <c r="F2281">
        <v>0</v>
      </c>
      <c r="G2281">
        <v>4</v>
      </c>
      <c r="H2281">
        <v>3</v>
      </c>
      <c r="I2281">
        <v>0.01</v>
      </c>
      <c r="J2281">
        <v>8</v>
      </c>
      <c r="K2281">
        <v>0</v>
      </c>
      <c r="L2281" s="4">
        <v>0.82340104915703272</v>
      </c>
      <c r="M2281" s="4">
        <v>0.17659895084296731</v>
      </c>
      <c r="N2281">
        <v>6</v>
      </c>
    </row>
    <row r="2282" spans="1:14" x14ac:dyDescent="0.35">
      <c r="A2282" s="1">
        <v>1469</v>
      </c>
      <c r="B2282">
        <v>6</v>
      </c>
      <c r="C2282">
        <v>47</v>
      </c>
      <c r="D2282">
        <v>1</v>
      </c>
      <c r="E2282">
        <v>0</v>
      </c>
      <c r="F2282">
        <v>1</v>
      </c>
      <c r="G2282">
        <v>5</v>
      </c>
      <c r="H2282">
        <v>2</v>
      </c>
      <c r="I2282">
        <v>500</v>
      </c>
      <c r="J2282">
        <v>8</v>
      </c>
      <c r="K2282">
        <v>0</v>
      </c>
      <c r="L2282" s="4">
        <v>0.82347861328198002</v>
      </c>
      <c r="M2282" s="4">
        <v>0.17652138671802001</v>
      </c>
      <c r="N2282">
        <v>6</v>
      </c>
    </row>
    <row r="2283" spans="1:14" x14ac:dyDescent="0.35">
      <c r="A2283" s="1">
        <v>4027</v>
      </c>
      <c r="B2283">
        <v>11</v>
      </c>
      <c r="C2283">
        <v>67</v>
      </c>
      <c r="D2283">
        <v>3</v>
      </c>
      <c r="E2283">
        <v>0</v>
      </c>
      <c r="F2283">
        <v>3</v>
      </c>
      <c r="G2283">
        <v>8</v>
      </c>
      <c r="H2283">
        <v>0</v>
      </c>
      <c r="I2283">
        <v>6668.37</v>
      </c>
      <c r="J2283">
        <v>18</v>
      </c>
      <c r="K2283">
        <v>1</v>
      </c>
      <c r="L2283" s="4">
        <v>0.82347889628538096</v>
      </c>
      <c r="M2283" s="4">
        <v>0.1765211037146191</v>
      </c>
      <c r="N2283">
        <v>6</v>
      </c>
    </row>
    <row r="2284" spans="1:14" x14ac:dyDescent="0.35">
      <c r="A2284" s="1">
        <v>193</v>
      </c>
      <c r="B2284">
        <v>6</v>
      </c>
      <c r="C2284">
        <v>48</v>
      </c>
      <c r="D2284">
        <v>1</v>
      </c>
      <c r="E2284">
        <v>0</v>
      </c>
      <c r="F2284">
        <v>3</v>
      </c>
      <c r="G2284">
        <v>3</v>
      </c>
      <c r="H2284">
        <v>0</v>
      </c>
      <c r="I2284">
        <v>6053.35</v>
      </c>
      <c r="J2284">
        <v>15</v>
      </c>
      <c r="K2284">
        <v>0</v>
      </c>
      <c r="L2284" s="4">
        <v>0.82348997412589764</v>
      </c>
      <c r="M2284" s="4">
        <v>0.17651002587410239</v>
      </c>
      <c r="N2284">
        <v>6</v>
      </c>
    </row>
    <row r="2285" spans="1:14" x14ac:dyDescent="0.35">
      <c r="A2285" s="1">
        <v>661</v>
      </c>
      <c r="B2285">
        <v>8</v>
      </c>
      <c r="C2285">
        <v>55</v>
      </c>
      <c r="D2285">
        <v>1</v>
      </c>
      <c r="E2285">
        <v>0</v>
      </c>
      <c r="F2285">
        <v>2</v>
      </c>
      <c r="G2285">
        <v>1</v>
      </c>
      <c r="H2285">
        <v>2</v>
      </c>
      <c r="I2285">
        <v>2700</v>
      </c>
      <c r="J2285">
        <v>5</v>
      </c>
      <c r="K2285">
        <v>0</v>
      </c>
      <c r="L2285" s="4">
        <v>0.82358526304055335</v>
      </c>
      <c r="M2285" s="4">
        <v>0.17641473695944671</v>
      </c>
      <c r="N2285">
        <v>6</v>
      </c>
    </row>
    <row r="2286" spans="1:14" x14ac:dyDescent="0.35">
      <c r="A2286" s="1">
        <v>947</v>
      </c>
      <c r="B2286">
        <v>9</v>
      </c>
      <c r="C2286">
        <v>60</v>
      </c>
      <c r="D2286">
        <v>1</v>
      </c>
      <c r="E2286">
        <v>0</v>
      </c>
      <c r="F2286">
        <v>3</v>
      </c>
      <c r="G2286">
        <v>3</v>
      </c>
      <c r="H2286">
        <v>1</v>
      </c>
      <c r="I2286">
        <v>36075</v>
      </c>
      <c r="J2286">
        <v>4</v>
      </c>
      <c r="K2286">
        <v>0</v>
      </c>
      <c r="L2286" s="4">
        <v>0.82359310172392297</v>
      </c>
      <c r="M2286" s="4">
        <v>0.176406898276077</v>
      </c>
      <c r="N2286">
        <v>6</v>
      </c>
    </row>
    <row r="2287" spans="1:14" x14ac:dyDescent="0.35">
      <c r="A2287" s="1">
        <v>4033</v>
      </c>
      <c r="B2287">
        <v>9</v>
      </c>
      <c r="C2287">
        <v>59</v>
      </c>
      <c r="D2287">
        <v>1</v>
      </c>
      <c r="E2287">
        <v>0</v>
      </c>
      <c r="F2287">
        <v>0</v>
      </c>
      <c r="G2287">
        <v>4</v>
      </c>
      <c r="H2287">
        <v>3</v>
      </c>
      <c r="I2287">
        <v>0.01</v>
      </c>
      <c r="J2287">
        <v>8</v>
      </c>
      <c r="K2287">
        <v>0</v>
      </c>
      <c r="L2287" s="4">
        <v>0.82374557021340533</v>
      </c>
      <c r="M2287" s="4">
        <v>0.17625442978659461</v>
      </c>
      <c r="N2287">
        <v>6</v>
      </c>
    </row>
    <row r="2288" spans="1:14" x14ac:dyDescent="0.35">
      <c r="A2288" s="1">
        <v>3118</v>
      </c>
      <c r="B2288">
        <v>7</v>
      </c>
      <c r="C2288">
        <v>51</v>
      </c>
      <c r="D2288">
        <v>1</v>
      </c>
      <c r="E2288">
        <v>0</v>
      </c>
      <c r="F2288">
        <v>2</v>
      </c>
      <c r="G2288">
        <v>1</v>
      </c>
      <c r="H2288">
        <v>2</v>
      </c>
      <c r="I2288">
        <v>3000</v>
      </c>
      <c r="J2288">
        <v>6</v>
      </c>
      <c r="K2288">
        <v>0</v>
      </c>
      <c r="L2288" s="4">
        <v>0.82376728521945741</v>
      </c>
      <c r="M2288" s="4">
        <v>0.17623271478054259</v>
      </c>
      <c r="N2288">
        <v>6</v>
      </c>
    </row>
    <row r="2289" spans="1:14" x14ac:dyDescent="0.35">
      <c r="A2289" s="1">
        <v>1691</v>
      </c>
      <c r="B2289">
        <v>6</v>
      </c>
      <c r="C2289">
        <v>44</v>
      </c>
      <c r="D2289">
        <v>0</v>
      </c>
      <c r="E2289">
        <v>1</v>
      </c>
      <c r="F2289">
        <v>2</v>
      </c>
      <c r="G2289">
        <v>1</v>
      </c>
      <c r="H2289">
        <v>0</v>
      </c>
      <c r="I2289">
        <v>6000</v>
      </c>
      <c r="J2289">
        <v>5</v>
      </c>
      <c r="K2289">
        <v>0</v>
      </c>
      <c r="L2289" s="4">
        <v>0.82378212674127438</v>
      </c>
      <c r="M2289" s="4">
        <v>0.17621787325872559</v>
      </c>
      <c r="N2289">
        <v>6</v>
      </c>
    </row>
    <row r="2290" spans="1:14" x14ac:dyDescent="0.35">
      <c r="A2290" s="1">
        <v>3704</v>
      </c>
      <c r="B2290">
        <v>6</v>
      </c>
      <c r="C2290">
        <v>48</v>
      </c>
      <c r="D2290">
        <v>1</v>
      </c>
      <c r="E2290">
        <v>0</v>
      </c>
      <c r="F2290">
        <v>1</v>
      </c>
      <c r="G2290">
        <v>12</v>
      </c>
      <c r="H2290">
        <v>0</v>
      </c>
      <c r="I2290">
        <v>9000</v>
      </c>
      <c r="J2290">
        <v>2</v>
      </c>
      <c r="K2290">
        <v>0</v>
      </c>
      <c r="L2290" s="4">
        <v>0.8241451003498278</v>
      </c>
      <c r="M2290" s="4">
        <v>0.1758548996501722</v>
      </c>
      <c r="N2290">
        <v>6</v>
      </c>
    </row>
    <row r="2291" spans="1:14" x14ac:dyDescent="0.35">
      <c r="A2291" s="1">
        <v>3491</v>
      </c>
      <c r="B2291">
        <v>5</v>
      </c>
      <c r="C2291">
        <v>40</v>
      </c>
      <c r="D2291">
        <v>2</v>
      </c>
      <c r="E2291">
        <v>0</v>
      </c>
      <c r="F2291">
        <v>4</v>
      </c>
      <c r="G2291">
        <v>9</v>
      </c>
      <c r="H2291">
        <v>3</v>
      </c>
      <c r="I2291">
        <v>0.01</v>
      </c>
      <c r="J2291">
        <v>5</v>
      </c>
      <c r="K2291">
        <v>0</v>
      </c>
      <c r="L2291" s="4">
        <v>0.8241618598276732</v>
      </c>
      <c r="M2291" s="4">
        <v>0.17583814017232691</v>
      </c>
      <c r="N2291">
        <v>6</v>
      </c>
    </row>
    <row r="2292" spans="1:14" x14ac:dyDescent="0.35">
      <c r="A2292" s="1">
        <v>3525</v>
      </c>
      <c r="B2292">
        <v>10</v>
      </c>
      <c r="C2292">
        <v>51</v>
      </c>
      <c r="D2292">
        <v>2</v>
      </c>
      <c r="E2292">
        <v>2</v>
      </c>
      <c r="F2292">
        <v>3</v>
      </c>
      <c r="G2292">
        <v>8</v>
      </c>
      <c r="H2292">
        <v>3</v>
      </c>
      <c r="I2292">
        <v>0.01</v>
      </c>
      <c r="J2292">
        <v>5</v>
      </c>
      <c r="K2292">
        <v>0</v>
      </c>
      <c r="L2292" s="4">
        <v>0.82421476000004257</v>
      </c>
      <c r="M2292" s="4">
        <v>0.17578523999995749</v>
      </c>
      <c r="N2292">
        <v>6</v>
      </c>
    </row>
    <row r="2293" spans="1:14" x14ac:dyDescent="0.35">
      <c r="A2293" s="1">
        <v>1054</v>
      </c>
      <c r="B2293">
        <v>13</v>
      </c>
      <c r="C2293">
        <v>74</v>
      </c>
      <c r="D2293">
        <v>4</v>
      </c>
      <c r="E2293">
        <v>0</v>
      </c>
      <c r="F2293">
        <v>0</v>
      </c>
      <c r="G2293">
        <v>11</v>
      </c>
      <c r="H2293">
        <v>2</v>
      </c>
      <c r="I2293">
        <v>3000</v>
      </c>
      <c r="J2293">
        <v>2</v>
      </c>
      <c r="K2293">
        <v>1</v>
      </c>
      <c r="L2293" s="4">
        <v>0.82431664125876458</v>
      </c>
      <c r="M2293" s="4">
        <v>0.17568335874123539</v>
      </c>
      <c r="N2293">
        <v>6</v>
      </c>
    </row>
    <row r="2294" spans="1:14" x14ac:dyDescent="0.35">
      <c r="A2294" s="1">
        <v>1783</v>
      </c>
      <c r="B2294">
        <v>8</v>
      </c>
      <c r="C2294">
        <v>56</v>
      </c>
      <c r="D2294">
        <v>2</v>
      </c>
      <c r="E2294">
        <v>0</v>
      </c>
      <c r="F2294">
        <v>3</v>
      </c>
      <c r="G2294">
        <v>3</v>
      </c>
      <c r="H2294">
        <v>0</v>
      </c>
      <c r="I2294">
        <v>10300</v>
      </c>
      <c r="J2294">
        <v>21</v>
      </c>
      <c r="K2294">
        <v>0</v>
      </c>
      <c r="L2294" s="4">
        <v>0.82431787108494015</v>
      </c>
      <c r="M2294" s="4">
        <v>0.17568212891505991</v>
      </c>
      <c r="N2294">
        <v>6</v>
      </c>
    </row>
    <row r="2295" spans="1:14" x14ac:dyDescent="0.35">
      <c r="A2295" s="1">
        <v>0</v>
      </c>
      <c r="B2295">
        <v>10</v>
      </c>
      <c r="C2295">
        <v>58</v>
      </c>
      <c r="D2295">
        <v>3</v>
      </c>
      <c r="E2295">
        <v>1</v>
      </c>
      <c r="F2295">
        <v>3</v>
      </c>
      <c r="G2295">
        <v>8</v>
      </c>
      <c r="H2295">
        <v>0</v>
      </c>
      <c r="I2295">
        <v>12632.66</v>
      </c>
      <c r="J2295">
        <v>4</v>
      </c>
      <c r="K2295">
        <v>0</v>
      </c>
      <c r="L2295" s="4">
        <v>0.82435079596307603</v>
      </c>
      <c r="M2295" s="4">
        <v>0.17564920403692399</v>
      </c>
      <c r="N2295">
        <v>6</v>
      </c>
    </row>
    <row r="2296" spans="1:14" x14ac:dyDescent="0.35">
      <c r="A2296" s="1">
        <v>364</v>
      </c>
      <c r="B2296">
        <v>10</v>
      </c>
      <c r="C2296">
        <v>64</v>
      </c>
      <c r="D2296">
        <v>1</v>
      </c>
      <c r="E2296">
        <v>0</v>
      </c>
      <c r="F2296">
        <v>0</v>
      </c>
      <c r="G2296">
        <v>4</v>
      </c>
      <c r="H2296">
        <v>2</v>
      </c>
      <c r="I2296">
        <v>5000</v>
      </c>
      <c r="J2296">
        <v>8</v>
      </c>
      <c r="K2296">
        <v>0</v>
      </c>
      <c r="L2296" s="4">
        <v>0.82448253905504842</v>
      </c>
      <c r="M2296" s="4">
        <v>0.1755174609449516</v>
      </c>
      <c r="N2296">
        <v>6</v>
      </c>
    </row>
    <row r="2297" spans="1:14" x14ac:dyDescent="0.35">
      <c r="A2297" s="1">
        <v>2294</v>
      </c>
      <c r="B2297">
        <v>8</v>
      </c>
      <c r="C2297">
        <v>56</v>
      </c>
      <c r="D2297">
        <v>1</v>
      </c>
      <c r="E2297">
        <v>0</v>
      </c>
      <c r="F2297">
        <v>3</v>
      </c>
      <c r="G2297">
        <v>3</v>
      </c>
      <c r="H2297">
        <v>0</v>
      </c>
      <c r="I2297">
        <v>6000</v>
      </c>
      <c r="J2297">
        <v>5</v>
      </c>
      <c r="K2297">
        <v>0</v>
      </c>
      <c r="L2297" s="4">
        <v>0.82448968013332724</v>
      </c>
      <c r="M2297" s="4">
        <v>0.17551031986667279</v>
      </c>
      <c r="N2297">
        <v>6</v>
      </c>
    </row>
    <row r="2298" spans="1:14" x14ac:dyDescent="0.35">
      <c r="A2298" s="1">
        <v>2857</v>
      </c>
      <c r="B2298">
        <v>8</v>
      </c>
      <c r="C2298">
        <v>54</v>
      </c>
      <c r="D2298">
        <v>2</v>
      </c>
      <c r="E2298">
        <v>0</v>
      </c>
      <c r="F2298">
        <v>0</v>
      </c>
      <c r="G2298">
        <v>11</v>
      </c>
      <c r="H2298">
        <v>3</v>
      </c>
      <c r="I2298">
        <v>0.01</v>
      </c>
      <c r="J2298">
        <v>9</v>
      </c>
      <c r="K2298">
        <v>0</v>
      </c>
      <c r="L2298" s="4">
        <v>0.82465719836830753</v>
      </c>
      <c r="M2298" s="4">
        <v>0.1753428016316925</v>
      </c>
      <c r="N2298">
        <v>6</v>
      </c>
    </row>
    <row r="2299" spans="1:14" x14ac:dyDescent="0.35">
      <c r="A2299" s="1">
        <v>4012</v>
      </c>
      <c r="B2299">
        <v>9</v>
      </c>
      <c r="C2299">
        <v>51</v>
      </c>
      <c r="D2299">
        <v>1</v>
      </c>
      <c r="E2299">
        <v>2</v>
      </c>
      <c r="F2299">
        <v>1</v>
      </c>
      <c r="G2299">
        <v>5</v>
      </c>
      <c r="H2299">
        <v>0</v>
      </c>
      <c r="I2299">
        <v>6000</v>
      </c>
      <c r="J2299">
        <v>4</v>
      </c>
      <c r="K2299">
        <v>0</v>
      </c>
      <c r="L2299" s="4">
        <v>0.82474721685576757</v>
      </c>
      <c r="M2299" s="4">
        <v>0.1752527831442324</v>
      </c>
      <c r="N2299">
        <v>6</v>
      </c>
    </row>
    <row r="2300" spans="1:14" x14ac:dyDescent="0.35">
      <c r="A2300" s="1">
        <v>2855</v>
      </c>
      <c r="B2300">
        <v>9</v>
      </c>
      <c r="C2300">
        <v>60</v>
      </c>
      <c r="D2300">
        <v>1</v>
      </c>
      <c r="E2300">
        <v>0</v>
      </c>
      <c r="F2300">
        <v>3</v>
      </c>
      <c r="G2300">
        <v>3</v>
      </c>
      <c r="H2300">
        <v>0</v>
      </c>
      <c r="I2300">
        <v>6000</v>
      </c>
      <c r="J2300">
        <v>1</v>
      </c>
      <c r="K2300">
        <v>0</v>
      </c>
      <c r="L2300" s="4">
        <v>0.82479603038770133</v>
      </c>
      <c r="M2300" s="4">
        <v>0.1752039696122987</v>
      </c>
      <c r="N2300">
        <v>6</v>
      </c>
    </row>
    <row r="2301" spans="1:14" x14ac:dyDescent="0.35">
      <c r="A2301" s="1">
        <v>2865</v>
      </c>
      <c r="B2301">
        <v>8</v>
      </c>
      <c r="C2301">
        <v>51</v>
      </c>
      <c r="D2301">
        <v>1</v>
      </c>
      <c r="E2301">
        <v>1</v>
      </c>
      <c r="F2301">
        <v>0</v>
      </c>
      <c r="G2301">
        <v>2</v>
      </c>
      <c r="H2301">
        <v>2</v>
      </c>
      <c r="I2301">
        <v>420</v>
      </c>
      <c r="J2301">
        <v>1</v>
      </c>
      <c r="K2301">
        <v>0</v>
      </c>
      <c r="L2301" s="4">
        <v>0.8253558397840095</v>
      </c>
      <c r="M2301" s="4">
        <v>0.17464416021599061</v>
      </c>
      <c r="N2301">
        <v>6</v>
      </c>
    </row>
    <row r="2302" spans="1:14" x14ac:dyDescent="0.35">
      <c r="A2302" s="1">
        <v>1330</v>
      </c>
      <c r="B2302">
        <v>5</v>
      </c>
      <c r="C2302">
        <v>35</v>
      </c>
      <c r="D2302">
        <v>5</v>
      </c>
      <c r="E2302">
        <v>1</v>
      </c>
      <c r="F2302">
        <v>3</v>
      </c>
      <c r="G2302">
        <v>3</v>
      </c>
      <c r="H2302">
        <v>3</v>
      </c>
      <c r="I2302">
        <v>0.01</v>
      </c>
      <c r="J2302">
        <v>8</v>
      </c>
      <c r="K2302">
        <v>0</v>
      </c>
      <c r="L2302" s="4">
        <v>0.82536116109661051</v>
      </c>
      <c r="M2302" s="4">
        <v>0.17463883890338949</v>
      </c>
      <c r="N2302">
        <v>6</v>
      </c>
    </row>
    <row r="2303" spans="1:14" x14ac:dyDescent="0.35">
      <c r="A2303" s="1">
        <v>106</v>
      </c>
      <c r="B2303">
        <v>8</v>
      </c>
      <c r="C2303">
        <v>51</v>
      </c>
      <c r="D2303">
        <v>2</v>
      </c>
      <c r="E2303">
        <v>1</v>
      </c>
      <c r="F2303">
        <v>3</v>
      </c>
      <c r="G2303">
        <v>3</v>
      </c>
      <c r="H2303">
        <v>0</v>
      </c>
      <c r="I2303">
        <v>10600</v>
      </c>
      <c r="J2303">
        <v>9</v>
      </c>
      <c r="K2303">
        <v>0</v>
      </c>
      <c r="L2303" s="4">
        <v>0.82569581208302756</v>
      </c>
      <c r="M2303" s="4">
        <v>0.1743041879169725</v>
      </c>
      <c r="N2303">
        <v>6</v>
      </c>
    </row>
    <row r="2304" spans="1:14" x14ac:dyDescent="0.35">
      <c r="A2304" s="1">
        <v>230</v>
      </c>
      <c r="B2304">
        <v>7</v>
      </c>
      <c r="C2304">
        <v>53</v>
      </c>
      <c r="D2304">
        <v>1</v>
      </c>
      <c r="E2304">
        <v>0</v>
      </c>
      <c r="F2304">
        <v>0</v>
      </c>
      <c r="G2304">
        <v>11</v>
      </c>
      <c r="H2304">
        <v>0</v>
      </c>
      <c r="I2304">
        <v>15000</v>
      </c>
      <c r="J2304">
        <v>4</v>
      </c>
      <c r="K2304">
        <v>0</v>
      </c>
      <c r="L2304" s="4">
        <v>0.82573366800024672</v>
      </c>
      <c r="M2304" s="4">
        <v>0.1742663319997533</v>
      </c>
      <c r="N2304">
        <v>6</v>
      </c>
    </row>
    <row r="2305" spans="1:14" x14ac:dyDescent="0.35">
      <c r="A2305" s="1">
        <v>2311</v>
      </c>
      <c r="B2305">
        <v>10</v>
      </c>
      <c r="C2305">
        <v>64</v>
      </c>
      <c r="D2305">
        <v>1</v>
      </c>
      <c r="E2305">
        <v>0</v>
      </c>
      <c r="F2305">
        <v>3</v>
      </c>
      <c r="G2305">
        <v>8</v>
      </c>
      <c r="H2305">
        <v>0</v>
      </c>
      <c r="I2305">
        <v>12247.7</v>
      </c>
      <c r="J2305">
        <v>7</v>
      </c>
      <c r="K2305">
        <v>0</v>
      </c>
      <c r="L2305" s="4">
        <v>0.82575473060655336</v>
      </c>
      <c r="M2305" s="4">
        <v>0.17424526939344659</v>
      </c>
      <c r="N2305">
        <v>6</v>
      </c>
    </row>
    <row r="2306" spans="1:14" x14ac:dyDescent="0.35">
      <c r="A2306" s="1">
        <v>4081</v>
      </c>
      <c r="B2306">
        <v>9</v>
      </c>
      <c r="C2306">
        <v>52</v>
      </c>
      <c r="D2306">
        <v>1</v>
      </c>
      <c r="E2306">
        <v>1</v>
      </c>
      <c r="F2306">
        <v>4</v>
      </c>
      <c r="G2306">
        <v>9</v>
      </c>
      <c r="H2306">
        <v>3</v>
      </c>
      <c r="I2306">
        <v>0.01</v>
      </c>
      <c r="J2306">
        <v>8</v>
      </c>
      <c r="K2306">
        <v>0</v>
      </c>
      <c r="L2306" s="4">
        <v>0.82597121184305378</v>
      </c>
      <c r="M2306" s="4">
        <v>0.1740287881569462</v>
      </c>
      <c r="N2306">
        <v>6</v>
      </c>
    </row>
    <row r="2307" spans="1:14" x14ac:dyDescent="0.35">
      <c r="A2307" s="1">
        <v>1232</v>
      </c>
      <c r="B2307">
        <v>8</v>
      </c>
      <c r="C2307">
        <v>56</v>
      </c>
      <c r="D2307">
        <v>2</v>
      </c>
      <c r="E2307">
        <v>0</v>
      </c>
      <c r="F2307">
        <v>0</v>
      </c>
      <c r="G2307">
        <v>4</v>
      </c>
      <c r="H2307">
        <v>2</v>
      </c>
      <c r="I2307">
        <v>1000</v>
      </c>
      <c r="J2307">
        <v>30</v>
      </c>
      <c r="K2307">
        <v>0</v>
      </c>
      <c r="L2307" s="4">
        <v>0.82599964801281922</v>
      </c>
      <c r="M2307" s="4">
        <v>0.17400035198718081</v>
      </c>
      <c r="N2307">
        <v>6</v>
      </c>
    </row>
    <row r="2308" spans="1:14" x14ac:dyDescent="0.35">
      <c r="A2308" s="1">
        <v>3985</v>
      </c>
      <c r="B2308">
        <v>11</v>
      </c>
      <c r="C2308">
        <v>62</v>
      </c>
      <c r="D2308">
        <v>2</v>
      </c>
      <c r="E2308">
        <v>1</v>
      </c>
      <c r="F2308">
        <v>1</v>
      </c>
      <c r="G2308">
        <v>7</v>
      </c>
      <c r="H2308">
        <v>2</v>
      </c>
      <c r="I2308">
        <v>420</v>
      </c>
      <c r="J2308">
        <v>6</v>
      </c>
      <c r="K2308">
        <v>0</v>
      </c>
      <c r="L2308" s="4">
        <v>0.82629227468966726</v>
      </c>
      <c r="M2308" s="4">
        <v>0.17370772531033271</v>
      </c>
      <c r="N2308">
        <v>6</v>
      </c>
    </row>
    <row r="2309" spans="1:14" x14ac:dyDescent="0.35">
      <c r="A2309" s="1">
        <v>2896</v>
      </c>
      <c r="B2309">
        <v>5</v>
      </c>
      <c r="C2309">
        <v>38</v>
      </c>
      <c r="D2309">
        <v>0</v>
      </c>
      <c r="E2309">
        <v>1</v>
      </c>
      <c r="F2309">
        <v>3</v>
      </c>
      <c r="G2309">
        <v>3</v>
      </c>
      <c r="H2309">
        <v>2</v>
      </c>
      <c r="I2309">
        <v>3000</v>
      </c>
      <c r="J2309">
        <v>3</v>
      </c>
      <c r="K2309">
        <v>1</v>
      </c>
      <c r="L2309" s="4">
        <v>0.82630881791435173</v>
      </c>
      <c r="M2309" s="4">
        <v>0.17369118208564821</v>
      </c>
      <c r="N2309">
        <v>6</v>
      </c>
    </row>
    <row r="2310" spans="1:14" x14ac:dyDescent="0.35">
      <c r="A2310" s="1">
        <v>713</v>
      </c>
      <c r="B2310">
        <v>9</v>
      </c>
      <c r="C2310">
        <v>61</v>
      </c>
      <c r="D2310">
        <v>0</v>
      </c>
      <c r="E2310">
        <v>0</v>
      </c>
      <c r="F2310">
        <v>3</v>
      </c>
      <c r="G2310">
        <v>3</v>
      </c>
      <c r="H2310">
        <v>0</v>
      </c>
      <c r="I2310">
        <v>12150</v>
      </c>
      <c r="J2310">
        <v>11</v>
      </c>
      <c r="K2310">
        <v>0</v>
      </c>
      <c r="L2310" s="4">
        <v>0.82639591889765529</v>
      </c>
      <c r="M2310" s="4">
        <v>0.17360408110234471</v>
      </c>
      <c r="N2310">
        <v>6</v>
      </c>
    </row>
    <row r="2311" spans="1:14" x14ac:dyDescent="0.35">
      <c r="A2311" s="1">
        <v>2615</v>
      </c>
      <c r="B2311">
        <v>10</v>
      </c>
      <c r="C2311">
        <v>65</v>
      </c>
      <c r="D2311">
        <v>1</v>
      </c>
      <c r="E2311">
        <v>0</v>
      </c>
      <c r="F2311">
        <v>1</v>
      </c>
      <c r="G2311">
        <v>5</v>
      </c>
      <c r="H2311">
        <v>0</v>
      </c>
      <c r="I2311">
        <v>6000</v>
      </c>
      <c r="J2311">
        <v>1</v>
      </c>
      <c r="K2311">
        <v>1</v>
      </c>
      <c r="L2311" s="4">
        <v>0.82642030296849889</v>
      </c>
      <c r="M2311" s="4">
        <v>0.17357969703150111</v>
      </c>
      <c r="N2311">
        <v>6</v>
      </c>
    </row>
    <row r="2312" spans="1:14" x14ac:dyDescent="0.35">
      <c r="A2312" s="1">
        <v>2928</v>
      </c>
      <c r="B2312">
        <v>5</v>
      </c>
      <c r="C2312">
        <v>43</v>
      </c>
      <c r="D2312">
        <v>0</v>
      </c>
      <c r="E2312">
        <v>0</v>
      </c>
      <c r="F2312">
        <v>3</v>
      </c>
      <c r="G2312">
        <v>3</v>
      </c>
      <c r="H2312">
        <v>2</v>
      </c>
      <c r="I2312">
        <v>50</v>
      </c>
      <c r="J2312">
        <v>10</v>
      </c>
      <c r="K2312">
        <v>0</v>
      </c>
      <c r="L2312" s="4">
        <v>0.82647388995254401</v>
      </c>
      <c r="M2312" s="4">
        <v>0.17352611004745599</v>
      </c>
      <c r="N2312">
        <v>6</v>
      </c>
    </row>
    <row r="2313" spans="1:14" x14ac:dyDescent="0.35">
      <c r="A2313" s="1">
        <v>425</v>
      </c>
      <c r="B2313">
        <v>15</v>
      </c>
      <c r="C2313">
        <v>74</v>
      </c>
      <c r="D2313">
        <v>2</v>
      </c>
      <c r="E2313">
        <v>2</v>
      </c>
      <c r="F2313">
        <v>0</v>
      </c>
      <c r="G2313">
        <v>4</v>
      </c>
      <c r="H2313">
        <v>2</v>
      </c>
      <c r="I2313">
        <v>2000</v>
      </c>
      <c r="J2313">
        <v>1</v>
      </c>
      <c r="K2313">
        <v>1</v>
      </c>
      <c r="L2313" s="4">
        <v>0.82653331890257731</v>
      </c>
      <c r="M2313" s="4">
        <v>0.17346668109742269</v>
      </c>
      <c r="N2313">
        <v>6</v>
      </c>
    </row>
    <row r="2314" spans="1:14" x14ac:dyDescent="0.35">
      <c r="A2314" s="1">
        <v>1567</v>
      </c>
      <c r="B2314">
        <v>10</v>
      </c>
      <c r="C2314">
        <v>64</v>
      </c>
      <c r="D2314">
        <v>1</v>
      </c>
      <c r="E2314">
        <v>0</v>
      </c>
      <c r="F2314">
        <v>3</v>
      </c>
      <c r="G2314">
        <v>8</v>
      </c>
      <c r="H2314">
        <v>0</v>
      </c>
      <c r="I2314">
        <v>10000</v>
      </c>
      <c r="J2314">
        <v>5</v>
      </c>
      <c r="K2314">
        <v>0</v>
      </c>
      <c r="L2314" s="4">
        <v>0.8266438216402141</v>
      </c>
      <c r="M2314" s="4">
        <v>0.1733561783597859</v>
      </c>
      <c r="N2314">
        <v>6</v>
      </c>
    </row>
    <row r="2315" spans="1:14" x14ac:dyDescent="0.35">
      <c r="A2315" s="1">
        <v>570</v>
      </c>
      <c r="B2315">
        <v>8</v>
      </c>
      <c r="C2315">
        <v>48</v>
      </c>
      <c r="D2315">
        <v>5</v>
      </c>
      <c r="E2315">
        <v>1</v>
      </c>
      <c r="F2315">
        <v>1</v>
      </c>
      <c r="G2315">
        <v>5</v>
      </c>
      <c r="H2315">
        <v>3</v>
      </c>
      <c r="I2315">
        <v>0.01</v>
      </c>
      <c r="J2315">
        <v>5</v>
      </c>
      <c r="K2315">
        <v>0</v>
      </c>
      <c r="L2315" s="4">
        <v>0.82666796088650518</v>
      </c>
      <c r="M2315" s="4">
        <v>0.17333203911349479</v>
      </c>
      <c r="N2315">
        <v>6</v>
      </c>
    </row>
    <row r="2316" spans="1:14" x14ac:dyDescent="0.35">
      <c r="A2316" s="1">
        <v>706</v>
      </c>
      <c r="B2316">
        <v>9</v>
      </c>
      <c r="C2316">
        <v>58</v>
      </c>
      <c r="D2316">
        <v>0</v>
      </c>
      <c r="E2316">
        <v>0</v>
      </c>
      <c r="F2316">
        <v>3</v>
      </c>
      <c r="G2316">
        <v>8</v>
      </c>
      <c r="H2316">
        <v>3</v>
      </c>
      <c r="I2316">
        <v>0.01</v>
      </c>
      <c r="J2316">
        <v>8</v>
      </c>
      <c r="K2316">
        <v>0</v>
      </c>
      <c r="L2316" s="4">
        <v>0.826738867270853</v>
      </c>
      <c r="M2316" s="4">
        <v>0.173261132729147</v>
      </c>
      <c r="N2316">
        <v>6</v>
      </c>
    </row>
    <row r="2317" spans="1:14" x14ac:dyDescent="0.35">
      <c r="A2317" s="1">
        <v>4235</v>
      </c>
      <c r="B2317">
        <v>9</v>
      </c>
      <c r="C2317">
        <v>60</v>
      </c>
      <c r="D2317">
        <v>5</v>
      </c>
      <c r="E2317">
        <v>0</v>
      </c>
      <c r="F2317">
        <v>0</v>
      </c>
      <c r="G2317">
        <v>4</v>
      </c>
      <c r="H2317">
        <v>0</v>
      </c>
      <c r="I2317">
        <v>11000.01</v>
      </c>
      <c r="J2317">
        <v>4</v>
      </c>
      <c r="K2317">
        <v>0</v>
      </c>
      <c r="L2317" s="4">
        <v>0.82674031480124155</v>
      </c>
      <c r="M2317" s="4">
        <v>0.17325968519875851</v>
      </c>
      <c r="N2317">
        <v>6</v>
      </c>
    </row>
    <row r="2318" spans="1:14" x14ac:dyDescent="0.35">
      <c r="A2318" s="1">
        <v>1706</v>
      </c>
      <c r="B2318">
        <v>14</v>
      </c>
      <c r="C2318">
        <v>74</v>
      </c>
      <c r="D2318">
        <v>1</v>
      </c>
      <c r="E2318">
        <v>1</v>
      </c>
      <c r="F2318">
        <v>3</v>
      </c>
      <c r="G2318">
        <v>3</v>
      </c>
      <c r="H2318">
        <v>2</v>
      </c>
      <c r="I2318">
        <v>2000</v>
      </c>
      <c r="J2318">
        <v>1</v>
      </c>
      <c r="K2318">
        <v>0</v>
      </c>
      <c r="L2318" s="4">
        <v>0.82678024037864251</v>
      </c>
      <c r="M2318" s="4">
        <v>0.17321975962135749</v>
      </c>
      <c r="N2318">
        <v>6</v>
      </c>
    </row>
    <row r="2319" spans="1:14" x14ac:dyDescent="0.35">
      <c r="A2319" s="1">
        <v>637</v>
      </c>
      <c r="B2319">
        <v>7</v>
      </c>
      <c r="C2319">
        <v>51</v>
      </c>
      <c r="D2319">
        <v>2</v>
      </c>
      <c r="E2319">
        <v>0</v>
      </c>
      <c r="F2319">
        <v>0</v>
      </c>
      <c r="G2319">
        <v>2</v>
      </c>
      <c r="H2319">
        <v>3</v>
      </c>
      <c r="I2319">
        <v>0.01</v>
      </c>
      <c r="J2319">
        <v>7</v>
      </c>
      <c r="K2319">
        <v>0</v>
      </c>
      <c r="L2319" s="4">
        <v>0.82701032008957764</v>
      </c>
      <c r="M2319" s="4">
        <v>0.17298967991042241</v>
      </c>
      <c r="N2319">
        <v>6</v>
      </c>
    </row>
    <row r="2320" spans="1:14" x14ac:dyDescent="0.35">
      <c r="A2320" s="1">
        <v>2416</v>
      </c>
      <c r="B2320">
        <v>8</v>
      </c>
      <c r="C2320">
        <v>55</v>
      </c>
      <c r="D2320">
        <v>0</v>
      </c>
      <c r="E2320">
        <v>0</v>
      </c>
      <c r="F2320">
        <v>1</v>
      </c>
      <c r="G2320">
        <v>7</v>
      </c>
      <c r="H2320">
        <v>3</v>
      </c>
      <c r="I2320">
        <v>0.01</v>
      </c>
      <c r="J2320">
        <v>7</v>
      </c>
      <c r="K2320">
        <v>0</v>
      </c>
      <c r="L2320" s="4">
        <v>0.82704540987054975</v>
      </c>
      <c r="M2320" s="4">
        <v>0.1729545901294503</v>
      </c>
      <c r="N2320">
        <v>6</v>
      </c>
    </row>
    <row r="2321" spans="1:14" x14ac:dyDescent="0.35">
      <c r="A2321" s="1">
        <v>4102</v>
      </c>
      <c r="B2321">
        <v>8</v>
      </c>
      <c r="C2321">
        <v>50</v>
      </c>
      <c r="D2321">
        <v>2</v>
      </c>
      <c r="E2321">
        <v>1</v>
      </c>
      <c r="F2321">
        <v>2</v>
      </c>
      <c r="G2321">
        <v>1</v>
      </c>
      <c r="H2321">
        <v>2</v>
      </c>
      <c r="I2321">
        <v>3150</v>
      </c>
      <c r="J2321">
        <v>2</v>
      </c>
      <c r="K2321">
        <v>0</v>
      </c>
      <c r="L2321" s="4">
        <v>0.82705093524013229</v>
      </c>
      <c r="M2321" s="4">
        <v>0.17294906475986779</v>
      </c>
      <c r="N2321">
        <v>6</v>
      </c>
    </row>
    <row r="2322" spans="1:14" x14ac:dyDescent="0.35">
      <c r="A2322" s="1">
        <v>2028</v>
      </c>
      <c r="B2322">
        <v>8</v>
      </c>
      <c r="C2322">
        <v>55</v>
      </c>
      <c r="D2322">
        <v>1</v>
      </c>
      <c r="E2322">
        <v>0</v>
      </c>
      <c r="F2322">
        <v>3</v>
      </c>
      <c r="G2322">
        <v>3</v>
      </c>
      <c r="H2322">
        <v>2</v>
      </c>
      <c r="I2322">
        <v>500</v>
      </c>
      <c r="J2322">
        <v>19</v>
      </c>
      <c r="K2322">
        <v>0</v>
      </c>
      <c r="L2322" s="4">
        <v>0.8271821678806246</v>
      </c>
      <c r="M2322" s="4">
        <v>0.17281783211937529</v>
      </c>
      <c r="N2322">
        <v>6</v>
      </c>
    </row>
    <row r="2323" spans="1:14" x14ac:dyDescent="0.35">
      <c r="A2323" s="1">
        <v>1966</v>
      </c>
      <c r="B2323">
        <v>10</v>
      </c>
      <c r="C2323">
        <v>65</v>
      </c>
      <c r="D2323">
        <v>0</v>
      </c>
      <c r="E2323">
        <v>0</v>
      </c>
      <c r="F2323">
        <v>1</v>
      </c>
      <c r="G2323">
        <v>12</v>
      </c>
      <c r="H2323">
        <v>0</v>
      </c>
      <c r="I2323">
        <v>6000</v>
      </c>
      <c r="J2323">
        <v>6</v>
      </c>
      <c r="K2323">
        <v>0</v>
      </c>
      <c r="L2323" s="4">
        <v>0.82723621781635326</v>
      </c>
      <c r="M2323" s="4">
        <v>0.17276378218364671</v>
      </c>
      <c r="N2323">
        <v>6</v>
      </c>
    </row>
    <row r="2324" spans="1:14" x14ac:dyDescent="0.35">
      <c r="A2324" s="1">
        <v>1539</v>
      </c>
      <c r="B2324">
        <v>8</v>
      </c>
      <c r="C2324">
        <v>48</v>
      </c>
      <c r="D2324">
        <v>5</v>
      </c>
      <c r="E2324">
        <v>1</v>
      </c>
      <c r="F2324">
        <v>0</v>
      </c>
      <c r="G2324">
        <v>11</v>
      </c>
      <c r="H2324">
        <v>3</v>
      </c>
      <c r="I2324">
        <v>0.01</v>
      </c>
      <c r="J2324">
        <v>5</v>
      </c>
      <c r="K2324">
        <v>0</v>
      </c>
      <c r="L2324" s="4">
        <v>0.82731352637496203</v>
      </c>
      <c r="M2324" s="4">
        <v>0.17268647362503789</v>
      </c>
      <c r="N2324">
        <v>6</v>
      </c>
    </row>
    <row r="2325" spans="1:14" x14ac:dyDescent="0.35">
      <c r="A2325" s="1">
        <v>937</v>
      </c>
      <c r="B2325">
        <v>13</v>
      </c>
      <c r="C2325">
        <v>74</v>
      </c>
      <c r="D2325">
        <v>2</v>
      </c>
      <c r="E2325">
        <v>0</v>
      </c>
      <c r="F2325">
        <v>3</v>
      </c>
      <c r="G2325">
        <v>8</v>
      </c>
      <c r="H2325">
        <v>2</v>
      </c>
      <c r="I2325">
        <v>600</v>
      </c>
      <c r="J2325">
        <v>1</v>
      </c>
      <c r="K2325">
        <v>0</v>
      </c>
      <c r="L2325" s="4">
        <v>0.82738755118322849</v>
      </c>
      <c r="M2325" s="4">
        <v>0.17261244881677151</v>
      </c>
      <c r="N2325">
        <v>6</v>
      </c>
    </row>
    <row r="2326" spans="1:14" x14ac:dyDescent="0.35">
      <c r="A2326" s="1">
        <v>4201</v>
      </c>
      <c r="B2326">
        <v>7</v>
      </c>
      <c r="C2326">
        <v>50</v>
      </c>
      <c r="D2326">
        <v>3</v>
      </c>
      <c r="E2326">
        <v>0</v>
      </c>
      <c r="F2326">
        <v>1</v>
      </c>
      <c r="G2326">
        <v>12</v>
      </c>
      <c r="H2326">
        <v>2</v>
      </c>
      <c r="I2326">
        <v>0.02</v>
      </c>
      <c r="J2326">
        <v>9</v>
      </c>
      <c r="K2326">
        <v>0</v>
      </c>
      <c r="L2326" s="4">
        <v>0.82742004533255353</v>
      </c>
      <c r="M2326" s="4">
        <v>0.17257995466744641</v>
      </c>
      <c r="N2326">
        <v>6</v>
      </c>
    </row>
    <row r="2327" spans="1:14" x14ac:dyDescent="0.35">
      <c r="A2327" s="1">
        <v>3990</v>
      </c>
      <c r="B2327">
        <v>7</v>
      </c>
      <c r="C2327">
        <v>52</v>
      </c>
      <c r="D2327">
        <v>2</v>
      </c>
      <c r="E2327">
        <v>0</v>
      </c>
      <c r="F2327">
        <v>1</v>
      </c>
      <c r="G2327">
        <v>12</v>
      </c>
      <c r="H2327">
        <v>0</v>
      </c>
      <c r="I2327">
        <v>6000</v>
      </c>
      <c r="J2327">
        <v>6</v>
      </c>
      <c r="K2327">
        <v>0</v>
      </c>
      <c r="L2327" s="4">
        <v>0.82744999590699042</v>
      </c>
      <c r="M2327" s="4">
        <v>0.17255000409300961</v>
      </c>
      <c r="N2327">
        <v>6</v>
      </c>
    </row>
    <row r="2328" spans="1:14" x14ac:dyDescent="0.35">
      <c r="A2328" s="1">
        <v>3085</v>
      </c>
      <c r="B2328">
        <v>9</v>
      </c>
      <c r="C2328">
        <v>59</v>
      </c>
      <c r="D2328">
        <v>2</v>
      </c>
      <c r="E2328">
        <v>0</v>
      </c>
      <c r="F2328">
        <v>0</v>
      </c>
      <c r="G2328">
        <v>4</v>
      </c>
      <c r="H2328">
        <v>3</v>
      </c>
      <c r="I2328">
        <v>0.01</v>
      </c>
      <c r="J2328">
        <v>8</v>
      </c>
      <c r="K2328">
        <v>1</v>
      </c>
      <c r="L2328" s="4">
        <v>0.82753193422703464</v>
      </c>
      <c r="M2328" s="4">
        <v>0.17246806577296539</v>
      </c>
      <c r="N2328">
        <v>6</v>
      </c>
    </row>
    <row r="2329" spans="1:14" x14ac:dyDescent="0.35">
      <c r="A2329" s="1">
        <v>3601</v>
      </c>
      <c r="B2329">
        <v>13</v>
      </c>
      <c r="C2329">
        <v>75</v>
      </c>
      <c r="D2329">
        <v>4</v>
      </c>
      <c r="E2329">
        <v>0</v>
      </c>
      <c r="F2329">
        <v>0</v>
      </c>
      <c r="G2329">
        <v>4</v>
      </c>
      <c r="H2329">
        <v>2</v>
      </c>
      <c r="I2329">
        <v>1000</v>
      </c>
      <c r="J2329">
        <v>4</v>
      </c>
      <c r="K2329">
        <v>0</v>
      </c>
      <c r="L2329" s="4">
        <v>0.82753702038978116</v>
      </c>
      <c r="M2329" s="4">
        <v>0.17246297961021889</v>
      </c>
      <c r="N2329">
        <v>6</v>
      </c>
    </row>
    <row r="2330" spans="1:14" x14ac:dyDescent="0.35">
      <c r="A2330" s="1">
        <v>3559</v>
      </c>
      <c r="B2330">
        <v>10</v>
      </c>
      <c r="C2330">
        <v>65</v>
      </c>
      <c r="D2330">
        <v>0</v>
      </c>
      <c r="E2330">
        <v>0</v>
      </c>
      <c r="F2330">
        <v>3</v>
      </c>
      <c r="G2330">
        <v>3</v>
      </c>
      <c r="H2330">
        <v>0</v>
      </c>
      <c r="I2330">
        <v>10000</v>
      </c>
      <c r="J2330">
        <v>5</v>
      </c>
      <c r="K2330">
        <v>1</v>
      </c>
      <c r="L2330" s="4">
        <v>0.82756245462538158</v>
      </c>
      <c r="M2330" s="4">
        <v>0.17243754537461839</v>
      </c>
      <c r="N2330">
        <v>6</v>
      </c>
    </row>
    <row r="2331" spans="1:14" x14ac:dyDescent="0.35">
      <c r="A2331" s="1">
        <v>701</v>
      </c>
      <c r="B2331">
        <v>7</v>
      </c>
      <c r="C2331">
        <v>51</v>
      </c>
      <c r="D2331">
        <v>2</v>
      </c>
      <c r="E2331">
        <v>0</v>
      </c>
      <c r="F2331">
        <v>1</v>
      </c>
      <c r="G2331">
        <v>7</v>
      </c>
      <c r="H2331">
        <v>2</v>
      </c>
      <c r="I2331">
        <v>3000</v>
      </c>
      <c r="J2331">
        <v>8</v>
      </c>
      <c r="K2331">
        <v>0</v>
      </c>
      <c r="L2331" s="4">
        <v>0.82783022996381317</v>
      </c>
      <c r="M2331" s="4">
        <v>0.17216977003618689</v>
      </c>
      <c r="N2331">
        <v>6</v>
      </c>
    </row>
    <row r="2332" spans="1:14" x14ac:dyDescent="0.35">
      <c r="A2332" s="1">
        <v>3839</v>
      </c>
      <c r="B2332">
        <v>8</v>
      </c>
      <c r="C2332">
        <v>49</v>
      </c>
      <c r="D2332">
        <v>3</v>
      </c>
      <c r="E2332">
        <v>1</v>
      </c>
      <c r="F2332">
        <v>1</v>
      </c>
      <c r="G2332">
        <v>5</v>
      </c>
      <c r="H2332">
        <v>3</v>
      </c>
      <c r="I2332">
        <v>0.01</v>
      </c>
      <c r="J2332">
        <v>4</v>
      </c>
      <c r="K2332">
        <v>0</v>
      </c>
      <c r="L2332" s="4">
        <v>0.82793292603134461</v>
      </c>
      <c r="M2332" s="4">
        <v>0.17206707396865531</v>
      </c>
      <c r="N2332">
        <v>6</v>
      </c>
    </row>
    <row r="2333" spans="1:14" x14ac:dyDescent="0.35">
      <c r="A2333" s="1">
        <v>393</v>
      </c>
      <c r="B2333">
        <v>8</v>
      </c>
      <c r="C2333">
        <v>54</v>
      </c>
      <c r="D2333">
        <v>3</v>
      </c>
      <c r="E2333">
        <v>0</v>
      </c>
      <c r="F2333">
        <v>3</v>
      </c>
      <c r="G2333">
        <v>3</v>
      </c>
      <c r="H2333">
        <v>2</v>
      </c>
      <c r="I2333">
        <v>300.01</v>
      </c>
      <c r="J2333">
        <v>9</v>
      </c>
      <c r="K2333">
        <v>1</v>
      </c>
      <c r="L2333" s="4">
        <v>0.82798182696754374</v>
      </c>
      <c r="M2333" s="4">
        <v>0.1720181730324562</v>
      </c>
      <c r="N2333">
        <v>6</v>
      </c>
    </row>
    <row r="2334" spans="1:14" x14ac:dyDescent="0.35">
      <c r="A2334" s="1">
        <v>186</v>
      </c>
      <c r="B2334">
        <v>10</v>
      </c>
      <c r="C2334">
        <v>63</v>
      </c>
      <c r="D2334">
        <v>1</v>
      </c>
      <c r="E2334">
        <v>0</v>
      </c>
      <c r="F2334">
        <v>3</v>
      </c>
      <c r="G2334">
        <v>3</v>
      </c>
      <c r="H2334">
        <v>2</v>
      </c>
      <c r="I2334">
        <v>1100</v>
      </c>
      <c r="J2334">
        <v>9</v>
      </c>
      <c r="K2334">
        <v>0</v>
      </c>
      <c r="L2334" s="4">
        <v>0.82801546619927879</v>
      </c>
      <c r="M2334" s="4">
        <v>0.17198453380072121</v>
      </c>
      <c r="N2334">
        <v>6</v>
      </c>
    </row>
    <row r="2335" spans="1:14" x14ac:dyDescent="0.35">
      <c r="A2335" s="1">
        <v>3193</v>
      </c>
      <c r="B2335">
        <v>6</v>
      </c>
      <c r="C2335">
        <v>44</v>
      </c>
      <c r="D2335">
        <v>5</v>
      </c>
      <c r="E2335">
        <v>0</v>
      </c>
      <c r="F2335">
        <v>4</v>
      </c>
      <c r="G2335">
        <v>9</v>
      </c>
      <c r="H2335">
        <v>2</v>
      </c>
      <c r="I2335">
        <v>0.02</v>
      </c>
      <c r="J2335">
        <v>8</v>
      </c>
      <c r="K2335">
        <v>0</v>
      </c>
      <c r="L2335" s="4">
        <v>0.82818555471982125</v>
      </c>
      <c r="M2335" s="4">
        <v>0.17181444528017881</v>
      </c>
      <c r="N2335">
        <v>6</v>
      </c>
    </row>
    <row r="2336" spans="1:14" x14ac:dyDescent="0.35">
      <c r="A2336" s="1">
        <v>1087</v>
      </c>
      <c r="B2336">
        <v>8</v>
      </c>
      <c r="C2336">
        <v>50</v>
      </c>
      <c r="D2336">
        <v>5</v>
      </c>
      <c r="E2336">
        <v>1</v>
      </c>
      <c r="F2336">
        <v>1</v>
      </c>
      <c r="G2336">
        <v>12</v>
      </c>
      <c r="H2336">
        <v>0</v>
      </c>
      <c r="I2336">
        <v>6000</v>
      </c>
      <c r="J2336">
        <v>10</v>
      </c>
      <c r="K2336">
        <v>0</v>
      </c>
      <c r="L2336" s="4">
        <v>0.82818818147954498</v>
      </c>
      <c r="M2336" s="4">
        <v>0.17181181852045499</v>
      </c>
      <c r="N2336">
        <v>6</v>
      </c>
    </row>
    <row r="2337" spans="1:14" x14ac:dyDescent="0.35">
      <c r="A2337" s="1">
        <v>3078</v>
      </c>
      <c r="B2337">
        <v>9</v>
      </c>
      <c r="C2337">
        <v>59</v>
      </c>
      <c r="D2337">
        <v>1</v>
      </c>
      <c r="E2337">
        <v>0</v>
      </c>
      <c r="F2337">
        <v>3</v>
      </c>
      <c r="G2337">
        <v>3</v>
      </c>
      <c r="H2337">
        <v>2</v>
      </c>
      <c r="I2337">
        <v>3000</v>
      </c>
      <c r="J2337">
        <v>8</v>
      </c>
      <c r="K2337">
        <v>0</v>
      </c>
      <c r="L2337" s="4">
        <v>0.8281927514736549</v>
      </c>
      <c r="M2337" s="4">
        <v>0.1718072485263451</v>
      </c>
      <c r="N2337">
        <v>6</v>
      </c>
    </row>
    <row r="2338" spans="1:14" x14ac:dyDescent="0.35">
      <c r="A2338" s="1">
        <v>1263</v>
      </c>
      <c r="B2338">
        <v>10</v>
      </c>
      <c r="C2338">
        <v>62</v>
      </c>
      <c r="D2338">
        <v>3</v>
      </c>
      <c r="E2338">
        <v>0</v>
      </c>
      <c r="F2338">
        <v>3</v>
      </c>
      <c r="G2338">
        <v>3</v>
      </c>
      <c r="H2338">
        <v>2</v>
      </c>
      <c r="I2338">
        <v>1000</v>
      </c>
      <c r="J2338">
        <v>2</v>
      </c>
      <c r="K2338">
        <v>0</v>
      </c>
      <c r="L2338" s="4">
        <v>0.8282414730438401</v>
      </c>
      <c r="M2338" s="4">
        <v>0.17175852695616001</v>
      </c>
      <c r="N2338">
        <v>6</v>
      </c>
    </row>
    <row r="2339" spans="1:14" x14ac:dyDescent="0.35">
      <c r="A2339" s="1">
        <v>1204</v>
      </c>
      <c r="B2339">
        <v>9</v>
      </c>
      <c r="C2339">
        <v>60</v>
      </c>
      <c r="D2339">
        <v>1</v>
      </c>
      <c r="E2339">
        <v>0</v>
      </c>
      <c r="F2339">
        <v>3</v>
      </c>
      <c r="G2339">
        <v>8</v>
      </c>
      <c r="H2339">
        <v>0</v>
      </c>
      <c r="I2339">
        <v>6220</v>
      </c>
      <c r="J2339">
        <v>3</v>
      </c>
      <c r="K2339">
        <v>1</v>
      </c>
      <c r="L2339" s="4">
        <v>0.82831156477613532</v>
      </c>
      <c r="M2339" s="4">
        <v>0.1716884352238647</v>
      </c>
      <c r="N2339">
        <v>6</v>
      </c>
    </row>
    <row r="2340" spans="1:14" x14ac:dyDescent="0.35">
      <c r="A2340" s="1">
        <v>2046</v>
      </c>
      <c r="B2340">
        <v>9</v>
      </c>
      <c r="C2340">
        <v>59</v>
      </c>
      <c r="D2340">
        <v>1</v>
      </c>
      <c r="E2340">
        <v>0</v>
      </c>
      <c r="F2340">
        <v>3</v>
      </c>
      <c r="G2340">
        <v>3</v>
      </c>
      <c r="H2340">
        <v>2</v>
      </c>
      <c r="I2340">
        <v>50</v>
      </c>
      <c r="J2340">
        <v>11</v>
      </c>
      <c r="K2340">
        <v>0</v>
      </c>
      <c r="L2340" s="4">
        <v>0.82832048757782828</v>
      </c>
      <c r="M2340" s="4">
        <v>0.17167951242217169</v>
      </c>
      <c r="N2340">
        <v>6</v>
      </c>
    </row>
    <row r="2341" spans="1:14" x14ac:dyDescent="0.35">
      <c r="A2341" s="1">
        <v>2763</v>
      </c>
      <c r="B2341">
        <v>8</v>
      </c>
      <c r="C2341">
        <v>43</v>
      </c>
      <c r="D2341">
        <v>4</v>
      </c>
      <c r="E2341">
        <v>2</v>
      </c>
      <c r="F2341">
        <v>3</v>
      </c>
      <c r="G2341">
        <v>3</v>
      </c>
      <c r="H2341">
        <v>3</v>
      </c>
      <c r="I2341">
        <v>0.01</v>
      </c>
      <c r="J2341">
        <v>7</v>
      </c>
      <c r="K2341">
        <v>1</v>
      </c>
      <c r="L2341" s="4">
        <v>0.82832453073250811</v>
      </c>
      <c r="M2341" s="4">
        <v>0.17167546926749189</v>
      </c>
      <c r="N2341">
        <v>6</v>
      </c>
    </row>
    <row r="2342" spans="1:14" x14ac:dyDescent="0.35">
      <c r="A2342" s="1">
        <v>3755</v>
      </c>
      <c r="B2342">
        <v>6</v>
      </c>
      <c r="C2342">
        <v>45</v>
      </c>
      <c r="D2342">
        <v>5</v>
      </c>
      <c r="E2342">
        <v>0</v>
      </c>
      <c r="F2342">
        <v>0</v>
      </c>
      <c r="G2342">
        <v>11</v>
      </c>
      <c r="H2342">
        <v>3</v>
      </c>
      <c r="I2342">
        <v>0.01</v>
      </c>
      <c r="J2342">
        <v>8</v>
      </c>
      <c r="K2342">
        <v>0</v>
      </c>
      <c r="L2342" s="4">
        <v>0.82839392527421862</v>
      </c>
      <c r="M2342" s="4">
        <v>0.1716060747257814</v>
      </c>
      <c r="N2342">
        <v>6</v>
      </c>
    </row>
    <row r="2343" spans="1:14" x14ac:dyDescent="0.35">
      <c r="A2343" s="1">
        <v>2933</v>
      </c>
      <c r="B2343">
        <v>9</v>
      </c>
      <c r="C2343">
        <v>59</v>
      </c>
      <c r="D2343">
        <v>5</v>
      </c>
      <c r="E2343">
        <v>0</v>
      </c>
      <c r="F2343">
        <v>3</v>
      </c>
      <c r="G2343">
        <v>3</v>
      </c>
      <c r="H2343">
        <v>0</v>
      </c>
      <c r="I2343">
        <v>5200</v>
      </c>
      <c r="J2343">
        <v>16</v>
      </c>
      <c r="K2343">
        <v>0</v>
      </c>
      <c r="L2343" s="4">
        <v>0.82867059243851604</v>
      </c>
      <c r="M2343" s="4">
        <v>0.17132940756148399</v>
      </c>
      <c r="N2343">
        <v>6</v>
      </c>
    </row>
    <row r="2344" spans="1:14" x14ac:dyDescent="0.35">
      <c r="A2344" s="1">
        <v>307</v>
      </c>
      <c r="B2344">
        <v>7</v>
      </c>
      <c r="C2344">
        <v>51</v>
      </c>
      <c r="D2344">
        <v>2</v>
      </c>
      <c r="E2344">
        <v>0</v>
      </c>
      <c r="F2344">
        <v>1</v>
      </c>
      <c r="G2344">
        <v>7</v>
      </c>
      <c r="H2344">
        <v>2</v>
      </c>
      <c r="I2344">
        <v>1000</v>
      </c>
      <c r="J2344">
        <v>5</v>
      </c>
      <c r="K2344">
        <v>0</v>
      </c>
      <c r="L2344" s="4">
        <v>0.8288366514818164</v>
      </c>
      <c r="M2344" s="4">
        <v>0.17116334851818349</v>
      </c>
      <c r="N2344">
        <v>6</v>
      </c>
    </row>
    <row r="2345" spans="1:14" x14ac:dyDescent="0.35">
      <c r="A2345" s="1">
        <v>641</v>
      </c>
      <c r="B2345">
        <v>7</v>
      </c>
      <c r="C2345">
        <v>52</v>
      </c>
      <c r="D2345">
        <v>2</v>
      </c>
      <c r="E2345">
        <v>0</v>
      </c>
      <c r="F2345">
        <v>3</v>
      </c>
      <c r="G2345">
        <v>3</v>
      </c>
      <c r="H2345">
        <v>0</v>
      </c>
      <c r="I2345">
        <v>6000</v>
      </c>
      <c r="J2345">
        <v>2</v>
      </c>
      <c r="K2345">
        <v>0</v>
      </c>
      <c r="L2345" s="4">
        <v>0.82923937915897294</v>
      </c>
      <c r="M2345" s="4">
        <v>0.17076062084102711</v>
      </c>
      <c r="N2345">
        <v>6</v>
      </c>
    </row>
    <row r="2346" spans="1:14" x14ac:dyDescent="0.35">
      <c r="A2346" s="1">
        <v>1189</v>
      </c>
      <c r="B2346">
        <v>12</v>
      </c>
      <c r="C2346">
        <v>66</v>
      </c>
      <c r="D2346">
        <v>2</v>
      </c>
      <c r="E2346">
        <v>1</v>
      </c>
      <c r="F2346">
        <v>3</v>
      </c>
      <c r="G2346">
        <v>3</v>
      </c>
      <c r="H2346">
        <v>2</v>
      </c>
      <c r="I2346">
        <v>1000</v>
      </c>
      <c r="J2346">
        <v>12</v>
      </c>
      <c r="K2346">
        <v>0</v>
      </c>
      <c r="L2346" s="4">
        <v>0.82960061331396562</v>
      </c>
      <c r="M2346" s="4">
        <v>0.17039938668603441</v>
      </c>
      <c r="N2346">
        <v>6</v>
      </c>
    </row>
    <row r="2347" spans="1:14" x14ac:dyDescent="0.35">
      <c r="A2347" s="1">
        <v>2316</v>
      </c>
      <c r="B2347">
        <v>7</v>
      </c>
      <c r="C2347">
        <v>49</v>
      </c>
      <c r="D2347">
        <v>5</v>
      </c>
      <c r="E2347">
        <v>0</v>
      </c>
      <c r="F2347">
        <v>1</v>
      </c>
      <c r="G2347">
        <v>7</v>
      </c>
      <c r="H2347">
        <v>3</v>
      </c>
      <c r="I2347">
        <v>0.01</v>
      </c>
      <c r="J2347">
        <v>4</v>
      </c>
      <c r="K2347">
        <v>0</v>
      </c>
      <c r="L2347" s="4">
        <v>0.82961096385391875</v>
      </c>
      <c r="M2347" s="4">
        <v>0.17038903614608131</v>
      </c>
      <c r="N2347">
        <v>6</v>
      </c>
    </row>
    <row r="2348" spans="1:14" x14ac:dyDescent="0.35">
      <c r="A2348" s="1">
        <v>4048</v>
      </c>
      <c r="B2348">
        <v>10</v>
      </c>
      <c r="C2348">
        <v>63</v>
      </c>
      <c r="D2348">
        <v>1</v>
      </c>
      <c r="E2348">
        <v>0</v>
      </c>
      <c r="F2348">
        <v>1</v>
      </c>
      <c r="G2348">
        <v>7</v>
      </c>
      <c r="H2348">
        <v>3</v>
      </c>
      <c r="I2348">
        <v>0.01</v>
      </c>
      <c r="J2348">
        <v>8</v>
      </c>
      <c r="K2348">
        <v>0</v>
      </c>
      <c r="L2348" s="4">
        <v>0.82974264773909934</v>
      </c>
      <c r="M2348" s="4">
        <v>0.17025735226090061</v>
      </c>
      <c r="N2348">
        <v>6</v>
      </c>
    </row>
    <row r="2349" spans="1:14" x14ac:dyDescent="0.35">
      <c r="A2349" s="1">
        <v>729</v>
      </c>
      <c r="B2349">
        <v>8</v>
      </c>
      <c r="C2349">
        <v>48</v>
      </c>
      <c r="D2349">
        <v>5</v>
      </c>
      <c r="E2349">
        <v>1</v>
      </c>
      <c r="F2349">
        <v>3</v>
      </c>
      <c r="G2349">
        <v>8</v>
      </c>
      <c r="H2349">
        <v>2</v>
      </c>
      <c r="I2349">
        <v>2000.01</v>
      </c>
      <c r="J2349">
        <v>8</v>
      </c>
      <c r="K2349">
        <v>0</v>
      </c>
      <c r="L2349" s="4">
        <v>0.82982998265455499</v>
      </c>
      <c r="M2349" s="4">
        <v>0.17017001734544501</v>
      </c>
      <c r="N2349">
        <v>6</v>
      </c>
    </row>
    <row r="2350" spans="1:14" x14ac:dyDescent="0.35">
      <c r="A2350" s="1">
        <v>2139</v>
      </c>
      <c r="B2350">
        <v>10</v>
      </c>
      <c r="C2350">
        <v>65</v>
      </c>
      <c r="D2350">
        <v>2</v>
      </c>
      <c r="E2350">
        <v>0</v>
      </c>
      <c r="F2350">
        <v>0</v>
      </c>
      <c r="G2350">
        <v>10</v>
      </c>
      <c r="H2350">
        <v>0</v>
      </c>
      <c r="I2350">
        <v>6000</v>
      </c>
      <c r="J2350">
        <v>2</v>
      </c>
      <c r="K2350">
        <v>0</v>
      </c>
      <c r="L2350" s="4">
        <v>0.82984181823804948</v>
      </c>
      <c r="M2350" s="4">
        <v>0.17015818176195049</v>
      </c>
      <c r="N2350">
        <v>6</v>
      </c>
    </row>
    <row r="2351" spans="1:14" x14ac:dyDescent="0.35">
      <c r="A2351" s="1">
        <v>1238</v>
      </c>
      <c r="B2351">
        <v>8</v>
      </c>
      <c r="C2351">
        <v>50</v>
      </c>
      <c r="D2351">
        <v>3</v>
      </c>
      <c r="E2351">
        <v>1</v>
      </c>
      <c r="F2351">
        <v>0</v>
      </c>
      <c r="G2351">
        <v>2</v>
      </c>
      <c r="H2351">
        <v>3</v>
      </c>
      <c r="I2351">
        <v>0.01</v>
      </c>
      <c r="J2351">
        <v>5</v>
      </c>
      <c r="K2351">
        <v>0</v>
      </c>
      <c r="L2351" s="4">
        <v>0.82991758004321159</v>
      </c>
      <c r="M2351" s="4">
        <v>0.17008241995678841</v>
      </c>
      <c r="N2351">
        <v>6</v>
      </c>
    </row>
    <row r="2352" spans="1:14" x14ac:dyDescent="0.35">
      <c r="A2352" s="1">
        <v>1058</v>
      </c>
      <c r="B2352">
        <v>10</v>
      </c>
      <c r="C2352">
        <v>61</v>
      </c>
      <c r="D2352">
        <v>2</v>
      </c>
      <c r="E2352">
        <v>1</v>
      </c>
      <c r="F2352">
        <v>0</v>
      </c>
      <c r="G2352">
        <v>4</v>
      </c>
      <c r="H2352">
        <v>0</v>
      </c>
      <c r="I2352">
        <v>15969.54</v>
      </c>
      <c r="J2352">
        <v>6</v>
      </c>
      <c r="K2352">
        <v>0</v>
      </c>
      <c r="L2352" s="4">
        <v>0.82993223413212214</v>
      </c>
      <c r="M2352" s="4">
        <v>0.17006776586787789</v>
      </c>
      <c r="N2352">
        <v>6</v>
      </c>
    </row>
    <row r="2353" spans="1:14" x14ac:dyDescent="0.35">
      <c r="A2353" s="1">
        <v>2364</v>
      </c>
      <c r="B2353">
        <v>10</v>
      </c>
      <c r="C2353">
        <v>65</v>
      </c>
      <c r="D2353">
        <v>2</v>
      </c>
      <c r="E2353">
        <v>0</v>
      </c>
      <c r="F2353">
        <v>0</v>
      </c>
      <c r="G2353">
        <v>11</v>
      </c>
      <c r="H2353">
        <v>0</v>
      </c>
      <c r="I2353">
        <v>6053.35</v>
      </c>
      <c r="J2353">
        <v>5</v>
      </c>
      <c r="K2353">
        <v>0</v>
      </c>
      <c r="L2353" s="4">
        <v>0.83006033516230326</v>
      </c>
      <c r="M2353" s="4">
        <v>0.16993966483769679</v>
      </c>
      <c r="N2353">
        <v>6</v>
      </c>
    </row>
    <row r="2354" spans="1:14" x14ac:dyDescent="0.35">
      <c r="A2354" s="1">
        <v>3343</v>
      </c>
      <c r="B2354">
        <v>13</v>
      </c>
      <c r="C2354">
        <v>76</v>
      </c>
      <c r="D2354">
        <v>6</v>
      </c>
      <c r="E2354">
        <v>0</v>
      </c>
      <c r="F2354">
        <v>1</v>
      </c>
      <c r="G2354">
        <v>5</v>
      </c>
      <c r="H2354">
        <v>0</v>
      </c>
      <c r="I2354">
        <v>17554.29</v>
      </c>
      <c r="J2354">
        <v>14</v>
      </c>
      <c r="K2354">
        <v>1</v>
      </c>
      <c r="L2354" s="4">
        <v>0.83025247209938091</v>
      </c>
      <c r="M2354" s="4">
        <v>0.16974752790061901</v>
      </c>
      <c r="N2354">
        <v>6</v>
      </c>
    </row>
    <row r="2355" spans="1:14" x14ac:dyDescent="0.35">
      <c r="A2355" s="1">
        <v>3583</v>
      </c>
      <c r="B2355">
        <v>11</v>
      </c>
      <c r="C2355">
        <v>63</v>
      </c>
      <c r="D2355">
        <v>3</v>
      </c>
      <c r="E2355">
        <v>1</v>
      </c>
      <c r="F2355">
        <v>3</v>
      </c>
      <c r="G2355">
        <v>3</v>
      </c>
      <c r="H2355">
        <v>0</v>
      </c>
      <c r="I2355">
        <v>6000</v>
      </c>
      <c r="J2355">
        <v>3</v>
      </c>
      <c r="K2355">
        <v>0</v>
      </c>
      <c r="L2355" s="4">
        <v>0.8303040696292856</v>
      </c>
      <c r="M2355" s="4">
        <v>0.1696959303707144</v>
      </c>
      <c r="N2355">
        <v>6</v>
      </c>
    </row>
    <row r="2356" spans="1:14" x14ac:dyDescent="0.35">
      <c r="A2356" s="1">
        <v>2891</v>
      </c>
      <c r="B2356">
        <v>10</v>
      </c>
      <c r="C2356">
        <v>59</v>
      </c>
      <c r="D2356">
        <v>3</v>
      </c>
      <c r="E2356">
        <v>1</v>
      </c>
      <c r="F2356">
        <v>0</v>
      </c>
      <c r="G2356">
        <v>2</v>
      </c>
      <c r="H2356">
        <v>2</v>
      </c>
      <c r="I2356">
        <v>4000</v>
      </c>
      <c r="J2356">
        <v>5</v>
      </c>
      <c r="K2356">
        <v>0</v>
      </c>
      <c r="L2356" s="4">
        <v>0.83043552524902131</v>
      </c>
      <c r="M2356" s="4">
        <v>0.16956447475097869</v>
      </c>
      <c r="N2356">
        <v>6</v>
      </c>
    </row>
    <row r="2357" spans="1:14" x14ac:dyDescent="0.35">
      <c r="A2357" s="1">
        <v>3799</v>
      </c>
      <c r="B2357">
        <v>8</v>
      </c>
      <c r="C2357">
        <v>57</v>
      </c>
      <c r="D2357">
        <v>0</v>
      </c>
      <c r="E2357">
        <v>0</v>
      </c>
      <c r="F2357">
        <v>3</v>
      </c>
      <c r="G2357">
        <v>3</v>
      </c>
      <c r="H2357">
        <v>1</v>
      </c>
      <c r="I2357">
        <v>28408.17</v>
      </c>
      <c r="J2357">
        <v>5</v>
      </c>
      <c r="K2357">
        <v>0</v>
      </c>
      <c r="L2357" s="4">
        <v>0.8304534392630939</v>
      </c>
      <c r="M2357" s="4">
        <v>0.1695465607369061</v>
      </c>
      <c r="N2357">
        <v>6</v>
      </c>
    </row>
    <row r="2358" spans="1:14" x14ac:dyDescent="0.35">
      <c r="A2358" s="1">
        <v>687</v>
      </c>
      <c r="B2358">
        <v>7</v>
      </c>
      <c r="C2358">
        <v>52</v>
      </c>
      <c r="D2358">
        <v>2</v>
      </c>
      <c r="E2358">
        <v>0</v>
      </c>
      <c r="F2358">
        <v>0</v>
      </c>
      <c r="G2358">
        <v>4</v>
      </c>
      <c r="H2358">
        <v>2</v>
      </c>
      <c r="I2358">
        <v>5000</v>
      </c>
      <c r="J2358">
        <v>2</v>
      </c>
      <c r="K2358">
        <v>0</v>
      </c>
      <c r="L2358" s="4">
        <v>0.83062953642248805</v>
      </c>
      <c r="M2358" s="4">
        <v>0.16937046357751201</v>
      </c>
      <c r="N2358">
        <v>6</v>
      </c>
    </row>
    <row r="2359" spans="1:14" x14ac:dyDescent="0.35">
      <c r="A2359" s="1">
        <v>1449</v>
      </c>
      <c r="B2359">
        <v>10</v>
      </c>
      <c r="C2359">
        <v>65</v>
      </c>
      <c r="D2359">
        <v>2</v>
      </c>
      <c r="E2359">
        <v>0</v>
      </c>
      <c r="F2359">
        <v>1</v>
      </c>
      <c r="G2359">
        <v>12</v>
      </c>
      <c r="H2359">
        <v>0</v>
      </c>
      <c r="I2359">
        <v>6053.35</v>
      </c>
      <c r="J2359">
        <v>28</v>
      </c>
      <c r="K2359">
        <v>0</v>
      </c>
      <c r="L2359" s="4">
        <v>0.83067415932263933</v>
      </c>
      <c r="M2359" s="4">
        <v>0.16932584067736059</v>
      </c>
      <c r="N2359">
        <v>6</v>
      </c>
    </row>
    <row r="2360" spans="1:14" x14ac:dyDescent="0.35">
      <c r="A2360" s="1">
        <v>897</v>
      </c>
      <c r="B2360">
        <v>5</v>
      </c>
      <c r="C2360">
        <v>44</v>
      </c>
      <c r="D2360">
        <v>2</v>
      </c>
      <c r="E2360">
        <v>0</v>
      </c>
      <c r="F2360">
        <v>0</v>
      </c>
      <c r="G2360">
        <v>4</v>
      </c>
      <c r="H2360">
        <v>2</v>
      </c>
      <c r="I2360">
        <v>4000</v>
      </c>
      <c r="J2360">
        <v>7</v>
      </c>
      <c r="K2360">
        <v>0</v>
      </c>
      <c r="L2360" s="4">
        <v>0.83080242577078955</v>
      </c>
      <c r="M2360" s="4">
        <v>0.16919757422921039</v>
      </c>
      <c r="N2360">
        <v>6</v>
      </c>
    </row>
    <row r="2361" spans="1:14" x14ac:dyDescent="0.35">
      <c r="A2361" s="1">
        <v>2159</v>
      </c>
      <c r="B2361">
        <v>13</v>
      </c>
      <c r="C2361">
        <v>77</v>
      </c>
      <c r="D2361">
        <v>1</v>
      </c>
      <c r="E2361">
        <v>0</v>
      </c>
      <c r="F2361">
        <v>3</v>
      </c>
      <c r="G2361">
        <v>3</v>
      </c>
      <c r="H2361">
        <v>0</v>
      </c>
      <c r="I2361">
        <v>6000</v>
      </c>
      <c r="J2361">
        <v>5</v>
      </c>
      <c r="K2361">
        <v>0</v>
      </c>
      <c r="L2361" s="4">
        <v>0.83091580524810371</v>
      </c>
      <c r="M2361" s="4">
        <v>0.16908419475189629</v>
      </c>
      <c r="N2361">
        <v>6</v>
      </c>
    </row>
    <row r="2362" spans="1:14" x14ac:dyDescent="0.35">
      <c r="A2362" s="1">
        <v>234</v>
      </c>
      <c r="B2362">
        <v>9</v>
      </c>
      <c r="C2362">
        <v>50</v>
      </c>
      <c r="D2362">
        <v>1</v>
      </c>
      <c r="E2362">
        <v>2</v>
      </c>
      <c r="F2362">
        <v>1</v>
      </c>
      <c r="G2362">
        <v>7</v>
      </c>
      <c r="H2362">
        <v>2</v>
      </c>
      <c r="I2362">
        <v>2037.94</v>
      </c>
      <c r="J2362">
        <v>5</v>
      </c>
      <c r="K2362">
        <v>0</v>
      </c>
      <c r="L2362" s="4">
        <v>0.83100607595268927</v>
      </c>
      <c r="M2362" s="4">
        <v>0.1689939240473107</v>
      </c>
      <c r="N2362">
        <v>6</v>
      </c>
    </row>
    <row r="2363" spans="1:14" x14ac:dyDescent="0.35">
      <c r="A2363" s="1">
        <v>675</v>
      </c>
      <c r="B2363">
        <v>8</v>
      </c>
      <c r="C2363">
        <v>54</v>
      </c>
      <c r="D2363">
        <v>5</v>
      </c>
      <c r="E2363">
        <v>0</v>
      </c>
      <c r="F2363">
        <v>0</v>
      </c>
      <c r="G2363">
        <v>4</v>
      </c>
      <c r="H2363">
        <v>3</v>
      </c>
      <c r="I2363">
        <v>0.01</v>
      </c>
      <c r="J2363">
        <v>5</v>
      </c>
      <c r="K2363">
        <v>0</v>
      </c>
      <c r="L2363" s="4">
        <v>0.83115656778949942</v>
      </c>
      <c r="M2363" s="4">
        <v>0.1688434322105006</v>
      </c>
      <c r="N2363">
        <v>6</v>
      </c>
    </row>
    <row r="2364" spans="1:14" x14ac:dyDescent="0.35">
      <c r="A2364" s="1">
        <v>3514</v>
      </c>
      <c r="B2364">
        <v>11</v>
      </c>
      <c r="C2364">
        <v>64</v>
      </c>
      <c r="D2364">
        <v>2</v>
      </c>
      <c r="E2364">
        <v>1</v>
      </c>
      <c r="F2364">
        <v>3</v>
      </c>
      <c r="G2364">
        <v>3</v>
      </c>
      <c r="H2364">
        <v>0</v>
      </c>
      <c r="I2364">
        <v>5466.49</v>
      </c>
      <c r="J2364">
        <v>25</v>
      </c>
      <c r="K2364">
        <v>0</v>
      </c>
      <c r="L2364" s="4">
        <v>0.8312122554975433</v>
      </c>
      <c r="M2364" s="4">
        <v>0.1687877445024567</v>
      </c>
      <c r="N2364">
        <v>6</v>
      </c>
    </row>
    <row r="2365" spans="1:14" x14ac:dyDescent="0.35">
      <c r="A2365" s="1">
        <v>1906</v>
      </c>
      <c r="B2365">
        <v>8</v>
      </c>
      <c r="C2365">
        <v>54</v>
      </c>
      <c r="D2365">
        <v>5</v>
      </c>
      <c r="E2365">
        <v>0</v>
      </c>
      <c r="F2365">
        <v>0</v>
      </c>
      <c r="G2365">
        <v>4</v>
      </c>
      <c r="H2365">
        <v>3</v>
      </c>
      <c r="I2365">
        <v>0.01</v>
      </c>
      <c r="J2365">
        <v>4</v>
      </c>
      <c r="K2365">
        <v>0</v>
      </c>
      <c r="L2365" s="4">
        <v>0.83133683041275319</v>
      </c>
      <c r="M2365" s="4">
        <v>0.16866316958724681</v>
      </c>
      <c r="N2365">
        <v>6</v>
      </c>
    </row>
    <row r="2366" spans="1:14" x14ac:dyDescent="0.35">
      <c r="A2366" s="1">
        <v>1090</v>
      </c>
      <c r="B2366">
        <v>9</v>
      </c>
      <c r="C2366">
        <v>55</v>
      </c>
      <c r="D2366">
        <v>3</v>
      </c>
      <c r="E2366">
        <v>1</v>
      </c>
      <c r="F2366">
        <v>0</v>
      </c>
      <c r="G2366">
        <v>2</v>
      </c>
      <c r="H2366">
        <v>2</v>
      </c>
      <c r="I2366">
        <v>1000</v>
      </c>
      <c r="J2366">
        <v>5</v>
      </c>
      <c r="K2366">
        <v>0</v>
      </c>
      <c r="L2366" s="4">
        <v>0.83153880253309831</v>
      </c>
      <c r="M2366" s="4">
        <v>0.16846119746690169</v>
      </c>
      <c r="N2366">
        <v>6</v>
      </c>
    </row>
    <row r="2367" spans="1:14" x14ac:dyDescent="0.35">
      <c r="A2367" s="1">
        <v>1096</v>
      </c>
      <c r="B2367">
        <v>8</v>
      </c>
      <c r="C2367">
        <v>48</v>
      </c>
      <c r="D2367">
        <v>5</v>
      </c>
      <c r="E2367">
        <v>1</v>
      </c>
      <c r="F2367">
        <v>1</v>
      </c>
      <c r="G2367">
        <v>12</v>
      </c>
      <c r="H2367">
        <v>3</v>
      </c>
      <c r="I2367">
        <v>0.01</v>
      </c>
      <c r="J2367">
        <v>7</v>
      </c>
      <c r="K2367">
        <v>0</v>
      </c>
      <c r="L2367" s="4">
        <v>0.83174568535721183</v>
      </c>
      <c r="M2367" s="4">
        <v>0.1682543146427882</v>
      </c>
      <c r="N2367">
        <v>6</v>
      </c>
    </row>
    <row r="2368" spans="1:14" x14ac:dyDescent="0.35">
      <c r="A2368" s="1">
        <v>831</v>
      </c>
      <c r="B2368">
        <v>4</v>
      </c>
      <c r="C2368">
        <v>38</v>
      </c>
      <c r="D2368">
        <v>3</v>
      </c>
      <c r="E2368">
        <v>0</v>
      </c>
      <c r="F2368">
        <v>1</v>
      </c>
      <c r="G2368">
        <v>7</v>
      </c>
      <c r="H2368">
        <v>3</v>
      </c>
      <c r="I2368">
        <v>0.01</v>
      </c>
      <c r="J2368">
        <v>5</v>
      </c>
      <c r="K2368">
        <v>0</v>
      </c>
      <c r="L2368" s="4">
        <v>0.83176965671440906</v>
      </c>
      <c r="M2368" s="4">
        <v>0.168230343285591</v>
      </c>
      <c r="N2368">
        <v>6</v>
      </c>
    </row>
    <row r="2369" spans="1:14" x14ac:dyDescent="0.35">
      <c r="A2369" s="1">
        <v>2143</v>
      </c>
      <c r="B2369">
        <v>8</v>
      </c>
      <c r="C2369">
        <v>57</v>
      </c>
      <c r="D2369">
        <v>0</v>
      </c>
      <c r="E2369">
        <v>0</v>
      </c>
      <c r="F2369">
        <v>3</v>
      </c>
      <c r="G2369">
        <v>3</v>
      </c>
      <c r="H2369">
        <v>1</v>
      </c>
      <c r="I2369">
        <v>25000</v>
      </c>
      <c r="J2369">
        <v>1</v>
      </c>
      <c r="K2369">
        <v>0</v>
      </c>
      <c r="L2369" s="4">
        <v>0.83194512354708006</v>
      </c>
      <c r="M2369" s="4">
        <v>0.16805487645292</v>
      </c>
      <c r="N2369">
        <v>6</v>
      </c>
    </row>
    <row r="2370" spans="1:14" x14ac:dyDescent="0.35">
      <c r="A2370" s="1">
        <v>2886</v>
      </c>
      <c r="B2370">
        <v>6</v>
      </c>
      <c r="C2370">
        <v>49</v>
      </c>
      <c r="D2370">
        <v>1</v>
      </c>
      <c r="E2370">
        <v>0</v>
      </c>
      <c r="F2370">
        <v>1</v>
      </c>
      <c r="G2370">
        <v>12</v>
      </c>
      <c r="H2370">
        <v>0</v>
      </c>
      <c r="I2370">
        <v>7500</v>
      </c>
      <c r="J2370">
        <v>8</v>
      </c>
      <c r="K2370">
        <v>0</v>
      </c>
      <c r="L2370" s="4">
        <v>0.83195792690325887</v>
      </c>
      <c r="M2370" s="4">
        <v>0.16804207309674121</v>
      </c>
      <c r="N2370">
        <v>6</v>
      </c>
    </row>
    <row r="2371" spans="1:14" x14ac:dyDescent="0.35">
      <c r="A2371" s="1">
        <v>865</v>
      </c>
      <c r="B2371">
        <v>7</v>
      </c>
      <c r="C2371">
        <v>51</v>
      </c>
      <c r="D2371">
        <v>3</v>
      </c>
      <c r="E2371">
        <v>0</v>
      </c>
      <c r="F2371">
        <v>1</v>
      </c>
      <c r="G2371">
        <v>7</v>
      </c>
      <c r="H2371">
        <v>2</v>
      </c>
      <c r="I2371">
        <v>2250</v>
      </c>
      <c r="J2371">
        <v>6</v>
      </c>
      <c r="K2371">
        <v>0</v>
      </c>
      <c r="L2371" s="4">
        <v>0.8320754143792255</v>
      </c>
      <c r="M2371" s="4">
        <v>0.16792458562077439</v>
      </c>
      <c r="N2371">
        <v>6</v>
      </c>
    </row>
    <row r="2372" spans="1:14" x14ac:dyDescent="0.35">
      <c r="A2372" s="1">
        <v>131</v>
      </c>
      <c r="B2372">
        <v>8</v>
      </c>
      <c r="C2372">
        <v>55</v>
      </c>
      <c r="D2372">
        <v>3</v>
      </c>
      <c r="E2372">
        <v>0</v>
      </c>
      <c r="F2372">
        <v>0</v>
      </c>
      <c r="G2372">
        <v>4</v>
      </c>
      <c r="H2372">
        <v>3</v>
      </c>
      <c r="I2372">
        <v>0.01</v>
      </c>
      <c r="J2372">
        <v>5</v>
      </c>
      <c r="K2372">
        <v>0</v>
      </c>
      <c r="L2372" s="4">
        <v>0.832216057315882</v>
      </c>
      <c r="M2372" s="4">
        <v>0.167783942684118</v>
      </c>
      <c r="N2372">
        <v>6</v>
      </c>
    </row>
    <row r="2373" spans="1:14" x14ac:dyDescent="0.35">
      <c r="A2373" s="1">
        <v>140</v>
      </c>
      <c r="B2373">
        <v>7</v>
      </c>
      <c r="C2373">
        <v>50</v>
      </c>
      <c r="D2373">
        <v>5</v>
      </c>
      <c r="E2373">
        <v>0</v>
      </c>
      <c r="F2373">
        <v>4</v>
      </c>
      <c r="G2373">
        <v>9</v>
      </c>
      <c r="H2373">
        <v>0</v>
      </c>
      <c r="I2373">
        <v>6000</v>
      </c>
      <c r="J2373">
        <v>1</v>
      </c>
      <c r="K2373">
        <v>0</v>
      </c>
      <c r="L2373" s="4">
        <v>0.83222134619594501</v>
      </c>
      <c r="M2373" s="4">
        <v>0.16777865380405499</v>
      </c>
      <c r="N2373">
        <v>6</v>
      </c>
    </row>
    <row r="2374" spans="1:14" x14ac:dyDescent="0.35">
      <c r="A2374" s="1">
        <v>3405</v>
      </c>
      <c r="B2374">
        <v>7</v>
      </c>
      <c r="C2374">
        <v>51</v>
      </c>
      <c r="D2374">
        <v>3</v>
      </c>
      <c r="E2374">
        <v>0</v>
      </c>
      <c r="F2374">
        <v>0</v>
      </c>
      <c r="G2374">
        <v>4</v>
      </c>
      <c r="H2374">
        <v>3</v>
      </c>
      <c r="I2374">
        <v>0.01</v>
      </c>
      <c r="J2374">
        <v>7</v>
      </c>
      <c r="K2374">
        <v>0</v>
      </c>
      <c r="L2374" s="4">
        <v>0.8322791084253518</v>
      </c>
      <c r="M2374" s="4">
        <v>0.16772089157464831</v>
      </c>
      <c r="N2374">
        <v>6</v>
      </c>
    </row>
    <row r="2375" spans="1:14" x14ac:dyDescent="0.35">
      <c r="A2375" s="1">
        <v>858</v>
      </c>
      <c r="B2375">
        <v>6</v>
      </c>
      <c r="C2375">
        <v>42</v>
      </c>
      <c r="D2375">
        <v>3</v>
      </c>
      <c r="E2375">
        <v>1</v>
      </c>
      <c r="F2375">
        <v>0</v>
      </c>
      <c r="G2375">
        <v>4</v>
      </c>
      <c r="H2375">
        <v>3</v>
      </c>
      <c r="I2375">
        <v>0.01</v>
      </c>
      <c r="J2375">
        <v>5</v>
      </c>
      <c r="K2375">
        <v>0</v>
      </c>
      <c r="L2375" s="4">
        <v>0.83230688840400058</v>
      </c>
      <c r="M2375" s="4">
        <v>0.16769311159599939</v>
      </c>
      <c r="N2375">
        <v>6</v>
      </c>
    </row>
    <row r="2376" spans="1:14" x14ac:dyDescent="0.35">
      <c r="A2376" s="1">
        <v>4379</v>
      </c>
      <c r="B2376">
        <v>6</v>
      </c>
      <c r="C2376">
        <v>48</v>
      </c>
      <c r="D2376">
        <v>5</v>
      </c>
      <c r="E2376">
        <v>0</v>
      </c>
      <c r="F2376">
        <v>2</v>
      </c>
      <c r="G2376">
        <v>0</v>
      </c>
      <c r="H2376">
        <v>0</v>
      </c>
      <c r="I2376">
        <v>8000</v>
      </c>
      <c r="J2376">
        <v>11</v>
      </c>
      <c r="K2376">
        <v>0</v>
      </c>
      <c r="L2376" s="4">
        <v>0.83236669960983711</v>
      </c>
      <c r="M2376" s="4">
        <v>0.1676333003901628</v>
      </c>
      <c r="N2376">
        <v>6</v>
      </c>
    </row>
    <row r="2377" spans="1:14" x14ac:dyDescent="0.35">
      <c r="A2377" s="1">
        <v>829</v>
      </c>
      <c r="B2377">
        <v>6</v>
      </c>
      <c r="C2377">
        <v>41</v>
      </c>
      <c r="D2377">
        <v>4</v>
      </c>
      <c r="E2377">
        <v>1</v>
      </c>
      <c r="F2377">
        <v>3</v>
      </c>
      <c r="G2377">
        <v>3</v>
      </c>
      <c r="H2377">
        <v>2</v>
      </c>
      <c r="I2377">
        <v>3000</v>
      </c>
      <c r="J2377">
        <v>1</v>
      </c>
      <c r="K2377">
        <v>0</v>
      </c>
      <c r="L2377" s="4">
        <v>0.83261493480557047</v>
      </c>
      <c r="M2377" s="4">
        <v>0.1673850651944295</v>
      </c>
      <c r="N2377">
        <v>6</v>
      </c>
    </row>
    <row r="2378" spans="1:14" x14ac:dyDescent="0.35">
      <c r="A2378" s="1">
        <v>3275</v>
      </c>
      <c r="B2378">
        <v>10</v>
      </c>
      <c r="C2378">
        <v>64</v>
      </c>
      <c r="D2378">
        <v>3</v>
      </c>
      <c r="E2378">
        <v>0</v>
      </c>
      <c r="F2378">
        <v>0</v>
      </c>
      <c r="G2378">
        <v>4</v>
      </c>
      <c r="H2378">
        <v>2</v>
      </c>
      <c r="I2378">
        <v>420</v>
      </c>
      <c r="J2378">
        <v>10</v>
      </c>
      <c r="K2378">
        <v>0</v>
      </c>
      <c r="L2378" s="4">
        <v>0.83263687163506783</v>
      </c>
      <c r="M2378" s="4">
        <v>0.1673631283649322</v>
      </c>
      <c r="N2378">
        <v>6</v>
      </c>
    </row>
    <row r="2379" spans="1:14" x14ac:dyDescent="0.35">
      <c r="A2379" s="1">
        <v>3723</v>
      </c>
      <c r="B2379">
        <v>7</v>
      </c>
      <c r="C2379">
        <v>53</v>
      </c>
      <c r="D2379">
        <v>2</v>
      </c>
      <c r="E2379">
        <v>0</v>
      </c>
      <c r="F2379">
        <v>1</v>
      </c>
      <c r="G2379">
        <v>7</v>
      </c>
      <c r="H2379">
        <v>0</v>
      </c>
      <c r="I2379">
        <v>6000</v>
      </c>
      <c r="J2379">
        <v>2</v>
      </c>
      <c r="K2379">
        <v>0</v>
      </c>
      <c r="L2379" s="4">
        <v>0.8327896066280015</v>
      </c>
      <c r="M2379" s="4">
        <v>0.1672103933719985</v>
      </c>
      <c r="N2379">
        <v>6</v>
      </c>
    </row>
    <row r="2380" spans="1:14" x14ac:dyDescent="0.35">
      <c r="A2380" s="1">
        <v>3312</v>
      </c>
      <c r="B2380">
        <v>4</v>
      </c>
      <c r="C2380">
        <v>38</v>
      </c>
      <c r="D2380">
        <v>5</v>
      </c>
      <c r="E2380">
        <v>0</v>
      </c>
      <c r="F2380">
        <v>0</v>
      </c>
      <c r="G2380">
        <v>4</v>
      </c>
      <c r="H2380">
        <v>3</v>
      </c>
      <c r="I2380">
        <v>0.01</v>
      </c>
      <c r="J2380">
        <v>5</v>
      </c>
      <c r="K2380">
        <v>1</v>
      </c>
      <c r="L2380" s="4">
        <v>0.8328460117426788</v>
      </c>
      <c r="M2380" s="4">
        <v>0.1671539882573212</v>
      </c>
      <c r="N2380">
        <v>6</v>
      </c>
    </row>
    <row r="2381" spans="1:14" x14ac:dyDescent="0.35">
      <c r="A2381" s="1">
        <v>495</v>
      </c>
      <c r="B2381">
        <v>8</v>
      </c>
      <c r="C2381">
        <v>53</v>
      </c>
      <c r="D2381">
        <v>2</v>
      </c>
      <c r="E2381">
        <v>1</v>
      </c>
      <c r="F2381">
        <v>0</v>
      </c>
      <c r="G2381">
        <v>4</v>
      </c>
      <c r="H2381">
        <v>0</v>
      </c>
      <c r="I2381">
        <v>6053.35</v>
      </c>
      <c r="J2381">
        <v>5</v>
      </c>
      <c r="K2381">
        <v>1</v>
      </c>
      <c r="L2381" s="4">
        <v>0.83319649444043575</v>
      </c>
      <c r="M2381" s="4">
        <v>0.1668035055595643</v>
      </c>
      <c r="N2381">
        <v>6</v>
      </c>
    </row>
    <row r="2382" spans="1:14" x14ac:dyDescent="0.35">
      <c r="A2382" s="1">
        <v>1347</v>
      </c>
      <c r="B2382">
        <v>5</v>
      </c>
      <c r="C2382">
        <v>43</v>
      </c>
      <c r="D2382">
        <v>0</v>
      </c>
      <c r="E2382">
        <v>0</v>
      </c>
      <c r="F2382">
        <v>3</v>
      </c>
      <c r="G2382">
        <v>3</v>
      </c>
      <c r="H2382">
        <v>3</v>
      </c>
      <c r="I2382">
        <v>0.01</v>
      </c>
      <c r="J2382">
        <v>7</v>
      </c>
      <c r="K2382">
        <v>0</v>
      </c>
      <c r="L2382" s="4">
        <v>0.83324295632789402</v>
      </c>
      <c r="M2382" s="4">
        <v>0.166757043672106</v>
      </c>
      <c r="N2382">
        <v>6</v>
      </c>
    </row>
    <row r="2383" spans="1:14" x14ac:dyDescent="0.35">
      <c r="A2383" s="1">
        <v>2536</v>
      </c>
      <c r="B2383">
        <v>9</v>
      </c>
      <c r="C2383">
        <v>59</v>
      </c>
      <c r="D2383">
        <v>4</v>
      </c>
      <c r="E2383">
        <v>0</v>
      </c>
      <c r="F2383">
        <v>0</v>
      </c>
      <c r="G2383">
        <v>11</v>
      </c>
      <c r="H2383">
        <v>2</v>
      </c>
      <c r="I2383">
        <v>1251.5999999999999</v>
      </c>
      <c r="J2383">
        <v>11</v>
      </c>
      <c r="K2383">
        <v>0</v>
      </c>
      <c r="L2383" s="4">
        <v>0.83332578446830174</v>
      </c>
      <c r="M2383" s="4">
        <v>0.16667421553169831</v>
      </c>
      <c r="N2383">
        <v>6</v>
      </c>
    </row>
    <row r="2384" spans="1:14" x14ac:dyDescent="0.35">
      <c r="A2384" s="1">
        <v>4396</v>
      </c>
      <c r="B2384">
        <v>9</v>
      </c>
      <c r="C2384">
        <v>52</v>
      </c>
      <c r="D2384">
        <v>1</v>
      </c>
      <c r="E2384">
        <v>2</v>
      </c>
      <c r="F2384">
        <v>0</v>
      </c>
      <c r="G2384">
        <v>11</v>
      </c>
      <c r="H2384">
        <v>0</v>
      </c>
      <c r="I2384">
        <v>6000</v>
      </c>
      <c r="J2384">
        <v>7</v>
      </c>
      <c r="K2384">
        <v>0</v>
      </c>
      <c r="L2384" s="4">
        <v>0.83336667130524589</v>
      </c>
      <c r="M2384" s="4">
        <v>0.16663332869475411</v>
      </c>
      <c r="N2384">
        <v>6</v>
      </c>
    </row>
    <row r="2385" spans="1:14" x14ac:dyDescent="0.35">
      <c r="A2385" s="1">
        <v>2753</v>
      </c>
      <c r="B2385">
        <v>7</v>
      </c>
      <c r="C2385">
        <v>51</v>
      </c>
      <c r="D2385">
        <v>2</v>
      </c>
      <c r="E2385">
        <v>0</v>
      </c>
      <c r="F2385">
        <v>3</v>
      </c>
      <c r="G2385">
        <v>3</v>
      </c>
      <c r="H2385">
        <v>2</v>
      </c>
      <c r="I2385">
        <v>100.01</v>
      </c>
      <c r="J2385">
        <v>8</v>
      </c>
      <c r="K2385">
        <v>0</v>
      </c>
      <c r="L2385" s="4">
        <v>0.83339628796440168</v>
      </c>
      <c r="M2385" s="4">
        <v>0.16660371203559829</v>
      </c>
      <c r="N2385">
        <v>6</v>
      </c>
    </row>
    <row r="2386" spans="1:14" x14ac:dyDescent="0.35">
      <c r="A2386" s="1">
        <v>3615</v>
      </c>
      <c r="B2386">
        <v>7</v>
      </c>
      <c r="C2386">
        <v>51</v>
      </c>
      <c r="D2386">
        <v>2</v>
      </c>
      <c r="E2386">
        <v>0</v>
      </c>
      <c r="F2386">
        <v>3</v>
      </c>
      <c r="G2386">
        <v>3</v>
      </c>
      <c r="H2386">
        <v>2</v>
      </c>
      <c r="I2386">
        <v>0.02</v>
      </c>
      <c r="J2386">
        <v>8</v>
      </c>
      <c r="K2386">
        <v>0</v>
      </c>
      <c r="L2386" s="4">
        <v>0.83341865613032262</v>
      </c>
      <c r="M2386" s="4">
        <v>0.16658134386967741</v>
      </c>
      <c r="N2386">
        <v>6</v>
      </c>
    </row>
    <row r="2387" spans="1:14" x14ac:dyDescent="0.35">
      <c r="A2387" s="1">
        <v>3539</v>
      </c>
      <c r="B2387">
        <v>12</v>
      </c>
      <c r="C2387">
        <v>72</v>
      </c>
      <c r="D2387">
        <v>3</v>
      </c>
      <c r="E2387">
        <v>0</v>
      </c>
      <c r="F2387">
        <v>3</v>
      </c>
      <c r="G2387">
        <v>3</v>
      </c>
      <c r="H2387">
        <v>1</v>
      </c>
      <c r="I2387">
        <v>20728.21</v>
      </c>
      <c r="J2387">
        <v>3</v>
      </c>
      <c r="K2387">
        <v>0</v>
      </c>
      <c r="L2387" s="4">
        <v>0.83347184614898939</v>
      </c>
      <c r="M2387" s="4">
        <v>0.16652815385101069</v>
      </c>
      <c r="N2387">
        <v>6</v>
      </c>
    </row>
    <row r="2388" spans="1:14" x14ac:dyDescent="0.35">
      <c r="A2388" s="1">
        <v>4229</v>
      </c>
      <c r="B2388">
        <v>8</v>
      </c>
      <c r="C2388">
        <v>51</v>
      </c>
      <c r="D2388">
        <v>2</v>
      </c>
      <c r="E2388">
        <v>1</v>
      </c>
      <c r="F2388">
        <v>0</v>
      </c>
      <c r="G2388">
        <v>10</v>
      </c>
      <c r="H2388">
        <v>2</v>
      </c>
      <c r="I2388">
        <v>300</v>
      </c>
      <c r="J2388">
        <v>11</v>
      </c>
      <c r="K2388">
        <v>0</v>
      </c>
      <c r="L2388" s="4">
        <v>0.83349813126489558</v>
      </c>
      <c r="M2388" s="4">
        <v>0.16650186873510439</v>
      </c>
      <c r="N2388">
        <v>6</v>
      </c>
    </row>
    <row r="2389" spans="1:14" x14ac:dyDescent="0.35">
      <c r="A2389" s="1">
        <v>732</v>
      </c>
      <c r="B2389">
        <v>7</v>
      </c>
      <c r="C2389">
        <v>51</v>
      </c>
      <c r="D2389">
        <v>5</v>
      </c>
      <c r="E2389">
        <v>0</v>
      </c>
      <c r="F2389">
        <v>0</v>
      </c>
      <c r="G2389">
        <v>4</v>
      </c>
      <c r="H2389">
        <v>2</v>
      </c>
      <c r="I2389">
        <v>3000</v>
      </c>
      <c r="J2389">
        <v>3</v>
      </c>
      <c r="K2389">
        <v>0</v>
      </c>
      <c r="L2389" s="4">
        <v>0.83351780828485311</v>
      </c>
      <c r="M2389" s="4">
        <v>0.16648219171514689</v>
      </c>
      <c r="N2389">
        <v>6</v>
      </c>
    </row>
    <row r="2390" spans="1:14" x14ac:dyDescent="0.35">
      <c r="A2390" s="1">
        <v>3777</v>
      </c>
      <c r="B2390">
        <v>7</v>
      </c>
      <c r="C2390">
        <v>51</v>
      </c>
      <c r="D2390">
        <v>5</v>
      </c>
      <c r="E2390">
        <v>0</v>
      </c>
      <c r="F2390">
        <v>0</v>
      </c>
      <c r="G2390">
        <v>4</v>
      </c>
      <c r="H2390">
        <v>2</v>
      </c>
      <c r="I2390">
        <v>2000</v>
      </c>
      <c r="J2390">
        <v>4</v>
      </c>
      <c r="K2390">
        <v>0</v>
      </c>
      <c r="L2390" s="4">
        <v>0.83356306631166199</v>
      </c>
      <c r="M2390" s="4">
        <v>0.16643693368833809</v>
      </c>
      <c r="N2390">
        <v>6</v>
      </c>
    </row>
    <row r="2391" spans="1:14" x14ac:dyDescent="0.35">
      <c r="A2391" s="1">
        <v>3699</v>
      </c>
      <c r="B2391">
        <v>8</v>
      </c>
      <c r="C2391">
        <v>50</v>
      </c>
      <c r="D2391">
        <v>4</v>
      </c>
      <c r="E2391">
        <v>1</v>
      </c>
      <c r="F2391">
        <v>0</v>
      </c>
      <c r="G2391">
        <v>2</v>
      </c>
      <c r="H2391">
        <v>3</v>
      </c>
      <c r="I2391">
        <v>0.01</v>
      </c>
      <c r="J2391">
        <v>5</v>
      </c>
      <c r="K2391">
        <v>0</v>
      </c>
      <c r="L2391" s="4">
        <v>0.83359813853081688</v>
      </c>
      <c r="M2391" s="4">
        <v>0.16640186146918309</v>
      </c>
      <c r="N2391">
        <v>6</v>
      </c>
    </row>
    <row r="2392" spans="1:14" x14ac:dyDescent="0.35">
      <c r="A2392" s="1">
        <v>2477</v>
      </c>
      <c r="B2392">
        <v>7</v>
      </c>
      <c r="C2392">
        <v>51</v>
      </c>
      <c r="D2392">
        <v>2</v>
      </c>
      <c r="E2392">
        <v>0</v>
      </c>
      <c r="F2392">
        <v>1</v>
      </c>
      <c r="G2392">
        <v>5</v>
      </c>
      <c r="H2392">
        <v>3</v>
      </c>
      <c r="I2392">
        <v>0.01</v>
      </c>
      <c r="J2392">
        <v>5</v>
      </c>
      <c r="K2392">
        <v>0</v>
      </c>
      <c r="L2392" s="4">
        <v>0.83369558861558879</v>
      </c>
      <c r="M2392" s="4">
        <v>0.16630441138441121</v>
      </c>
      <c r="N2392">
        <v>6</v>
      </c>
    </row>
    <row r="2393" spans="1:14" x14ac:dyDescent="0.35">
      <c r="A2393" s="1">
        <v>4151</v>
      </c>
      <c r="B2393">
        <v>9</v>
      </c>
      <c r="C2393">
        <v>57</v>
      </c>
      <c r="D2393">
        <v>1</v>
      </c>
      <c r="E2393">
        <v>1</v>
      </c>
      <c r="F2393">
        <v>1</v>
      </c>
      <c r="G2393">
        <v>7</v>
      </c>
      <c r="H2393">
        <v>0</v>
      </c>
      <c r="I2393">
        <v>15000</v>
      </c>
      <c r="J2393">
        <v>3</v>
      </c>
      <c r="K2393">
        <v>0</v>
      </c>
      <c r="L2393" s="4">
        <v>0.83371338027239095</v>
      </c>
      <c r="M2393" s="4">
        <v>0.16628661972760911</v>
      </c>
      <c r="N2393">
        <v>6</v>
      </c>
    </row>
    <row r="2394" spans="1:14" x14ac:dyDescent="0.35">
      <c r="A2394" s="1">
        <v>4020</v>
      </c>
      <c r="B2394">
        <v>7</v>
      </c>
      <c r="C2394">
        <v>51</v>
      </c>
      <c r="D2394">
        <v>4</v>
      </c>
      <c r="E2394">
        <v>0</v>
      </c>
      <c r="F2394">
        <v>0</v>
      </c>
      <c r="G2394">
        <v>2</v>
      </c>
      <c r="H2394">
        <v>3</v>
      </c>
      <c r="I2394">
        <v>0.01</v>
      </c>
      <c r="J2394">
        <v>9</v>
      </c>
      <c r="K2394">
        <v>0</v>
      </c>
      <c r="L2394" s="4">
        <v>0.83405183281002115</v>
      </c>
      <c r="M2394" s="4">
        <v>0.16594816718997879</v>
      </c>
      <c r="N2394">
        <v>6</v>
      </c>
    </row>
    <row r="2395" spans="1:14" x14ac:dyDescent="0.35">
      <c r="A2395" s="1">
        <v>189</v>
      </c>
      <c r="B2395">
        <v>11</v>
      </c>
      <c r="C2395">
        <v>66</v>
      </c>
      <c r="D2395">
        <v>5</v>
      </c>
      <c r="E2395">
        <v>0</v>
      </c>
      <c r="F2395">
        <v>3</v>
      </c>
      <c r="G2395">
        <v>3</v>
      </c>
      <c r="H2395">
        <v>2</v>
      </c>
      <c r="I2395">
        <v>1000</v>
      </c>
      <c r="J2395">
        <v>8</v>
      </c>
      <c r="K2395">
        <v>0</v>
      </c>
      <c r="L2395" s="4">
        <v>0.83411659186428322</v>
      </c>
      <c r="M2395" s="4">
        <v>0.1658834081357167</v>
      </c>
      <c r="N2395">
        <v>6</v>
      </c>
    </row>
    <row r="2396" spans="1:14" x14ac:dyDescent="0.35">
      <c r="A2396" s="1">
        <v>289</v>
      </c>
      <c r="B2396">
        <v>10</v>
      </c>
      <c r="C2396">
        <v>58</v>
      </c>
      <c r="D2396">
        <v>3</v>
      </c>
      <c r="E2396">
        <v>1</v>
      </c>
      <c r="F2396">
        <v>3</v>
      </c>
      <c r="G2396">
        <v>3</v>
      </c>
      <c r="H2396">
        <v>2</v>
      </c>
      <c r="I2396">
        <v>2500</v>
      </c>
      <c r="J2396">
        <v>9</v>
      </c>
      <c r="K2396">
        <v>0</v>
      </c>
      <c r="L2396" s="4">
        <v>0.83432343391510266</v>
      </c>
      <c r="M2396" s="4">
        <v>0.16567656608489739</v>
      </c>
      <c r="N2396">
        <v>6</v>
      </c>
    </row>
    <row r="2397" spans="1:14" x14ac:dyDescent="0.35">
      <c r="A2397" s="1">
        <v>3613</v>
      </c>
      <c r="B2397">
        <v>7</v>
      </c>
      <c r="C2397">
        <v>51</v>
      </c>
      <c r="D2397">
        <v>4</v>
      </c>
      <c r="E2397">
        <v>0</v>
      </c>
      <c r="F2397">
        <v>1</v>
      </c>
      <c r="G2397">
        <v>5</v>
      </c>
      <c r="H2397">
        <v>2</v>
      </c>
      <c r="I2397">
        <v>2500</v>
      </c>
      <c r="J2397">
        <v>5</v>
      </c>
      <c r="K2397">
        <v>0</v>
      </c>
      <c r="L2397" s="4">
        <v>0.83432761691110313</v>
      </c>
      <c r="M2397" s="4">
        <v>0.1656723830888969</v>
      </c>
      <c r="N2397">
        <v>6</v>
      </c>
    </row>
    <row r="2398" spans="1:14" x14ac:dyDescent="0.35">
      <c r="A2398" s="1">
        <v>2728</v>
      </c>
      <c r="B2398">
        <v>7</v>
      </c>
      <c r="C2398">
        <v>50</v>
      </c>
      <c r="D2398">
        <v>4</v>
      </c>
      <c r="E2398">
        <v>0</v>
      </c>
      <c r="F2398">
        <v>1</v>
      </c>
      <c r="G2398">
        <v>7</v>
      </c>
      <c r="H2398">
        <v>3</v>
      </c>
      <c r="I2398">
        <v>0.01</v>
      </c>
      <c r="J2398">
        <v>4</v>
      </c>
      <c r="K2398">
        <v>0</v>
      </c>
      <c r="L2398" s="4">
        <v>0.83434556083715994</v>
      </c>
      <c r="M2398" s="4">
        <v>0.16565443916284001</v>
      </c>
      <c r="N2398">
        <v>6</v>
      </c>
    </row>
    <row r="2399" spans="1:14" x14ac:dyDescent="0.35">
      <c r="A2399" s="1">
        <v>3327</v>
      </c>
      <c r="B2399">
        <v>7</v>
      </c>
      <c r="C2399">
        <v>51</v>
      </c>
      <c r="D2399">
        <v>2</v>
      </c>
      <c r="E2399">
        <v>0</v>
      </c>
      <c r="F2399">
        <v>1</v>
      </c>
      <c r="G2399">
        <v>7</v>
      </c>
      <c r="H2399">
        <v>3</v>
      </c>
      <c r="I2399">
        <v>0.01</v>
      </c>
      <c r="J2399">
        <v>9</v>
      </c>
      <c r="K2399">
        <v>0</v>
      </c>
      <c r="L2399" s="4">
        <v>0.83450352720919541</v>
      </c>
      <c r="M2399" s="4">
        <v>0.16549647279080451</v>
      </c>
      <c r="N2399">
        <v>6</v>
      </c>
    </row>
    <row r="2400" spans="1:14" x14ac:dyDescent="0.35">
      <c r="A2400" s="1">
        <v>2803</v>
      </c>
      <c r="B2400">
        <v>11</v>
      </c>
      <c r="C2400">
        <v>68</v>
      </c>
      <c r="D2400">
        <v>4</v>
      </c>
      <c r="E2400">
        <v>0</v>
      </c>
      <c r="F2400">
        <v>0</v>
      </c>
      <c r="G2400">
        <v>4</v>
      </c>
      <c r="H2400">
        <v>2</v>
      </c>
      <c r="I2400">
        <v>3000</v>
      </c>
      <c r="J2400">
        <v>14</v>
      </c>
      <c r="K2400">
        <v>0</v>
      </c>
      <c r="L2400" s="4">
        <v>0.834576454821637</v>
      </c>
      <c r="M2400" s="4">
        <v>0.165423545178363</v>
      </c>
      <c r="N2400">
        <v>6</v>
      </c>
    </row>
    <row r="2401" spans="1:14" x14ac:dyDescent="0.35">
      <c r="A2401" s="1">
        <v>870</v>
      </c>
      <c r="B2401">
        <v>6</v>
      </c>
      <c r="C2401">
        <v>50</v>
      </c>
      <c r="D2401">
        <v>2</v>
      </c>
      <c r="E2401">
        <v>0</v>
      </c>
      <c r="F2401">
        <v>0</v>
      </c>
      <c r="G2401">
        <v>4</v>
      </c>
      <c r="H2401">
        <v>0</v>
      </c>
      <c r="I2401">
        <v>10000</v>
      </c>
      <c r="J2401">
        <v>1</v>
      </c>
      <c r="K2401">
        <v>1</v>
      </c>
      <c r="L2401" s="4">
        <v>0.83461169946886948</v>
      </c>
      <c r="M2401" s="4">
        <v>0.16538830053113049</v>
      </c>
      <c r="N2401">
        <v>6</v>
      </c>
    </row>
    <row r="2402" spans="1:14" x14ac:dyDescent="0.35">
      <c r="A2402" s="1">
        <v>324</v>
      </c>
      <c r="B2402">
        <v>5</v>
      </c>
      <c r="C2402">
        <v>45</v>
      </c>
      <c r="D2402">
        <v>1</v>
      </c>
      <c r="E2402">
        <v>0</v>
      </c>
      <c r="F2402">
        <v>3</v>
      </c>
      <c r="G2402">
        <v>3</v>
      </c>
      <c r="H2402">
        <v>0</v>
      </c>
      <c r="I2402">
        <v>6000</v>
      </c>
      <c r="J2402">
        <v>2</v>
      </c>
      <c r="K2402">
        <v>0</v>
      </c>
      <c r="L2402" s="4">
        <v>0.83481730200139737</v>
      </c>
      <c r="M2402" s="4">
        <v>0.16518269799860269</v>
      </c>
      <c r="N2402">
        <v>6</v>
      </c>
    </row>
    <row r="2403" spans="1:14" x14ac:dyDescent="0.35">
      <c r="A2403" s="1">
        <v>3914</v>
      </c>
      <c r="B2403">
        <v>7</v>
      </c>
      <c r="C2403">
        <v>51</v>
      </c>
      <c r="D2403">
        <v>2</v>
      </c>
      <c r="E2403">
        <v>0</v>
      </c>
      <c r="F2403">
        <v>3</v>
      </c>
      <c r="G2403">
        <v>8</v>
      </c>
      <c r="H2403">
        <v>2</v>
      </c>
      <c r="I2403">
        <v>5000</v>
      </c>
      <c r="J2403">
        <v>15</v>
      </c>
      <c r="K2403">
        <v>0</v>
      </c>
      <c r="L2403" s="4">
        <v>0.83485690915478694</v>
      </c>
      <c r="M2403" s="4">
        <v>0.16514309084521309</v>
      </c>
      <c r="N2403">
        <v>6</v>
      </c>
    </row>
    <row r="2404" spans="1:14" x14ac:dyDescent="0.35">
      <c r="A2404" s="1">
        <v>1378</v>
      </c>
      <c r="B2404">
        <v>4</v>
      </c>
      <c r="C2404">
        <v>39</v>
      </c>
      <c r="D2404">
        <v>2</v>
      </c>
      <c r="E2404">
        <v>0</v>
      </c>
      <c r="F2404">
        <v>3</v>
      </c>
      <c r="G2404">
        <v>3</v>
      </c>
      <c r="H2404">
        <v>2</v>
      </c>
      <c r="I2404">
        <v>3000</v>
      </c>
      <c r="J2404">
        <v>3</v>
      </c>
      <c r="K2404">
        <v>0</v>
      </c>
      <c r="L2404" s="4">
        <v>0.83489291189418036</v>
      </c>
      <c r="M2404" s="4">
        <v>0.16510708810581959</v>
      </c>
      <c r="N2404">
        <v>6</v>
      </c>
    </row>
    <row r="2405" spans="1:14" x14ac:dyDescent="0.35">
      <c r="A2405" s="1">
        <v>2363</v>
      </c>
      <c r="B2405">
        <v>7</v>
      </c>
      <c r="C2405">
        <v>46</v>
      </c>
      <c r="D2405">
        <v>4</v>
      </c>
      <c r="E2405">
        <v>1</v>
      </c>
      <c r="F2405">
        <v>1</v>
      </c>
      <c r="G2405">
        <v>7</v>
      </c>
      <c r="H2405">
        <v>2</v>
      </c>
      <c r="I2405">
        <v>50</v>
      </c>
      <c r="J2405">
        <v>9</v>
      </c>
      <c r="K2405">
        <v>0</v>
      </c>
      <c r="L2405" s="4">
        <v>0.8349339996221965</v>
      </c>
      <c r="M2405" s="4">
        <v>0.16506600037780339</v>
      </c>
      <c r="N2405">
        <v>6</v>
      </c>
    </row>
    <row r="2406" spans="1:14" x14ac:dyDescent="0.35">
      <c r="A2406" s="1">
        <v>1642</v>
      </c>
      <c r="B2406">
        <v>7</v>
      </c>
      <c r="C2406">
        <v>50</v>
      </c>
      <c r="D2406">
        <v>2</v>
      </c>
      <c r="E2406">
        <v>0</v>
      </c>
      <c r="F2406">
        <v>3</v>
      </c>
      <c r="G2406">
        <v>8</v>
      </c>
      <c r="H2406">
        <v>3</v>
      </c>
      <c r="I2406">
        <v>0.01</v>
      </c>
      <c r="J2406">
        <v>8</v>
      </c>
      <c r="K2406">
        <v>0</v>
      </c>
      <c r="L2406" s="4">
        <v>0.83497949263689386</v>
      </c>
      <c r="M2406" s="4">
        <v>0.16502050736310619</v>
      </c>
      <c r="N2406">
        <v>6</v>
      </c>
    </row>
    <row r="2407" spans="1:14" x14ac:dyDescent="0.35">
      <c r="A2407" s="1">
        <v>4008</v>
      </c>
      <c r="B2407">
        <v>8</v>
      </c>
      <c r="C2407">
        <v>51</v>
      </c>
      <c r="D2407">
        <v>1</v>
      </c>
      <c r="E2407">
        <v>1</v>
      </c>
      <c r="F2407">
        <v>2</v>
      </c>
      <c r="G2407">
        <v>6</v>
      </c>
      <c r="H2407">
        <v>2</v>
      </c>
      <c r="I2407">
        <v>4800</v>
      </c>
      <c r="J2407">
        <v>3</v>
      </c>
      <c r="K2407">
        <v>0</v>
      </c>
      <c r="L2407" s="4">
        <v>0.83510436449855074</v>
      </c>
      <c r="M2407" s="4">
        <v>0.1648956355014492</v>
      </c>
      <c r="N2407">
        <v>6</v>
      </c>
    </row>
    <row r="2408" spans="1:14" x14ac:dyDescent="0.35">
      <c r="A2408" s="1">
        <v>90</v>
      </c>
      <c r="B2408">
        <v>6</v>
      </c>
      <c r="C2408">
        <v>46</v>
      </c>
      <c r="D2408">
        <v>3</v>
      </c>
      <c r="E2408">
        <v>0</v>
      </c>
      <c r="F2408">
        <v>3</v>
      </c>
      <c r="G2408">
        <v>3</v>
      </c>
      <c r="H2408">
        <v>3</v>
      </c>
      <c r="I2408">
        <v>0.01</v>
      </c>
      <c r="J2408">
        <v>8</v>
      </c>
      <c r="K2408">
        <v>0</v>
      </c>
      <c r="L2408" s="4">
        <v>0.83523795144921165</v>
      </c>
      <c r="M2408" s="4">
        <v>0.16476204855078841</v>
      </c>
      <c r="N2408">
        <v>6</v>
      </c>
    </row>
    <row r="2409" spans="1:14" x14ac:dyDescent="0.35">
      <c r="A2409" s="1">
        <v>2501</v>
      </c>
      <c r="B2409">
        <v>8</v>
      </c>
      <c r="C2409">
        <v>51</v>
      </c>
      <c r="D2409">
        <v>1</v>
      </c>
      <c r="E2409">
        <v>1</v>
      </c>
      <c r="F2409">
        <v>3</v>
      </c>
      <c r="G2409">
        <v>3</v>
      </c>
      <c r="H2409">
        <v>2</v>
      </c>
      <c r="I2409">
        <v>5000</v>
      </c>
      <c r="J2409">
        <v>11</v>
      </c>
      <c r="K2409">
        <v>0</v>
      </c>
      <c r="L2409" s="4">
        <v>0.8352906793173771</v>
      </c>
      <c r="M2409" s="4">
        <v>0.1647093206826229</v>
      </c>
      <c r="N2409">
        <v>6</v>
      </c>
    </row>
    <row r="2410" spans="1:14" x14ac:dyDescent="0.35">
      <c r="A2410" s="1">
        <v>258</v>
      </c>
      <c r="B2410">
        <v>11</v>
      </c>
      <c r="C2410">
        <v>65</v>
      </c>
      <c r="D2410">
        <v>2</v>
      </c>
      <c r="E2410">
        <v>1</v>
      </c>
      <c r="F2410">
        <v>0</v>
      </c>
      <c r="G2410">
        <v>10</v>
      </c>
      <c r="H2410">
        <v>0</v>
      </c>
      <c r="I2410">
        <v>9000</v>
      </c>
      <c r="J2410">
        <v>8</v>
      </c>
      <c r="K2410">
        <v>1</v>
      </c>
      <c r="L2410" s="4">
        <v>0.83530773816417281</v>
      </c>
      <c r="M2410" s="4">
        <v>0.16469226183582719</v>
      </c>
      <c r="N2410">
        <v>6</v>
      </c>
    </row>
    <row r="2411" spans="1:14" x14ac:dyDescent="0.35">
      <c r="A2411" s="1">
        <v>2146</v>
      </c>
      <c r="B2411">
        <v>9</v>
      </c>
      <c r="C2411">
        <v>61</v>
      </c>
      <c r="D2411">
        <v>2</v>
      </c>
      <c r="E2411">
        <v>0</v>
      </c>
      <c r="F2411">
        <v>1</v>
      </c>
      <c r="G2411">
        <v>12</v>
      </c>
      <c r="H2411">
        <v>0</v>
      </c>
      <c r="I2411">
        <v>6107.64</v>
      </c>
      <c r="J2411">
        <v>3</v>
      </c>
      <c r="K2411">
        <v>0</v>
      </c>
      <c r="L2411" s="4">
        <v>0.83554860608136683</v>
      </c>
      <c r="M2411" s="4">
        <v>0.16445139391863309</v>
      </c>
      <c r="N2411">
        <v>6</v>
      </c>
    </row>
    <row r="2412" spans="1:14" x14ac:dyDescent="0.35">
      <c r="A2412" s="1">
        <v>2829</v>
      </c>
      <c r="B2412">
        <v>10</v>
      </c>
      <c r="C2412">
        <v>60</v>
      </c>
      <c r="D2412">
        <v>1</v>
      </c>
      <c r="E2412">
        <v>1</v>
      </c>
      <c r="F2412">
        <v>3</v>
      </c>
      <c r="G2412">
        <v>8</v>
      </c>
      <c r="H2412">
        <v>0</v>
      </c>
      <c r="I2412">
        <v>6025</v>
      </c>
      <c r="J2412">
        <v>3</v>
      </c>
      <c r="K2412">
        <v>0</v>
      </c>
      <c r="L2412" s="4">
        <v>0.83559088225357225</v>
      </c>
      <c r="M2412" s="4">
        <v>0.16440911774642769</v>
      </c>
      <c r="N2412">
        <v>6</v>
      </c>
    </row>
    <row r="2413" spans="1:14" x14ac:dyDescent="0.35">
      <c r="A2413" s="1">
        <v>4209</v>
      </c>
      <c r="B2413">
        <v>6</v>
      </c>
      <c r="C2413">
        <v>47</v>
      </c>
      <c r="D2413">
        <v>2</v>
      </c>
      <c r="E2413">
        <v>0</v>
      </c>
      <c r="F2413">
        <v>1</v>
      </c>
      <c r="G2413">
        <v>7</v>
      </c>
      <c r="H2413">
        <v>3</v>
      </c>
      <c r="I2413">
        <v>0.01</v>
      </c>
      <c r="J2413">
        <v>5</v>
      </c>
      <c r="K2413">
        <v>0</v>
      </c>
      <c r="L2413" s="4">
        <v>0.83562768155344425</v>
      </c>
      <c r="M2413" s="4">
        <v>0.1643723184465557</v>
      </c>
      <c r="N2413">
        <v>6</v>
      </c>
    </row>
    <row r="2414" spans="1:14" x14ac:dyDescent="0.35">
      <c r="A2414" s="1">
        <v>136</v>
      </c>
      <c r="B2414">
        <v>8</v>
      </c>
      <c r="C2414">
        <v>55</v>
      </c>
      <c r="D2414">
        <v>3</v>
      </c>
      <c r="E2414">
        <v>0</v>
      </c>
      <c r="F2414">
        <v>3</v>
      </c>
      <c r="G2414">
        <v>3</v>
      </c>
      <c r="H2414">
        <v>2</v>
      </c>
      <c r="I2414">
        <v>1500</v>
      </c>
      <c r="J2414">
        <v>11</v>
      </c>
      <c r="K2414">
        <v>1</v>
      </c>
      <c r="L2414" s="4">
        <v>0.83576663864644107</v>
      </c>
      <c r="M2414" s="4">
        <v>0.1642333613535589</v>
      </c>
      <c r="N2414">
        <v>6</v>
      </c>
    </row>
    <row r="2415" spans="1:14" x14ac:dyDescent="0.35">
      <c r="A2415" s="1">
        <v>3565</v>
      </c>
      <c r="B2415">
        <v>10</v>
      </c>
      <c r="C2415">
        <v>62</v>
      </c>
      <c r="D2415">
        <v>5</v>
      </c>
      <c r="E2415">
        <v>0</v>
      </c>
      <c r="F2415">
        <v>1</v>
      </c>
      <c r="G2415">
        <v>7</v>
      </c>
      <c r="H2415">
        <v>3</v>
      </c>
      <c r="I2415">
        <v>0.01</v>
      </c>
      <c r="J2415">
        <v>9</v>
      </c>
      <c r="K2415">
        <v>0</v>
      </c>
      <c r="L2415" s="4">
        <v>0.83583451683202448</v>
      </c>
      <c r="M2415" s="4">
        <v>0.1641654831679755</v>
      </c>
      <c r="N2415">
        <v>6</v>
      </c>
    </row>
    <row r="2416" spans="1:14" x14ac:dyDescent="0.35">
      <c r="A2416" s="1">
        <v>3287</v>
      </c>
      <c r="B2416">
        <v>9</v>
      </c>
      <c r="C2416">
        <v>60</v>
      </c>
      <c r="D2416">
        <v>2</v>
      </c>
      <c r="E2416">
        <v>0</v>
      </c>
      <c r="F2416">
        <v>0</v>
      </c>
      <c r="G2416">
        <v>4</v>
      </c>
      <c r="H2416">
        <v>3</v>
      </c>
      <c r="I2416">
        <v>0.01</v>
      </c>
      <c r="J2416">
        <v>8</v>
      </c>
      <c r="K2416">
        <v>0</v>
      </c>
      <c r="L2416" s="4">
        <v>0.83595159917450812</v>
      </c>
      <c r="M2416" s="4">
        <v>0.16404840082549191</v>
      </c>
      <c r="N2416">
        <v>6</v>
      </c>
    </row>
    <row r="2417" spans="1:14" x14ac:dyDescent="0.35">
      <c r="A2417" s="1">
        <v>2668</v>
      </c>
      <c r="B2417">
        <v>3</v>
      </c>
      <c r="C2417">
        <v>35</v>
      </c>
      <c r="D2417">
        <v>5</v>
      </c>
      <c r="E2417">
        <v>0</v>
      </c>
      <c r="F2417">
        <v>0</v>
      </c>
      <c r="G2417">
        <v>4</v>
      </c>
      <c r="H2417">
        <v>2</v>
      </c>
      <c r="I2417">
        <v>540</v>
      </c>
      <c r="J2417">
        <v>1</v>
      </c>
      <c r="K2417">
        <v>0</v>
      </c>
      <c r="L2417" s="4">
        <v>0.83608570868114818</v>
      </c>
      <c r="M2417" s="4">
        <v>0.1639142913188518</v>
      </c>
      <c r="N2417">
        <v>6</v>
      </c>
    </row>
    <row r="2418" spans="1:14" x14ac:dyDescent="0.35">
      <c r="A2418" s="1">
        <v>3564</v>
      </c>
      <c r="B2418">
        <v>8</v>
      </c>
      <c r="C2418">
        <v>51</v>
      </c>
      <c r="D2418">
        <v>2</v>
      </c>
      <c r="E2418">
        <v>1</v>
      </c>
      <c r="F2418">
        <v>1</v>
      </c>
      <c r="G2418">
        <v>7</v>
      </c>
      <c r="H2418">
        <v>2</v>
      </c>
      <c r="I2418">
        <v>600.02</v>
      </c>
      <c r="J2418">
        <v>5</v>
      </c>
      <c r="K2418">
        <v>0</v>
      </c>
      <c r="L2418" s="4">
        <v>0.83614336624450136</v>
      </c>
      <c r="M2418" s="4">
        <v>0.16385663375549861</v>
      </c>
      <c r="N2418">
        <v>6</v>
      </c>
    </row>
    <row r="2419" spans="1:14" x14ac:dyDescent="0.35">
      <c r="A2419" s="1">
        <v>969</v>
      </c>
      <c r="B2419">
        <v>9</v>
      </c>
      <c r="C2419">
        <v>58</v>
      </c>
      <c r="D2419">
        <v>3</v>
      </c>
      <c r="E2419">
        <v>0</v>
      </c>
      <c r="F2419">
        <v>4</v>
      </c>
      <c r="G2419">
        <v>9</v>
      </c>
      <c r="H2419">
        <v>2</v>
      </c>
      <c r="I2419">
        <v>3000</v>
      </c>
      <c r="J2419">
        <v>5</v>
      </c>
      <c r="K2419">
        <v>0</v>
      </c>
      <c r="L2419" s="4">
        <v>0.83624095267983611</v>
      </c>
      <c r="M2419" s="4">
        <v>0.16375904732016389</v>
      </c>
      <c r="N2419">
        <v>6</v>
      </c>
    </row>
    <row r="2420" spans="1:14" x14ac:dyDescent="0.35">
      <c r="A2420" s="1">
        <v>2856</v>
      </c>
      <c r="B2420">
        <v>6</v>
      </c>
      <c r="C2420">
        <v>48</v>
      </c>
      <c r="D2420">
        <v>2</v>
      </c>
      <c r="E2420">
        <v>0</v>
      </c>
      <c r="F2420">
        <v>2</v>
      </c>
      <c r="G2420">
        <v>1</v>
      </c>
      <c r="H2420">
        <v>2</v>
      </c>
      <c r="I2420">
        <v>500</v>
      </c>
      <c r="J2420">
        <v>9</v>
      </c>
      <c r="K2420">
        <v>0</v>
      </c>
      <c r="L2420" s="4">
        <v>0.83640970085433619</v>
      </c>
      <c r="M2420" s="4">
        <v>0.16359029914566381</v>
      </c>
      <c r="N2420">
        <v>6</v>
      </c>
    </row>
    <row r="2421" spans="1:14" x14ac:dyDescent="0.35">
      <c r="A2421" s="1">
        <v>2352</v>
      </c>
      <c r="B2421">
        <v>8</v>
      </c>
      <c r="C2421">
        <v>56</v>
      </c>
      <c r="D2421">
        <v>2</v>
      </c>
      <c r="E2421">
        <v>0</v>
      </c>
      <c r="F2421">
        <v>0</v>
      </c>
      <c r="G2421">
        <v>11</v>
      </c>
      <c r="H2421">
        <v>2</v>
      </c>
      <c r="I2421">
        <v>1000</v>
      </c>
      <c r="J2421">
        <v>2</v>
      </c>
      <c r="K2421">
        <v>0</v>
      </c>
      <c r="L2421" s="4">
        <v>0.83643589501438798</v>
      </c>
      <c r="M2421" s="4">
        <v>0.16356410498561211</v>
      </c>
      <c r="N2421">
        <v>6</v>
      </c>
    </row>
    <row r="2422" spans="1:14" x14ac:dyDescent="0.35">
      <c r="A2422" s="1">
        <v>356</v>
      </c>
      <c r="B2422">
        <v>10</v>
      </c>
      <c r="C2422">
        <v>63</v>
      </c>
      <c r="D2422">
        <v>1</v>
      </c>
      <c r="E2422">
        <v>0</v>
      </c>
      <c r="F2422">
        <v>4</v>
      </c>
      <c r="G2422">
        <v>9</v>
      </c>
      <c r="H2422">
        <v>2</v>
      </c>
      <c r="I2422">
        <v>100</v>
      </c>
      <c r="J2422">
        <v>11</v>
      </c>
      <c r="K2422">
        <v>0</v>
      </c>
      <c r="L2422" s="4">
        <v>0.83644751530931427</v>
      </c>
      <c r="M2422" s="4">
        <v>0.16355248469068581</v>
      </c>
      <c r="N2422">
        <v>6</v>
      </c>
    </row>
    <row r="2423" spans="1:14" x14ac:dyDescent="0.35">
      <c r="A2423" s="1">
        <v>987</v>
      </c>
      <c r="B2423">
        <v>7</v>
      </c>
      <c r="C2423">
        <v>54</v>
      </c>
      <c r="D2423">
        <v>1</v>
      </c>
      <c r="E2423">
        <v>0</v>
      </c>
      <c r="F2423">
        <v>0</v>
      </c>
      <c r="G2423">
        <v>11</v>
      </c>
      <c r="H2423">
        <v>0</v>
      </c>
      <c r="I2423">
        <v>6000</v>
      </c>
      <c r="J2423">
        <v>2</v>
      </c>
      <c r="K2423">
        <v>0</v>
      </c>
      <c r="L2423" s="4">
        <v>0.83657095445859142</v>
      </c>
      <c r="M2423" s="4">
        <v>0.16342904554140861</v>
      </c>
      <c r="N2423">
        <v>6</v>
      </c>
    </row>
    <row r="2424" spans="1:14" x14ac:dyDescent="0.35">
      <c r="A2424" s="1">
        <v>278</v>
      </c>
      <c r="B2424">
        <v>8</v>
      </c>
      <c r="C2424">
        <v>55</v>
      </c>
      <c r="D2424">
        <v>1</v>
      </c>
      <c r="E2424">
        <v>0</v>
      </c>
      <c r="F2424">
        <v>3</v>
      </c>
      <c r="G2424">
        <v>3</v>
      </c>
      <c r="H2424">
        <v>3</v>
      </c>
      <c r="I2424">
        <v>0.01</v>
      </c>
      <c r="J2424">
        <v>1</v>
      </c>
      <c r="K2424">
        <v>0</v>
      </c>
      <c r="L2424" s="4">
        <v>0.83668064804187647</v>
      </c>
      <c r="M2424" s="4">
        <v>0.16331935195812361</v>
      </c>
      <c r="N2424">
        <v>6</v>
      </c>
    </row>
    <row r="2425" spans="1:14" x14ac:dyDescent="0.35">
      <c r="A2425" s="1">
        <v>434</v>
      </c>
      <c r="B2425">
        <v>10</v>
      </c>
      <c r="C2425">
        <v>63</v>
      </c>
      <c r="D2425">
        <v>5</v>
      </c>
      <c r="E2425">
        <v>0</v>
      </c>
      <c r="F2425">
        <v>1</v>
      </c>
      <c r="G2425">
        <v>5</v>
      </c>
      <c r="H2425">
        <v>2</v>
      </c>
      <c r="I2425">
        <v>100.01</v>
      </c>
      <c r="J2425">
        <v>8</v>
      </c>
      <c r="K2425">
        <v>0</v>
      </c>
      <c r="L2425" s="4">
        <v>0.83669813700546902</v>
      </c>
      <c r="M2425" s="4">
        <v>0.16330186299453101</v>
      </c>
      <c r="N2425">
        <v>6</v>
      </c>
    </row>
    <row r="2426" spans="1:14" x14ac:dyDescent="0.35">
      <c r="A2426" s="1">
        <v>3351</v>
      </c>
      <c r="B2426">
        <v>8</v>
      </c>
      <c r="C2426">
        <v>57</v>
      </c>
      <c r="D2426">
        <v>2</v>
      </c>
      <c r="E2426">
        <v>0</v>
      </c>
      <c r="F2426">
        <v>0</v>
      </c>
      <c r="G2426">
        <v>2</v>
      </c>
      <c r="H2426">
        <v>2</v>
      </c>
      <c r="I2426">
        <v>4000</v>
      </c>
      <c r="J2426">
        <v>5</v>
      </c>
      <c r="K2426">
        <v>0</v>
      </c>
      <c r="L2426" s="4">
        <v>0.83672020908747824</v>
      </c>
      <c r="M2426" s="4">
        <v>0.16327979091252171</v>
      </c>
      <c r="N2426">
        <v>6</v>
      </c>
    </row>
    <row r="2427" spans="1:14" x14ac:dyDescent="0.35">
      <c r="A2427" s="1">
        <v>2135</v>
      </c>
      <c r="B2427">
        <v>5</v>
      </c>
      <c r="C2427">
        <v>42</v>
      </c>
      <c r="D2427">
        <v>5</v>
      </c>
      <c r="E2427">
        <v>0</v>
      </c>
      <c r="F2427">
        <v>1</v>
      </c>
      <c r="G2427">
        <v>12</v>
      </c>
      <c r="H2427">
        <v>2</v>
      </c>
      <c r="I2427">
        <v>1000</v>
      </c>
      <c r="J2427">
        <v>1</v>
      </c>
      <c r="K2427">
        <v>0</v>
      </c>
      <c r="L2427" s="4">
        <v>0.83682197051577067</v>
      </c>
      <c r="M2427" s="4">
        <v>0.1631780294842293</v>
      </c>
      <c r="N2427">
        <v>6</v>
      </c>
    </row>
    <row r="2428" spans="1:14" x14ac:dyDescent="0.35">
      <c r="A2428" s="1">
        <v>672</v>
      </c>
      <c r="B2428">
        <v>8</v>
      </c>
      <c r="C2428">
        <v>55</v>
      </c>
      <c r="D2428">
        <v>3</v>
      </c>
      <c r="E2428">
        <v>0</v>
      </c>
      <c r="F2428">
        <v>3</v>
      </c>
      <c r="G2428">
        <v>3</v>
      </c>
      <c r="H2428">
        <v>2</v>
      </c>
      <c r="I2428">
        <v>1000</v>
      </c>
      <c r="J2428">
        <v>5</v>
      </c>
      <c r="K2428">
        <v>0</v>
      </c>
      <c r="L2428" s="4">
        <v>0.8369322091404392</v>
      </c>
      <c r="M2428" s="4">
        <v>0.16306779085956091</v>
      </c>
      <c r="N2428">
        <v>6</v>
      </c>
    </row>
    <row r="2429" spans="1:14" x14ac:dyDescent="0.35">
      <c r="A2429" s="1">
        <v>2318</v>
      </c>
      <c r="B2429">
        <v>9</v>
      </c>
      <c r="C2429">
        <v>59</v>
      </c>
      <c r="D2429">
        <v>3</v>
      </c>
      <c r="E2429">
        <v>0</v>
      </c>
      <c r="F2429">
        <v>0</v>
      </c>
      <c r="G2429">
        <v>11</v>
      </c>
      <c r="H2429">
        <v>3</v>
      </c>
      <c r="I2429">
        <v>0.01</v>
      </c>
      <c r="J2429">
        <v>5</v>
      </c>
      <c r="K2429">
        <v>0</v>
      </c>
      <c r="L2429" s="4">
        <v>0.83710169227247833</v>
      </c>
      <c r="M2429" s="4">
        <v>0.16289830772752159</v>
      </c>
      <c r="N2429">
        <v>6</v>
      </c>
    </row>
    <row r="2430" spans="1:14" x14ac:dyDescent="0.35">
      <c r="A2430" s="1">
        <v>3513</v>
      </c>
      <c r="B2430">
        <v>9</v>
      </c>
      <c r="C2430">
        <v>53</v>
      </c>
      <c r="D2430">
        <v>3</v>
      </c>
      <c r="E2430">
        <v>1</v>
      </c>
      <c r="F2430">
        <v>3</v>
      </c>
      <c r="G2430">
        <v>8</v>
      </c>
      <c r="H2430">
        <v>3</v>
      </c>
      <c r="I2430">
        <v>0.01</v>
      </c>
      <c r="J2430">
        <v>7</v>
      </c>
      <c r="K2430">
        <v>0</v>
      </c>
      <c r="L2430" s="4">
        <v>0.83719292508227083</v>
      </c>
      <c r="M2430" s="4">
        <v>0.16280707491772919</v>
      </c>
      <c r="N2430">
        <v>6</v>
      </c>
    </row>
    <row r="2431" spans="1:14" x14ac:dyDescent="0.35">
      <c r="A2431" s="1">
        <v>1488</v>
      </c>
      <c r="B2431">
        <v>12</v>
      </c>
      <c r="C2431">
        <v>64</v>
      </c>
      <c r="D2431">
        <v>1</v>
      </c>
      <c r="E2431">
        <v>2</v>
      </c>
      <c r="F2431">
        <v>3</v>
      </c>
      <c r="G2431">
        <v>3</v>
      </c>
      <c r="H2431">
        <v>0</v>
      </c>
      <c r="I2431">
        <v>11000</v>
      </c>
      <c r="J2431">
        <v>4</v>
      </c>
      <c r="K2431">
        <v>0</v>
      </c>
      <c r="L2431" s="4">
        <v>0.83723130014089631</v>
      </c>
      <c r="M2431" s="4">
        <v>0.16276869985910369</v>
      </c>
      <c r="N2431">
        <v>6</v>
      </c>
    </row>
    <row r="2432" spans="1:14" x14ac:dyDescent="0.35">
      <c r="A2432" s="1">
        <v>774</v>
      </c>
      <c r="B2432">
        <v>9</v>
      </c>
      <c r="C2432">
        <v>53</v>
      </c>
      <c r="D2432">
        <v>4</v>
      </c>
      <c r="E2432">
        <v>1</v>
      </c>
      <c r="F2432">
        <v>3</v>
      </c>
      <c r="G2432">
        <v>3</v>
      </c>
      <c r="H2432">
        <v>3</v>
      </c>
      <c r="I2432">
        <v>0.01</v>
      </c>
      <c r="J2432">
        <v>5</v>
      </c>
      <c r="K2432">
        <v>0</v>
      </c>
      <c r="L2432" s="4">
        <v>0.83738710460950594</v>
      </c>
      <c r="M2432" s="4">
        <v>0.16261289539049409</v>
      </c>
      <c r="N2432">
        <v>6</v>
      </c>
    </row>
    <row r="2433" spans="1:14" x14ac:dyDescent="0.35">
      <c r="A2433" s="1">
        <v>332</v>
      </c>
      <c r="B2433">
        <v>7</v>
      </c>
      <c r="C2433">
        <v>51</v>
      </c>
      <c r="D2433">
        <v>3</v>
      </c>
      <c r="E2433">
        <v>0</v>
      </c>
      <c r="F2433">
        <v>2</v>
      </c>
      <c r="G2433">
        <v>0</v>
      </c>
      <c r="H2433">
        <v>3</v>
      </c>
      <c r="I2433">
        <v>0.01</v>
      </c>
      <c r="J2433">
        <v>5</v>
      </c>
      <c r="K2433">
        <v>0</v>
      </c>
      <c r="L2433" s="4">
        <v>0.83744352233694597</v>
      </c>
      <c r="M2433" s="4">
        <v>0.16255647766305401</v>
      </c>
      <c r="N2433">
        <v>6</v>
      </c>
    </row>
    <row r="2434" spans="1:14" x14ac:dyDescent="0.35">
      <c r="A2434" s="1">
        <v>3852</v>
      </c>
      <c r="B2434">
        <v>10</v>
      </c>
      <c r="C2434">
        <v>65</v>
      </c>
      <c r="D2434">
        <v>2</v>
      </c>
      <c r="E2434">
        <v>0</v>
      </c>
      <c r="F2434">
        <v>0</v>
      </c>
      <c r="G2434">
        <v>4</v>
      </c>
      <c r="H2434">
        <v>2</v>
      </c>
      <c r="I2434">
        <v>1000</v>
      </c>
      <c r="J2434">
        <v>8</v>
      </c>
      <c r="K2434">
        <v>0</v>
      </c>
      <c r="L2434" s="4">
        <v>0.83752656547635573</v>
      </c>
      <c r="M2434" s="4">
        <v>0.16247343452364429</v>
      </c>
      <c r="N2434">
        <v>6</v>
      </c>
    </row>
    <row r="2435" spans="1:14" x14ac:dyDescent="0.35">
      <c r="A2435" s="1">
        <v>1971</v>
      </c>
      <c r="B2435">
        <v>6</v>
      </c>
      <c r="C2435">
        <v>48</v>
      </c>
      <c r="D2435">
        <v>2</v>
      </c>
      <c r="E2435">
        <v>0</v>
      </c>
      <c r="F2435">
        <v>0</v>
      </c>
      <c r="G2435">
        <v>4</v>
      </c>
      <c r="H2435">
        <v>3</v>
      </c>
      <c r="I2435">
        <v>0.01</v>
      </c>
      <c r="J2435">
        <v>5</v>
      </c>
      <c r="K2435">
        <v>0</v>
      </c>
      <c r="L2435" s="4">
        <v>0.83771577536482633</v>
      </c>
      <c r="M2435" s="4">
        <v>0.1622842246351737</v>
      </c>
      <c r="N2435">
        <v>6</v>
      </c>
    </row>
    <row r="2436" spans="1:14" x14ac:dyDescent="0.35">
      <c r="A2436" s="1">
        <v>1522</v>
      </c>
      <c r="B2436">
        <v>10</v>
      </c>
      <c r="C2436">
        <v>54</v>
      </c>
      <c r="D2436">
        <v>4</v>
      </c>
      <c r="E2436">
        <v>2</v>
      </c>
      <c r="F2436">
        <v>3</v>
      </c>
      <c r="G2436">
        <v>8</v>
      </c>
      <c r="H2436">
        <v>0</v>
      </c>
      <c r="I2436">
        <v>6000</v>
      </c>
      <c r="J2436">
        <v>1</v>
      </c>
      <c r="K2436">
        <v>0</v>
      </c>
      <c r="L2436" s="4">
        <v>0.83777054862654288</v>
      </c>
      <c r="M2436" s="4">
        <v>0.1622294513734571</v>
      </c>
      <c r="N2436">
        <v>6</v>
      </c>
    </row>
    <row r="2437" spans="1:14" x14ac:dyDescent="0.35">
      <c r="A2437" s="1">
        <v>3283</v>
      </c>
      <c r="B2437">
        <v>8</v>
      </c>
      <c r="C2437">
        <v>54</v>
      </c>
      <c r="D2437">
        <v>4</v>
      </c>
      <c r="E2437">
        <v>0</v>
      </c>
      <c r="F2437">
        <v>3</v>
      </c>
      <c r="G2437">
        <v>3</v>
      </c>
      <c r="H2437">
        <v>3</v>
      </c>
      <c r="I2437">
        <v>0.01</v>
      </c>
      <c r="J2437">
        <v>9</v>
      </c>
      <c r="K2437">
        <v>0</v>
      </c>
      <c r="L2437" s="4">
        <v>0.83783247798982274</v>
      </c>
      <c r="M2437" s="4">
        <v>0.1621675220101772</v>
      </c>
      <c r="N2437">
        <v>6</v>
      </c>
    </row>
    <row r="2438" spans="1:14" x14ac:dyDescent="0.35">
      <c r="A2438" s="1">
        <v>1012</v>
      </c>
      <c r="B2438">
        <v>6</v>
      </c>
      <c r="C2438">
        <v>36</v>
      </c>
      <c r="D2438">
        <v>4</v>
      </c>
      <c r="E2438">
        <v>2</v>
      </c>
      <c r="F2438">
        <v>3</v>
      </c>
      <c r="G2438">
        <v>3</v>
      </c>
      <c r="H2438">
        <v>3</v>
      </c>
      <c r="I2438">
        <v>0.01</v>
      </c>
      <c r="J2438">
        <v>5</v>
      </c>
      <c r="K2438">
        <v>0</v>
      </c>
      <c r="L2438" s="4">
        <v>0.83788655306574245</v>
      </c>
      <c r="M2438" s="4">
        <v>0.16211344693425761</v>
      </c>
      <c r="N2438">
        <v>6</v>
      </c>
    </row>
    <row r="2439" spans="1:14" x14ac:dyDescent="0.35">
      <c r="A2439" s="1">
        <v>1025</v>
      </c>
      <c r="B2439">
        <v>8</v>
      </c>
      <c r="C2439">
        <v>53</v>
      </c>
      <c r="D2439">
        <v>2</v>
      </c>
      <c r="E2439">
        <v>1</v>
      </c>
      <c r="F2439">
        <v>2</v>
      </c>
      <c r="G2439">
        <v>1</v>
      </c>
      <c r="H2439">
        <v>0</v>
      </c>
      <c r="I2439">
        <v>12000</v>
      </c>
      <c r="J2439">
        <v>2</v>
      </c>
      <c r="K2439">
        <v>0</v>
      </c>
      <c r="L2439" s="4">
        <v>0.83795736339625182</v>
      </c>
      <c r="M2439" s="4">
        <v>0.16204263660374821</v>
      </c>
      <c r="N2439">
        <v>6</v>
      </c>
    </row>
    <row r="2440" spans="1:14" x14ac:dyDescent="0.35">
      <c r="A2440" s="1">
        <v>1471</v>
      </c>
      <c r="B2440">
        <v>8</v>
      </c>
      <c r="C2440">
        <v>55</v>
      </c>
      <c r="D2440">
        <v>2</v>
      </c>
      <c r="E2440">
        <v>0</v>
      </c>
      <c r="F2440">
        <v>3</v>
      </c>
      <c r="G2440">
        <v>3</v>
      </c>
      <c r="H2440">
        <v>3</v>
      </c>
      <c r="I2440">
        <v>0.01</v>
      </c>
      <c r="J2440">
        <v>14</v>
      </c>
      <c r="K2440">
        <v>0</v>
      </c>
      <c r="L2440" s="4">
        <v>0.83798776493520366</v>
      </c>
      <c r="M2440" s="4">
        <v>0.16201223506479631</v>
      </c>
      <c r="N2440">
        <v>6</v>
      </c>
    </row>
    <row r="2441" spans="1:14" x14ac:dyDescent="0.35">
      <c r="A2441" s="1">
        <v>399</v>
      </c>
      <c r="B2441">
        <v>8</v>
      </c>
      <c r="C2441">
        <v>50</v>
      </c>
      <c r="D2441">
        <v>5</v>
      </c>
      <c r="E2441">
        <v>1</v>
      </c>
      <c r="F2441">
        <v>0</v>
      </c>
      <c r="G2441">
        <v>4</v>
      </c>
      <c r="H2441">
        <v>3</v>
      </c>
      <c r="I2441">
        <v>0.01</v>
      </c>
      <c r="J2441">
        <v>8</v>
      </c>
      <c r="K2441">
        <v>0</v>
      </c>
      <c r="L2441" s="4">
        <v>0.83818320802500679</v>
      </c>
      <c r="M2441" s="4">
        <v>0.16181679197499321</v>
      </c>
      <c r="N2441">
        <v>6</v>
      </c>
    </row>
    <row r="2442" spans="1:14" x14ac:dyDescent="0.35">
      <c r="A2442" s="1">
        <v>1562</v>
      </c>
      <c r="B2442">
        <v>12</v>
      </c>
      <c r="C2442">
        <v>72</v>
      </c>
      <c r="D2442">
        <v>0</v>
      </c>
      <c r="E2442">
        <v>0</v>
      </c>
      <c r="F2442">
        <v>3</v>
      </c>
      <c r="G2442">
        <v>3</v>
      </c>
      <c r="H2442">
        <v>3</v>
      </c>
      <c r="I2442">
        <v>0.01</v>
      </c>
      <c r="J2442">
        <v>8</v>
      </c>
      <c r="K2442">
        <v>0</v>
      </c>
      <c r="L2442" s="4">
        <v>0.8384206658547525</v>
      </c>
      <c r="M2442" s="4">
        <v>0.1615793341452475</v>
      </c>
      <c r="N2442">
        <v>6</v>
      </c>
    </row>
    <row r="2443" spans="1:14" x14ac:dyDescent="0.35">
      <c r="A2443" s="1">
        <v>1748</v>
      </c>
      <c r="B2443">
        <v>8</v>
      </c>
      <c r="C2443">
        <v>53</v>
      </c>
      <c r="D2443">
        <v>2</v>
      </c>
      <c r="E2443">
        <v>1</v>
      </c>
      <c r="F2443">
        <v>0</v>
      </c>
      <c r="G2443">
        <v>10</v>
      </c>
      <c r="H2443">
        <v>0</v>
      </c>
      <c r="I2443">
        <v>6000</v>
      </c>
      <c r="J2443">
        <v>1</v>
      </c>
      <c r="K2443">
        <v>0</v>
      </c>
      <c r="L2443" s="4">
        <v>0.83843315751192871</v>
      </c>
      <c r="M2443" s="4">
        <v>0.16156684248807129</v>
      </c>
      <c r="N2443">
        <v>6</v>
      </c>
    </row>
    <row r="2444" spans="1:14" x14ac:dyDescent="0.35">
      <c r="A2444" s="1">
        <v>3150</v>
      </c>
      <c r="B2444">
        <v>8</v>
      </c>
      <c r="C2444">
        <v>53</v>
      </c>
      <c r="D2444">
        <v>0</v>
      </c>
      <c r="E2444">
        <v>1</v>
      </c>
      <c r="F2444">
        <v>0</v>
      </c>
      <c r="G2444">
        <v>4</v>
      </c>
      <c r="H2444">
        <v>2</v>
      </c>
      <c r="I2444">
        <v>4035.57</v>
      </c>
      <c r="J2444">
        <v>5</v>
      </c>
      <c r="K2444">
        <v>0</v>
      </c>
      <c r="L2444" s="4">
        <v>0.83850168965262994</v>
      </c>
      <c r="M2444" s="4">
        <v>0.16149831034737011</v>
      </c>
      <c r="N2444">
        <v>6</v>
      </c>
    </row>
    <row r="2445" spans="1:14" x14ac:dyDescent="0.35">
      <c r="A2445" s="1">
        <v>2202</v>
      </c>
      <c r="B2445">
        <v>8</v>
      </c>
      <c r="C2445">
        <v>58</v>
      </c>
      <c r="D2445">
        <v>2</v>
      </c>
      <c r="E2445">
        <v>0</v>
      </c>
      <c r="F2445">
        <v>0</v>
      </c>
      <c r="G2445">
        <v>11</v>
      </c>
      <c r="H2445">
        <v>0</v>
      </c>
      <c r="I2445">
        <v>7000</v>
      </c>
      <c r="J2445">
        <v>6</v>
      </c>
      <c r="K2445">
        <v>1</v>
      </c>
      <c r="L2445" s="4">
        <v>0.83881827956345623</v>
      </c>
      <c r="M2445" s="4">
        <v>0.1611817204365438</v>
      </c>
      <c r="N2445">
        <v>6</v>
      </c>
    </row>
    <row r="2446" spans="1:14" x14ac:dyDescent="0.35">
      <c r="A2446" s="1">
        <v>1771</v>
      </c>
      <c r="B2446">
        <v>10</v>
      </c>
      <c r="C2446">
        <v>66</v>
      </c>
      <c r="D2446">
        <v>2</v>
      </c>
      <c r="E2446">
        <v>0</v>
      </c>
      <c r="F2446">
        <v>0</v>
      </c>
      <c r="G2446">
        <v>11</v>
      </c>
      <c r="H2446">
        <v>0</v>
      </c>
      <c r="I2446">
        <v>6000</v>
      </c>
      <c r="J2446">
        <v>2</v>
      </c>
      <c r="K2446">
        <v>0</v>
      </c>
      <c r="L2446" s="4">
        <v>0.83891398056866828</v>
      </c>
      <c r="M2446" s="4">
        <v>0.1610860194313318</v>
      </c>
      <c r="N2446">
        <v>6</v>
      </c>
    </row>
    <row r="2447" spans="1:14" x14ac:dyDescent="0.35">
      <c r="A2447" s="1">
        <v>2030</v>
      </c>
      <c r="B2447">
        <v>9</v>
      </c>
      <c r="C2447">
        <v>56</v>
      </c>
      <c r="D2447">
        <v>3</v>
      </c>
      <c r="E2447">
        <v>1</v>
      </c>
      <c r="F2447">
        <v>0</v>
      </c>
      <c r="G2447">
        <v>2</v>
      </c>
      <c r="H2447">
        <v>2</v>
      </c>
      <c r="I2447">
        <v>5000</v>
      </c>
      <c r="J2447">
        <v>5</v>
      </c>
      <c r="K2447">
        <v>0</v>
      </c>
      <c r="L2447" s="4">
        <v>0.83893174786155178</v>
      </c>
      <c r="M2447" s="4">
        <v>0.16106825213844819</v>
      </c>
      <c r="N2447">
        <v>6</v>
      </c>
    </row>
    <row r="2448" spans="1:14" x14ac:dyDescent="0.35">
      <c r="A2448" s="1">
        <v>4062</v>
      </c>
      <c r="B2448">
        <v>8</v>
      </c>
      <c r="C2448">
        <v>55</v>
      </c>
      <c r="D2448">
        <v>5</v>
      </c>
      <c r="E2448">
        <v>0</v>
      </c>
      <c r="F2448">
        <v>1</v>
      </c>
      <c r="G2448">
        <v>7</v>
      </c>
      <c r="H2448">
        <v>2</v>
      </c>
      <c r="I2448">
        <v>0.02</v>
      </c>
      <c r="J2448">
        <v>8</v>
      </c>
      <c r="K2448">
        <v>0</v>
      </c>
      <c r="L2448" s="4">
        <v>0.83903242982645299</v>
      </c>
      <c r="M2448" s="4">
        <v>0.16096757017354699</v>
      </c>
      <c r="N2448">
        <v>6</v>
      </c>
    </row>
    <row r="2449" spans="1:14" x14ac:dyDescent="0.35">
      <c r="A2449" s="1">
        <v>971</v>
      </c>
      <c r="B2449">
        <v>8</v>
      </c>
      <c r="C2449">
        <v>54</v>
      </c>
      <c r="D2449">
        <v>2</v>
      </c>
      <c r="E2449">
        <v>0</v>
      </c>
      <c r="F2449">
        <v>4</v>
      </c>
      <c r="G2449">
        <v>9</v>
      </c>
      <c r="H2449">
        <v>3</v>
      </c>
      <c r="I2449">
        <v>0.01</v>
      </c>
      <c r="J2449">
        <v>8</v>
      </c>
      <c r="K2449">
        <v>0</v>
      </c>
      <c r="L2449" s="4">
        <v>0.83919219083134711</v>
      </c>
      <c r="M2449" s="4">
        <v>0.16080780916865289</v>
      </c>
      <c r="N2449">
        <v>6</v>
      </c>
    </row>
    <row r="2450" spans="1:14" x14ac:dyDescent="0.35">
      <c r="A2450" s="1">
        <v>1728</v>
      </c>
      <c r="B2450">
        <v>5</v>
      </c>
      <c r="C2450">
        <v>44</v>
      </c>
      <c r="D2450">
        <v>1</v>
      </c>
      <c r="E2450">
        <v>0</v>
      </c>
      <c r="F2450">
        <v>2</v>
      </c>
      <c r="G2450">
        <v>1</v>
      </c>
      <c r="H2450">
        <v>3</v>
      </c>
      <c r="I2450">
        <v>0.01</v>
      </c>
      <c r="J2450">
        <v>9</v>
      </c>
      <c r="K2450">
        <v>1</v>
      </c>
      <c r="L2450" s="4">
        <v>0.83933516417525722</v>
      </c>
      <c r="M2450" s="4">
        <v>0.16066483582474281</v>
      </c>
      <c r="N2450">
        <v>6</v>
      </c>
    </row>
    <row r="2451" spans="1:14" x14ac:dyDescent="0.35">
      <c r="A2451" s="1">
        <v>2279</v>
      </c>
      <c r="B2451">
        <v>8</v>
      </c>
      <c r="C2451">
        <v>51</v>
      </c>
      <c r="D2451">
        <v>3</v>
      </c>
      <c r="E2451">
        <v>1</v>
      </c>
      <c r="F2451">
        <v>1</v>
      </c>
      <c r="G2451">
        <v>7</v>
      </c>
      <c r="H2451">
        <v>2</v>
      </c>
      <c r="I2451">
        <v>2500</v>
      </c>
      <c r="J2451">
        <v>4</v>
      </c>
      <c r="K2451">
        <v>0</v>
      </c>
      <c r="L2451" s="4">
        <v>0.83947600099060904</v>
      </c>
      <c r="M2451" s="4">
        <v>0.16052399900939099</v>
      </c>
      <c r="N2451">
        <v>6</v>
      </c>
    </row>
    <row r="2452" spans="1:14" x14ac:dyDescent="0.35">
      <c r="A2452" s="1">
        <v>2305</v>
      </c>
      <c r="B2452">
        <v>9</v>
      </c>
      <c r="C2452">
        <v>61</v>
      </c>
      <c r="D2452">
        <v>3</v>
      </c>
      <c r="E2452">
        <v>0</v>
      </c>
      <c r="F2452">
        <v>0</v>
      </c>
      <c r="G2452">
        <v>2</v>
      </c>
      <c r="H2452">
        <v>2</v>
      </c>
      <c r="I2452">
        <v>2000</v>
      </c>
      <c r="J2452">
        <v>9</v>
      </c>
      <c r="K2452">
        <v>0</v>
      </c>
      <c r="L2452" s="4">
        <v>0.83961785422970014</v>
      </c>
      <c r="M2452" s="4">
        <v>0.16038214577029991</v>
      </c>
      <c r="N2452">
        <v>6</v>
      </c>
    </row>
    <row r="2453" spans="1:14" x14ac:dyDescent="0.35">
      <c r="A2453" s="1">
        <v>4442</v>
      </c>
      <c r="B2453">
        <v>10</v>
      </c>
      <c r="C2453">
        <v>62</v>
      </c>
      <c r="D2453">
        <v>0</v>
      </c>
      <c r="E2453">
        <v>1</v>
      </c>
      <c r="F2453">
        <v>1</v>
      </c>
      <c r="G2453">
        <v>7</v>
      </c>
      <c r="H2453">
        <v>0</v>
      </c>
      <c r="I2453">
        <v>6000</v>
      </c>
      <c r="J2453">
        <v>4</v>
      </c>
      <c r="K2453">
        <v>0</v>
      </c>
      <c r="L2453" s="4">
        <v>0.83973292633038843</v>
      </c>
      <c r="M2453" s="4">
        <v>0.1602670736696116</v>
      </c>
      <c r="N2453">
        <v>6</v>
      </c>
    </row>
    <row r="2454" spans="1:14" x14ac:dyDescent="0.35">
      <c r="A2454" s="1">
        <v>3428</v>
      </c>
      <c r="B2454">
        <v>10</v>
      </c>
      <c r="C2454">
        <v>64</v>
      </c>
      <c r="D2454">
        <v>0</v>
      </c>
      <c r="E2454">
        <v>0</v>
      </c>
      <c r="F2454">
        <v>3</v>
      </c>
      <c r="G2454">
        <v>3</v>
      </c>
      <c r="H2454">
        <v>3</v>
      </c>
      <c r="I2454">
        <v>0.01</v>
      </c>
      <c r="J2454">
        <v>5</v>
      </c>
      <c r="K2454">
        <v>0</v>
      </c>
      <c r="L2454" s="4">
        <v>0.83975716344740903</v>
      </c>
      <c r="M2454" s="4">
        <v>0.16024283655259089</v>
      </c>
      <c r="N2454">
        <v>6</v>
      </c>
    </row>
    <row r="2455" spans="1:14" x14ac:dyDescent="0.35">
      <c r="A2455" s="1">
        <v>2349</v>
      </c>
      <c r="B2455">
        <v>8</v>
      </c>
      <c r="C2455">
        <v>55</v>
      </c>
      <c r="D2455">
        <v>5</v>
      </c>
      <c r="E2455">
        <v>0</v>
      </c>
      <c r="F2455">
        <v>1</v>
      </c>
      <c r="G2455">
        <v>7</v>
      </c>
      <c r="H2455">
        <v>2</v>
      </c>
      <c r="I2455">
        <v>2000</v>
      </c>
      <c r="J2455">
        <v>1</v>
      </c>
      <c r="K2455">
        <v>0</v>
      </c>
      <c r="L2455" s="4">
        <v>0.83981058464784786</v>
      </c>
      <c r="M2455" s="4">
        <v>0.16018941535215209</v>
      </c>
      <c r="N2455">
        <v>6</v>
      </c>
    </row>
    <row r="2456" spans="1:14" x14ac:dyDescent="0.35">
      <c r="A2456" s="1">
        <v>2853</v>
      </c>
      <c r="B2456">
        <v>11</v>
      </c>
      <c r="C2456">
        <v>64</v>
      </c>
      <c r="D2456">
        <v>5</v>
      </c>
      <c r="E2456">
        <v>1</v>
      </c>
      <c r="F2456">
        <v>0</v>
      </c>
      <c r="G2456">
        <v>11</v>
      </c>
      <c r="H2456">
        <v>1</v>
      </c>
      <c r="I2456">
        <v>30035.47</v>
      </c>
      <c r="J2456">
        <v>8</v>
      </c>
      <c r="K2456">
        <v>0</v>
      </c>
      <c r="L2456" s="4">
        <v>0.83997780464677985</v>
      </c>
      <c r="M2456" s="4">
        <v>0.16002219535322021</v>
      </c>
      <c r="N2456">
        <v>6</v>
      </c>
    </row>
    <row r="2457" spans="1:14" x14ac:dyDescent="0.35">
      <c r="A2457" s="1">
        <v>477</v>
      </c>
      <c r="B2457">
        <v>9</v>
      </c>
      <c r="C2457">
        <v>61</v>
      </c>
      <c r="D2457">
        <v>3</v>
      </c>
      <c r="E2457">
        <v>0</v>
      </c>
      <c r="F2457">
        <v>0</v>
      </c>
      <c r="G2457">
        <v>2</v>
      </c>
      <c r="H2457">
        <v>2</v>
      </c>
      <c r="I2457">
        <v>3185.2</v>
      </c>
      <c r="J2457">
        <v>5</v>
      </c>
      <c r="K2457">
        <v>0</v>
      </c>
      <c r="L2457" s="4">
        <v>0.84005240829479455</v>
      </c>
      <c r="M2457" s="4">
        <v>0.15994759170520539</v>
      </c>
      <c r="N2457">
        <v>6</v>
      </c>
    </row>
    <row r="2458" spans="1:14" x14ac:dyDescent="0.35">
      <c r="A2458" s="1">
        <v>1298</v>
      </c>
      <c r="B2458">
        <v>5</v>
      </c>
      <c r="C2458">
        <v>42</v>
      </c>
      <c r="D2458">
        <v>5</v>
      </c>
      <c r="E2458">
        <v>0</v>
      </c>
      <c r="F2458">
        <v>3</v>
      </c>
      <c r="G2458">
        <v>8</v>
      </c>
      <c r="H2458">
        <v>2</v>
      </c>
      <c r="I2458">
        <v>600</v>
      </c>
      <c r="J2458">
        <v>10</v>
      </c>
      <c r="K2458">
        <v>0</v>
      </c>
      <c r="L2458" s="4">
        <v>0.84006880229841874</v>
      </c>
      <c r="M2458" s="4">
        <v>0.15993119770158129</v>
      </c>
      <c r="N2458">
        <v>6</v>
      </c>
    </row>
    <row r="2459" spans="1:14" x14ac:dyDescent="0.35">
      <c r="A2459" s="1">
        <v>3756</v>
      </c>
      <c r="B2459">
        <v>7</v>
      </c>
      <c r="C2459">
        <v>51</v>
      </c>
      <c r="D2459">
        <v>3</v>
      </c>
      <c r="E2459">
        <v>0</v>
      </c>
      <c r="F2459">
        <v>3</v>
      </c>
      <c r="G2459">
        <v>8</v>
      </c>
      <c r="H2459">
        <v>2</v>
      </c>
      <c r="I2459">
        <v>3000</v>
      </c>
      <c r="J2459">
        <v>8</v>
      </c>
      <c r="K2459">
        <v>0</v>
      </c>
      <c r="L2459" s="4">
        <v>0.84009947532281393</v>
      </c>
      <c r="M2459" s="4">
        <v>0.1599005246771861</v>
      </c>
      <c r="N2459">
        <v>6</v>
      </c>
    </row>
    <row r="2460" spans="1:14" x14ac:dyDescent="0.35">
      <c r="A2460" s="1">
        <v>3994</v>
      </c>
      <c r="B2460">
        <v>8</v>
      </c>
      <c r="C2460">
        <v>51</v>
      </c>
      <c r="D2460">
        <v>5</v>
      </c>
      <c r="E2460">
        <v>1</v>
      </c>
      <c r="F2460">
        <v>0</v>
      </c>
      <c r="G2460">
        <v>4</v>
      </c>
      <c r="H2460">
        <v>2</v>
      </c>
      <c r="I2460">
        <v>300</v>
      </c>
      <c r="J2460">
        <v>9</v>
      </c>
      <c r="K2460">
        <v>0</v>
      </c>
      <c r="L2460" s="4">
        <v>0.84012598162537655</v>
      </c>
      <c r="M2460" s="4">
        <v>0.15987401837462339</v>
      </c>
      <c r="N2460">
        <v>6</v>
      </c>
    </row>
    <row r="2461" spans="1:14" x14ac:dyDescent="0.35">
      <c r="A2461" s="1">
        <v>2752</v>
      </c>
      <c r="B2461">
        <v>9</v>
      </c>
      <c r="C2461">
        <v>59</v>
      </c>
      <c r="D2461">
        <v>3</v>
      </c>
      <c r="E2461">
        <v>0</v>
      </c>
      <c r="F2461">
        <v>3</v>
      </c>
      <c r="G2461">
        <v>8</v>
      </c>
      <c r="H2461">
        <v>2</v>
      </c>
      <c r="I2461">
        <v>1420</v>
      </c>
      <c r="J2461">
        <v>5</v>
      </c>
      <c r="K2461">
        <v>0</v>
      </c>
      <c r="L2461" s="4">
        <v>0.84014748879083601</v>
      </c>
      <c r="M2461" s="4">
        <v>0.15985251120916399</v>
      </c>
      <c r="N2461">
        <v>6</v>
      </c>
    </row>
    <row r="2462" spans="1:14" x14ac:dyDescent="0.35">
      <c r="A2462" s="1">
        <v>2863</v>
      </c>
      <c r="B2462">
        <v>12</v>
      </c>
      <c r="C2462">
        <v>73</v>
      </c>
      <c r="D2462">
        <v>4</v>
      </c>
      <c r="E2462">
        <v>0</v>
      </c>
      <c r="F2462">
        <v>2</v>
      </c>
      <c r="G2462">
        <v>6</v>
      </c>
      <c r="H2462">
        <v>0</v>
      </c>
      <c r="I2462">
        <v>6053.35</v>
      </c>
      <c r="J2462">
        <v>7</v>
      </c>
      <c r="K2462">
        <v>1</v>
      </c>
      <c r="L2462" s="4">
        <v>0.8401639454667158</v>
      </c>
      <c r="M2462" s="4">
        <v>0.1598360545332842</v>
      </c>
      <c r="N2462">
        <v>6</v>
      </c>
    </row>
    <row r="2463" spans="1:14" x14ac:dyDescent="0.35">
      <c r="A2463" s="1">
        <v>3166</v>
      </c>
      <c r="B2463">
        <v>6</v>
      </c>
      <c r="C2463">
        <v>48</v>
      </c>
      <c r="D2463">
        <v>1</v>
      </c>
      <c r="E2463">
        <v>0</v>
      </c>
      <c r="F2463">
        <v>1</v>
      </c>
      <c r="G2463">
        <v>7</v>
      </c>
      <c r="H2463">
        <v>3</v>
      </c>
      <c r="I2463">
        <v>0.01</v>
      </c>
      <c r="J2463">
        <v>5</v>
      </c>
      <c r="K2463">
        <v>0</v>
      </c>
      <c r="L2463" s="4">
        <v>0.84022729013062336</v>
      </c>
      <c r="M2463" s="4">
        <v>0.15977270986937669</v>
      </c>
      <c r="N2463">
        <v>6</v>
      </c>
    </row>
    <row r="2464" spans="1:14" x14ac:dyDescent="0.35">
      <c r="A2464" s="1">
        <v>1850</v>
      </c>
      <c r="B2464">
        <v>10</v>
      </c>
      <c r="C2464">
        <v>54</v>
      </c>
      <c r="D2464">
        <v>4</v>
      </c>
      <c r="E2464">
        <v>2</v>
      </c>
      <c r="F2464">
        <v>0</v>
      </c>
      <c r="G2464">
        <v>2</v>
      </c>
      <c r="H2464">
        <v>3</v>
      </c>
      <c r="I2464">
        <v>0.01</v>
      </c>
      <c r="J2464">
        <v>5</v>
      </c>
      <c r="K2464">
        <v>0</v>
      </c>
      <c r="L2464" s="4">
        <v>0.84024914578295062</v>
      </c>
      <c r="M2464" s="4">
        <v>0.15975085421704929</v>
      </c>
      <c r="N2464">
        <v>6</v>
      </c>
    </row>
    <row r="2465" spans="1:14" x14ac:dyDescent="0.35">
      <c r="A2465" s="1">
        <v>1288</v>
      </c>
      <c r="B2465">
        <v>6</v>
      </c>
      <c r="C2465">
        <v>48</v>
      </c>
      <c r="D2465">
        <v>1</v>
      </c>
      <c r="E2465">
        <v>0</v>
      </c>
      <c r="F2465">
        <v>3</v>
      </c>
      <c r="G2465">
        <v>8</v>
      </c>
      <c r="H2465">
        <v>2</v>
      </c>
      <c r="I2465">
        <v>4000</v>
      </c>
      <c r="J2465">
        <v>14</v>
      </c>
      <c r="K2465">
        <v>0</v>
      </c>
      <c r="L2465" s="4">
        <v>0.8402698416527723</v>
      </c>
      <c r="M2465" s="4">
        <v>0.1597301583472277</v>
      </c>
      <c r="N2465">
        <v>6</v>
      </c>
    </row>
    <row r="2466" spans="1:14" x14ac:dyDescent="0.35">
      <c r="A2466" s="1">
        <v>972</v>
      </c>
      <c r="B2466">
        <v>8</v>
      </c>
      <c r="C2466">
        <v>51</v>
      </c>
      <c r="D2466">
        <v>3</v>
      </c>
      <c r="E2466">
        <v>1</v>
      </c>
      <c r="F2466">
        <v>1</v>
      </c>
      <c r="G2466">
        <v>7</v>
      </c>
      <c r="H2466">
        <v>2</v>
      </c>
      <c r="I2466">
        <v>50</v>
      </c>
      <c r="J2466">
        <v>2</v>
      </c>
      <c r="K2466">
        <v>0</v>
      </c>
      <c r="L2466" s="4">
        <v>0.84035235358985938</v>
      </c>
      <c r="M2466" s="4">
        <v>0.1596476464101407</v>
      </c>
      <c r="N2466">
        <v>6</v>
      </c>
    </row>
    <row r="2467" spans="1:14" x14ac:dyDescent="0.35">
      <c r="A2467" s="1">
        <v>3110</v>
      </c>
      <c r="B2467">
        <v>5</v>
      </c>
      <c r="C2467">
        <v>39</v>
      </c>
      <c r="D2467">
        <v>3</v>
      </c>
      <c r="E2467">
        <v>1</v>
      </c>
      <c r="F2467">
        <v>0</v>
      </c>
      <c r="G2467">
        <v>4</v>
      </c>
      <c r="H2467">
        <v>3</v>
      </c>
      <c r="I2467">
        <v>0.01</v>
      </c>
      <c r="J2467">
        <v>7</v>
      </c>
      <c r="K2467">
        <v>1</v>
      </c>
      <c r="L2467" s="4">
        <v>0.84059888771481162</v>
      </c>
      <c r="M2467" s="4">
        <v>0.1594011122851883</v>
      </c>
      <c r="N2467">
        <v>6</v>
      </c>
    </row>
    <row r="2468" spans="1:14" x14ac:dyDescent="0.35">
      <c r="A2468" s="1">
        <v>2431</v>
      </c>
      <c r="B2468">
        <v>10</v>
      </c>
      <c r="C2468">
        <v>59</v>
      </c>
      <c r="D2468">
        <v>4</v>
      </c>
      <c r="E2468">
        <v>1</v>
      </c>
      <c r="F2468">
        <v>0</v>
      </c>
      <c r="G2468">
        <v>11</v>
      </c>
      <c r="H2468">
        <v>2</v>
      </c>
      <c r="I2468">
        <v>3000</v>
      </c>
      <c r="J2468">
        <v>7</v>
      </c>
      <c r="K2468">
        <v>0</v>
      </c>
      <c r="L2468" s="4">
        <v>0.84070268792053338</v>
      </c>
      <c r="M2468" s="4">
        <v>0.15929731207946671</v>
      </c>
      <c r="N2468">
        <v>6</v>
      </c>
    </row>
    <row r="2469" spans="1:14" x14ac:dyDescent="0.35">
      <c r="A2469" s="1">
        <v>3865</v>
      </c>
      <c r="B2469">
        <v>8</v>
      </c>
      <c r="C2469">
        <v>51</v>
      </c>
      <c r="D2469">
        <v>2</v>
      </c>
      <c r="E2469">
        <v>1</v>
      </c>
      <c r="F2469">
        <v>1</v>
      </c>
      <c r="G2469">
        <v>5</v>
      </c>
      <c r="H2469">
        <v>3</v>
      </c>
      <c r="I2469">
        <v>0.01</v>
      </c>
      <c r="J2469">
        <v>5</v>
      </c>
      <c r="K2469">
        <v>0</v>
      </c>
      <c r="L2469" s="4">
        <v>0.84074844564499063</v>
      </c>
      <c r="M2469" s="4">
        <v>0.1592515543550094</v>
      </c>
      <c r="N2469">
        <v>6</v>
      </c>
    </row>
    <row r="2470" spans="1:14" x14ac:dyDescent="0.35">
      <c r="A2470" s="1">
        <v>3536</v>
      </c>
      <c r="B2470">
        <v>5</v>
      </c>
      <c r="C2470">
        <v>44</v>
      </c>
      <c r="D2470">
        <v>3</v>
      </c>
      <c r="E2470">
        <v>0</v>
      </c>
      <c r="F2470">
        <v>1</v>
      </c>
      <c r="G2470">
        <v>5</v>
      </c>
      <c r="H2470">
        <v>2</v>
      </c>
      <c r="I2470">
        <v>1000</v>
      </c>
      <c r="J2470">
        <v>1</v>
      </c>
      <c r="K2470">
        <v>0</v>
      </c>
      <c r="L2470" s="4">
        <v>0.8407856868980097</v>
      </c>
      <c r="M2470" s="4">
        <v>0.1592143131019903</v>
      </c>
      <c r="N2470">
        <v>6</v>
      </c>
    </row>
    <row r="2471" spans="1:14" x14ac:dyDescent="0.35">
      <c r="A2471" s="1">
        <v>2409</v>
      </c>
      <c r="B2471">
        <v>11</v>
      </c>
      <c r="C2471">
        <v>70</v>
      </c>
      <c r="D2471">
        <v>2</v>
      </c>
      <c r="E2471">
        <v>0</v>
      </c>
      <c r="F2471">
        <v>0</v>
      </c>
      <c r="G2471">
        <v>11</v>
      </c>
      <c r="H2471">
        <v>1</v>
      </c>
      <c r="I2471">
        <v>20531.939999999999</v>
      </c>
      <c r="J2471">
        <v>4</v>
      </c>
      <c r="K2471">
        <v>0</v>
      </c>
      <c r="L2471" s="4">
        <v>0.84093142216384398</v>
      </c>
      <c r="M2471" s="4">
        <v>0.15906857783615599</v>
      </c>
      <c r="N2471">
        <v>6</v>
      </c>
    </row>
    <row r="2472" spans="1:14" x14ac:dyDescent="0.35">
      <c r="A2472" s="1">
        <v>2197</v>
      </c>
      <c r="B2472">
        <v>8</v>
      </c>
      <c r="C2472">
        <v>56</v>
      </c>
      <c r="D2472">
        <v>2</v>
      </c>
      <c r="E2472">
        <v>0</v>
      </c>
      <c r="F2472">
        <v>1</v>
      </c>
      <c r="G2472">
        <v>5</v>
      </c>
      <c r="H2472">
        <v>3</v>
      </c>
      <c r="I2472">
        <v>0.01</v>
      </c>
      <c r="J2472">
        <v>8</v>
      </c>
      <c r="K2472">
        <v>0</v>
      </c>
      <c r="L2472" s="4">
        <v>0.84095421517350588</v>
      </c>
      <c r="M2472" s="4">
        <v>0.15904578482649409</v>
      </c>
      <c r="N2472">
        <v>6</v>
      </c>
    </row>
    <row r="2473" spans="1:14" x14ac:dyDescent="0.35">
      <c r="A2473" s="1">
        <v>1131</v>
      </c>
      <c r="B2473">
        <v>6</v>
      </c>
      <c r="C2473">
        <v>50</v>
      </c>
      <c r="D2473">
        <v>0</v>
      </c>
      <c r="E2473">
        <v>0</v>
      </c>
      <c r="F2473">
        <v>3</v>
      </c>
      <c r="G2473">
        <v>3</v>
      </c>
      <c r="H2473">
        <v>1</v>
      </c>
      <c r="I2473">
        <v>25000</v>
      </c>
      <c r="J2473">
        <v>1</v>
      </c>
      <c r="K2473">
        <v>0</v>
      </c>
      <c r="L2473" s="4">
        <v>0.84100073942060516</v>
      </c>
      <c r="M2473" s="4">
        <v>0.1589992605793949</v>
      </c>
      <c r="N2473">
        <v>6</v>
      </c>
    </row>
    <row r="2474" spans="1:14" x14ac:dyDescent="0.35">
      <c r="A2474" s="1">
        <v>1048</v>
      </c>
      <c r="B2474">
        <v>7</v>
      </c>
      <c r="C2474">
        <v>51</v>
      </c>
      <c r="D2474">
        <v>3</v>
      </c>
      <c r="E2474">
        <v>0</v>
      </c>
      <c r="F2474">
        <v>3</v>
      </c>
      <c r="G2474">
        <v>8</v>
      </c>
      <c r="H2474">
        <v>2</v>
      </c>
      <c r="I2474">
        <v>2004.62</v>
      </c>
      <c r="J2474">
        <v>4</v>
      </c>
      <c r="K2474">
        <v>0</v>
      </c>
      <c r="L2474" s="4">
        <v>0.84100334143993116</v>
      </c>
      <c r="M2474" s="4">
        <v>0.15899665856006889</v>
      </c>
      <c r="N2474">
        <v>6</v>
      </c>
    </row>
    <row r="2475" spans="1:14" x14ac:dyDescent="0.35">
      <c r="A2475" s="1">
        <v>3417</v>
      </c>
      <c r="B2475">
        <v>4</v>
      </c>
      <c r="C2475">
        <v>40</v>
      </c>
      <c r="D2475">
        <v>5</v>
      </c>
      <c r="E2475">
        <v>0</v>
      </c>
      <c r="F2475">
        <v>0</v>
      </c>
      <c r="G2475">
        <v>2</v>
      </c>
      <c r="H2475">
        <v>2</v>
      </c>
      <c r="I2475">
        <v>500.01</v>
      </c>
      <c r="J2475">
        <v>8</v>
      </c>
      <c r="K2475">
        <v>0</v>
      </c>
      <c r="L2475" s="4">
        <v>0.84112591755162935</v>
      </c>
      <c r="M2475" s="4">
        <v>0.15887408244837059</v>
      </c>
      <c r="N2475">
        <v>6</v>
      </c>
    </row>
    <row r="2476" spans="1:14" x14ac:dyDescent="0.35">
      <c r="A2476" s="1">
        <v>2768</v>
      </c>
      <c r="B2476">
        <v>9</v>
      </c>
      <c r="C2476">
        <v>60</v>
      </c>
      <c r="D2476">
        <v>4</v>
      </c>
      <c r="E2476">
        <v>0</v>
      </c>
      <c r="F2476">
        <v>0</v>
      </c>
      <c r="G2476">
        <v>2</v>
      </c>
      <c r="H2476">
        <v>3</v>
      </c>
      <c r="I2476">
        <v>0.01</v>
      </c>
      <c r="J2476">
        <v>10</v>
      </c>
      <c r="K2476">
        <v>1</v>
      </c>
      <c r="L2476" s="4">
        <v>0.84123756294842023</v>
      </c>
      <c r="M2476" s="4">
        <v>0.1587624370515798</v>
      </c>
      <c r="N2476">
        <v>6</v>
      </c>
    </row>
    <row r="2477" spans="1:14" x14ac:dyDescent="0.35">
      <c r="A2477" s="1">
        <v>3268</v>
      </c>
      <c r="B2477">
        <v>11</v>
      </c>
      <c r="C2477">
        <v>62</v>
      </c>
      <c r="D2477">
        <v>5</v>
      </c>
      <c r="E2477">
        <v>1</v>
      </c>
      <c r="F2477">
        <v>3</v>
      </c>
      <c r="G2477">
        <v>3</v>
      </c>
      <c r="H2477">
        <v>2</v>
      </c>
      <c r="I2477">
        <v>50</v>
      </c>
      <c r="J2477">
        <v>11</v>
      </c>
      <c r="K2477">
        <v>0</v>
      </c>
      <c r="L2477" s="4">
        <v>0.84124813438054147</v>
      </c>
      <c r="M2477" s="4">
        <v>0.15875186561945859</v>
      </c>
      <c r="N2477">
        <v>6</v>
      </c>
    </row>
    <row r="2478" spans="1:14" x14ac:dyDescent="0.35">
      <c r="A2478" s="1">
        <v>76</v>
      </c>
      <c r="B2478">
        <v>6</v>
      </c>
      <c r="C2478">
        <v>47</v>
      </c>
      <c r="D2478">
        <v>4</v>
      </c>
      <c r="E2478">
        <v>0</v>
      </c>
      <c r="F2478">
        <v>0</v>
      </c>
      <c r="G2478">
        <v>11</v>
      </c>
      <c r="H2478">
        <v>3</v>
      </c>
      <c r="I2478">
        <v>0.01</v>
      </c>
      <c r="J2478">
        <v>8</v>
      </c>
      <c r="K2478">
        <v>0</v>
      </c>
      <c r="L2478" s="4">
        <v>0.84135329853568319</v>
      </c>
      <c r="M2478" s="4">
        <v>0.15864670146431681</v>
      </c>
      <c r="N2478">
        <v>6</v>
      </c>
    </row>
    <row r="2479" spans="1:14" x14ac:dyDescent="0.35">
      <c r="A2479" s="1">
        <v>1436</v>
      </c>
      <c r="B2479">
        <v>7</v>
      </c>
      <c r="C2479">
        <v>54</v>
      </c>
      <c r="D2479">
        <v>2</v>
      </c>
      <c r="E2479">
        <v>0</v>
      </c>
      <c r="F2479">
        <v>0</v>
      </c>
      <c r="G2479">
        <v>11</v>
      </c>
      <c r="H2479">
        <v>1</v>
      </c>
      <c r="I2479">
        <v>26313.06</v>
      </c>
      <c r="J2479">
        <v>3</v>
      </c>
      <c r="K2479">
        <v>0</v>
      </c>
      <c r="L2479" s="4">
        <v>0.8414733901539172</v>
      </c>
      <c r="M2479" s="4">
        <v>0.1585266098460828</v>
      </c>
      <c r="N2479">
        <v>6</v>
      </c>
    </row>
    <row r="2480" spans="1:14" x14ac:dyDescent="0.35">
      <c r="A2480" s="1">
        <v>1503</v>
      </c>
      <c r="B2480">
        <v>5</v>
      </c>
      <c r="C2480">
        <v>46</v>
      </c>
      <c r="D2480">
        <v>2</v>
      </c>
      <c r="E2480">
        <v>0</v>
      </c>
      <c r="F2480">
        <v>0</v>
      </c>
      <c r="G2480">
        <v>11</v>
      </c>
      <c r="H2480">
        <v>1</v>
      </c>
      <c r="I2480">
        <v>24878.35</v>
      </c>
      <c r="J2480">
        <v>9</v>
      </c>
      <c r="K2480">
        <v>0</v>
      </c>
      <c r="L2480" s="4">
        <v>0.84155938242747319</v>
      </c>
      <c r="M2480" s="4">
        <v>0.15844061757252681</v>
      </c>
      <c r="N2480">
        <v>6</v>
      </c>
    </row>
    <row r="2481" spans="1:14" x14ac:dyDescent="0.35">
      <c r="A2481" s="1">
        <v>2234</v>
      </c>
      <c r="B2481">
        <v>7</v>
      </c>
      <c r="C2481">
        <v>52</v>
      </c>
      <c r="D2481">
        <v>2</v>
      </c>
      <c r="E2481">
        <v>0</v>
      </c>
      <c r="F2481">
        <v>3</v>
      </c>
      <c r="G2481">
        <v>3</v>
      </c>
      <c r="H2481">
        <v>2</v>
      </c>
      <c r="I2481">
        <v>180</v>
      </c>
      <c r="J2481">
        <v>8</v>
      </c>
      <c r="K2481">
        <v>0</v>
      </c>
      <c r="L2481" s="4">
        <v>0.84156728425064753</v>
      </c>
      <c r="M2481" s="4">
        <v>0.1584327157493525</v>
      </c>
      <c r="N2481">
        <v>6</v>
      </c>
    </row>
    <row r="2482" spans="1:14" x14ac:dyDescent="0.35">
      <c r="A2482" s="1">
        <v>1173</v>
      </c>
      <c r="B2482">
        <v>8</v>
      </c>
      <c r="C2482">
        <v>45</v>
      </c>
      <c r="D2482">
        <v>3</v>
      </c>
      <c r="E2482">
        <v>2</v>
      </c>
      <c r="F2482">
        <v>3</v>
      </c>
      <c r="G2482">
        <v>3</v>
      </c>
      <c r="H2482">
        <v>3</v>
      </c>
      <c r="I2482">
        <v>0.01</v>
      </c>
      <c r="J2482">
        <v>5</v>
      </c>
      <c r="K2482">
        <v>0</v>
      </c>
      <c r="L2482" s="4">
        <v>0.84163100825730475</v>
      </c>
      <c r="M2482" s="4">
        <v>0.1583689917426952</v>
      </c>
      <c r="N2482">
        <v>6</v>
      </c>
    </row>
    <row r="2483" spans="1:14" x14ac:dyDescent="0.35">
      <c r="A2483" s="1">
        <v>3082</v>
      </c>
      <c r="B2483">
        <v>9</v>
      </c>
      <c r="C2483">
        <v>48</v>
      </c>
      <c r="D2483">
        <v>5</v>
      </c>
      <c r="E2483">
        <v>2</v>
      </c>
      <c r="F2483">
        <v>4</v>
      </c>
      <c r="G2483">
        <v>9</v>
      </c>
      <c r="H2483">
        <v>2</v>
      </c>
      <c r="I2483">
        <v>4000</v>
      </c>
      <c r="J2483">
        <v>5</v>
      </c>
      <c r="K2483">
        <v>0</v>
      </c>
      <c r="L2483" s="4">
        <v>0.84167295113945684</v>
      </c>
      <c r="M2483" s="4">
        <v>0.15832704886054319</v>
      </c>
      <c r="N2483">
        <v>6</v>
      </c>
    </row>
    <row r="2484" spans="1:14" x14ac:dyDescent="0.35">
      <c r="A2484" s="1">
        <v>2330</v>
      </c>
      <c r="B2484">
        <v>6</v>
      </c>
      <c r="C2484">
        <v>46</v>
      </c>
      <c r="D2484">
        <v>5</v>
      </c>
      <c r="E2484">
        <v>0</v>
      </c>
      <c r="F2484">
        <v>1</v>
      </c>
      <c r="G2484">
        <v>12</v>
      </c>
      <c r="H2484">
        <v>3</v>
      </c>
      <c r="I2484">
        <v>0.01</v>
      </c>
      <c r="J2484">
        <v>5</v>
      </c>
      <c r="K2484">
        <v>0</v>
      </c>
      <c r="L2484" s="4">
        <v>0.8418729314818405</v>
      </c>
      <c r="M2484" s="4">
        <v>0.15812706851815961</v>
      </c>
      <c r="N2484">
        <v>6</v>
      </c>
    </row>
    <row r="2485" spans="1:14" x14ac:dyDescent="0.35">
      <c r="A2485" s="1">
        <v>113</v>
      </c>
      <c r="B2485">
        <v>10</v>
      </c>
      <c r="C2485">
        <v>65</v>
      </c>
      <c r="D2485">
        <v>3</v>
      </c>
      <c r="E2485">
        <v>0</v>
      </c>
      <c r="F2485">
        <v>3</v>
      </c>
      <c r="G2485">
        <v>8</v>
      </c>
      <c r="H2485">
        <v>0</v>
      </c>
      <c r="I2485">
        <v>9053.35</v>
      </c>
      <c r="J2485">
        <v>8</v>
      </c>
      <c r="K2485">
        <v>0</v>
      </c>
      <c r="L2485" s="4">
        <v>0.84190542370419497</v>
      </c>
      <c r="M2485" s="4">
        <v>0.15809457629580501</v>
      </c>
      <c r="N2485">
        <v>6</v>
      </c>
    </row>
    <row r="2486" spans="1:14" x14ac:dyDescent="0.35">
      <c r="A2486" s="1">
        <v>2373</v>
      </c>
      <c r="B2486">
        <v>8</v>
      </c>
      <c r="C2486">
        <v>46</v>
      </c>
      <c r="D2486">
        <v>1</v>
      </c>
      <c r="E2486">
        <v>2</v>
      </c>
      <c r="F2486">
        <v>3</v>
      </c>
      <c r="G2486">
        <v>3</v>
      </c>
      <c r="H2486">
        <v>3</v>
      </c>
      <c r="I2486">
        <v>0.01</v>
      </c>
      <c r="J2486">
        <v>9</v>
      </c>
      <c r="K2486">
        <v>0</v>
      </c>
      <c r="L2486" s="4">
        <v>0.84195441921860281</v>
      </c>
      <c r="M2486" s="4">
        <v>0.15804558078139719</v>
      </c>
      <c r="N2486">
        <v>6</v>
      </c>
    </row>
    <row r="2487" spans="1:14" x14ac:dyDescent="0.35">
      <c r="A2487" s="1">
        <v>2445</v>
      </c>
      <c r="B2487">
        <v>9</v>
      </c>
      <c r="C2487">
        <v>62</v>
      </c>
      <c r="D2487">
        <v>1</v>
      </c>
      <c r="E2487">
        <v>0</v>
      </c>
      <c r="F2487">
        <v>3</v>
      </c>
      <c r="G2487">
        <v>8</v>
      </c>
      <c r="H2487">
        <v>0</v>
      </c>
      <c r="I2487">
        <v>12160.99</v>
      </c>
      <c r="J2487">
        <v>12</v>
      </c>
      <c r="K2487">
        <v>1</v>
      </c>
      <c r="L2487" s="4">
        <v>0.84196437757888909</v>
      </c>
      <c r="M2487" s="4">
        <v>0.15803562242111091</v>
      </c>
      <c r="N2487">
        <v>6</v>
      </c>
    </row>
    <row r="2488" spans="1:14" x14ac:dyDescent="0.35">
      <c r="A2488" s="1">
        <v>1555</v>
      </c>
      <c r="B2488">
        <v>8</v>
      </c>
      <c r="C2488">
        <v>59</v>
      </c>
      <c r="D2488">
        <v>2</v>
      </c>
      <c r="E2488">
        <v>0</v>
      </c>
      <c r="F2488">
        <v>0</v>
      </c>
      <c r="G2488">
        <v>4</v>
      </c>
      <c r="H2488">
        <v>0</v>
      </c>
      <c r="I2488">
        <v>6053.35</v>
      </c>
      <c r="J2488">
        <v>5</v>
      </c>
      <c r="K2488">
        <v>0</v>
      </c>
      <c r="L2488" s="4">
        <v>0.84211098028089137</v>
      </c>
      <c r="M2488" s="4">
        <v>0.1578890197191086</v>
      </c>
      <c r="N2488">
        <v>6</v>
      </c>
    </row>
    <row r="2489" spans="1:14" x14ac:dyDescent="0.35">
      <c r="A2489" s="1">
        <v>806</v>
      </c>
      <c r="B2489">
        <v>7</v>
      </c>
      <c r="C2489">
        <v>54</v>
      </c>
      <c r="D2489">
        <v>1</v>
      </c>
      <c r="E2489">
        <v>0</v>
      </c>
      <c r="F2489">
        <v>3</v>
      </c>
      <c r="G2489">
        <v>3</v>
      </c>
      <c r="H2489">
        <v>0</v>
      </c>
      <c r="I2489">
        <v>6000</v>
      </c>
      <c r="J2489">
        <v>2</v>
      </c>
      <c r="K2489">
        <v>0</v>
      </c>
      <c r="L2489" s="4">
        <v>0.84214707156477031</v>
      </c>
      <c r="M2489" s="4">
        <v>0.15785292843522961</v>
      </c>
      <c r="N2489">
        <v>6</v>
      </c>
    </row>
    <row r="2490" spans="1:14" x14ac:dyDescent="0.35">
      <c r="A2490" s="1">
        <v>2633</v>
      </c>
      <c r="B2490">
        <v>11</v>
      </c>
      <c r="C2490">
        <v>58</v>
      </c>
      <c r="D2490">
        <v>2</v>
      </c>
      <c r="E2490">
        <v>2</v>
      </c>
      <c r="F2490">
        <v>3</v>
      </c>
      <c r="G2490">
        <v>8</v>
      </c>
      <c r="H2490">
        <v>2</v>
      </c>
      <c r="I2490">
        <v>60.79</v>
      </c>
      <c r="J2490">
        <v>8</v>
      </c>
      <c r="K2490">
        <v>0</v>
      </c>
      <c r="L2490" s="4">
        <v>0.84220180495864705</v>
      </c>
      <c r="M2490" s="4">
        <v>0.15779819504135301</v>
      </c>
      <c r="N2490">
        <v>6</v>
      </c>
    </row>
    <row r="2491" spans="1:14" x14ac:dyDescent="0.35">
      <c r="A2491" s="1">
        <v>2741</v>
      </c>
      <c r="B2491">
        <v>9</v>
      </c>
      <c r="C2491">
        <v>59</v>
      </c>
      <c r="D2491">
        <v>5</v>
      </c>
      <c r="E2491">
        <v>0</v>
      </c>
      <c r="F2491">
        <v>1</v>
      </c>
      <c r="G2491">
        <v>12</v>
      </c>
      <c r="H2491">
        <v>2</v>
      </c>
      <c r="I2491">
        <v>1260</v>
      </c>
      <c r="J2491">
        <v>7</v>
      </c>
      <c r="K2491">
        <v>0</v>
      </c>
      <c r="L2491" s="4">
        <v>0.84220502230277838</v>
      </c>
      <c r="M2491" s="4">
        <v>0.15779497769722159</v>
      </c>
      <c r="N2491">
        <v>6</v>
      </c>
    </row>
    <row r="2492" spans="1:14" x14ac:dyDescent="0.35">
      <c r="A2492" s="1">
        <v>3781</v>
      </c>
      <c r="B2492">
        <v>5</v>
      </c>
      <c r="C2492">
        <v>45</v>
      </c>
      <c r="D2492">
        <v>4</v>
      </c>
      <c r="E2492">
        <v>0</v>
      </c>
      <c r="F2492">
        <v>3</v>
      </c>
      <c r="G2492">
        <v>3</v>
      </c>
      <c r="H2492">
        <v>0</v>
      </c>
      <c r="I2492">
        <v>19465.7</v>
      </c>
      <c r="J2492">
        <v>3</v>
      </c>
      <c r="K2492">
        <v>0</v>
      </c>
      <c r="L2492" s="4">
        <v>0.84238564000012184</v>
      </c>
      <c r="M2492" s="4">
        <v>0.15761435999987811</v>
      </c>
      <c r="N2492">
        <v>6</v>
      </c>
    </row>
    <row r="2493" spans="1:14" x14ac:dyDescent="0.35">
      <c r="A2493" s="1">
        <v>628</v>
      </c>
      <c r="B2493">
        <v>12</v>
      </c>
      <c r="C2493">
        <v>70</v>
      </c>
      <c r="D2493">
        <v>2</v>
      </c>
      <c r="E2493">
        <v>1</v>
      </c>
      <c r="F2493">
        <v>0</v>
      </c>
      <c r="G2493">
        <v>11</v>
      </c>
      <c r="H2493">
        <v>1</v>
      </c>
      <c r="I2493">
        <v>29374.720000000001</v>
      </c>
      <c r="J2493">
        <v>24</v>
      </c>
      <c r="K2493">
        <v>1</v>
      </c>
      <c r="L2493" s="4">
        <v>0.84250483657675135</v>
      </c>
      <c r="M2493" s="4">
        <v>0.15749516342324871</v>
      </c>
      <c r="N2493">
        <v>6</v>
      </c>
    </row>
    <row r="2494" spans="1:14" x14ac:dyDescent="0.35">
      <c r="A2494" s="1">
        <v>4276</v>
      </c>
      <c r="B2494">
        <v>7</v>
      </c>
      <c r="C2494">
        <v>53</v>
      </c>
      <c r="D2494">
        <v>5</v>
      </c>
      <c r="E2494">
        <v>0</v>
      </c>
      <c r="F2494">
        <v>0</v>
      </c>
      <c r="G2494">
        <v>11</v>
      </c>
      <c r="H2494">
        <v>0</v>
      </c>
      <c r="I2494">
        <v>6000</v>
      </c>
      <c r="J2494">
        <v>2</v>
      </c>
      <c r="K2494">
        <v>1</v>
      </c>
      <c r="L2494" s="4">
        <v>0.84263536612272882</v>
      </c>
      <c r="M2494" s="4">
        <v>0.1573646338772712</v>
      </c>
      <c r="N2494">
        <v>6</v>
      </c>
    </row>
    <row r="2495" spans="1:14" x14ac:dyDescent="0.35">
      <c r="A2495" s="1">
        <v>1348</v>
      </c>
      <c r="B2495">
        <v>10</v>
      </c>
      <c r="C2495">
        <v>66</v>
      </c>
      <c r="D2495">
        <v>3</v>
      </c>
      <c r="E2495">
        <v>0</v>
      </c>
      <c r="F2495">
        <v>2</v>
      </c>
      <c r="G2495">
        <v>1</v>
      </c>
      <c r="H2495">
        <v>0</v>
      </c>
      <c r="I2495">
        <v>6000</v>
      </c>
      <c r="J2495">
        <v>2</v>
      </c>
      <c r="K2495">
        <v>0</v>
      </c>
      <c r="L2495" s="4">
        <v>0.84269612957863482</v>
      </c>
      <c r="M2495" s="4">
        <v>0.15730387042136521</v>
      </c>
      <c r="N2495">
        <v>6</v>
      </c>
    </row>
    <row r="2496" spans="1:14" x14ac:dyDescent="0.35">
      <c r="A2496" s="1">
        <v>981</v>
      </c>
      <c r="B2496">
        <v>9</v>
      </c>
      <c r="C2496">
        <v>55</v>
      </c>
      <c r="D2496">
        <v>5</v>
      </c>
      <c r="E2496">
        <v>1</v>
      </c>
      <c r="F2496">
        <v>1</v>
      </c>
      <c r="G2496">
        <v>5</v>
      </c>
      <c r="H2496">
        <v>2</v>
      </c>
      <c r="I2496">
        <v>4800</v>
      </c>
      <c r="J2496">
        <v>11</v>
      </c>
      <c r="K2496">
        <v>0</v>
      </c>
      <c r="L2496" s="4">
        <v>0.84293597044687141</v>
      </c>
      <c r="M2496" s="4">
        <v>0.15706402955312859</v>
      </c>
      <c r="N2496">
        <v>6</v>
      </c>
    </row>
    <row r="2497" spans="1:14" x14ac:dyDescent="0.35">
      <c r="A2497" s="1">
        <v>335</v>
      </c>
      <c r="B2497">
        <v>11</v>
      </c>
      <c r="C2497">
        <v>71</v>
      </c>
      <c r="D2497">
        <v>1</v>
      </c>
      <c r="E2497">
        <v>0</v>
      </c>
      <c r="F2497">
        <v>0</v>
      </c>
      <c r="G2497">
        <v>11</v>
      </c>
      <c r="H2497">
        <v>0</v>
      </c>
      <c r="I2497">
        <v>6000</v>
      </c>
      <c r="J2497">
        <v>2</v>
      </c>
      <c r="K2497">
        <v>0</v>
      </c>
      <c r="L2497" s="4">
        <v>0.84303942441575053</v>
      </c>
      <c r="M2497" s="4">
        <v>0.1569605755842495</v>
      </c>
      <c r="N2497">
        <v>6</v>
      </c>
    </row>
    <row r="2498" spans="1:14" x14ac:dyDescent="0.35">
      <c r="A2498" s="1">
        <v>4173</v>
      </c>
      <c r="B2498">
        <v>7</v>
      </c>
      <c r="C2498">
        <v>51</v>
      </c>
      <c r="D2498">
        <v>2</v>
      </c>
      <c r="E2498">
        <v>0</v>
      </c>
      <c r="F2498">
        <v>3</v>
      </c>
      <c r="G2498">
        <v>8</v>
      </c>
      <c r="H2498">
        <v>3</v>
      </c>
      <c r="I2498">
        <v>0.01</v>
      </c>
      <c r="J2498">
        <v>8</v>
      </c>
      <c r="K2498">
        <v>0</v>
      </c>
      <c r="L2498" s="4">
        <v>0.84310451031317279</v>
      </c>
      <c r="M2498" s="4">
        <v>0.15689548968682721</v>
      </c>
      <c r="N2498">
        <v>6</v>
      </c>
    </row>
    <row r="2499" spans="1:14" x14ac:dyDescent="0.35">
      <c r="A2499" s="1">
        <v>3724</v>
      </c>
      <c r="B2499">
        <v>6</v>
      </c>
      <c r="C2499">
        <v>51</v>
      </c>
      <c r="D2499">
        <v>2</v>
      </c>
      <c r="E2499">
        <v>0</v>
      </c>
      <c r="F2499">
        <v>0</v>
      </c>
      <c r="G2499">
        <v>2</v>
      </c>
      <c r="H2499">
        <v>1</v>
      </c>
      <c r="I2499">
        <v>25307.72</v>
      </c>
      <c r="J2499">
        <v>4</v>
      </c>
      <c r="K2499">
        <v>0</v>
      </c>
      <c r="L2499" s="4">
        <v>0.84334853754240036</v>
      </c>
      <c r="M2499" s="4">
        <v>0.1566514624575997</v>
      </c>
      <c r="N2499">
        <v>6</v>
      </c>
    </row>
    <row r="2500" spans="1:14" x14ac:dyDescent="0.35">
      <c r="A2500" s="1">
        <v>1970</v>
      </c>
      <c r="B2500">
        <v>8</v>
      </c>
      <c r="C2500">
        <v>56</v>
      </c>
      <c r="D2500">
        <v>1</v>
      </c>
      <c r="E2500">
        <v>0</v>
      </c>
      <c r="F2500">
        <v>3</v>
      </c>
      <c r="G2500">
        <v>3</v>
      </c>
      <c r="H2500">
        <v>3</v>
      </c>
      <c r="I2500">
        <v>0.01</v>
      </c>
      <c r="J2500">
        <v>9</v>
      </c>
      <c r="K2500">
        <v>1</v>
      </c>
      <c r="L2500" s="4">
        <v>0.84338435034352355</v>
      </c>
      <c r="M2500" s="4">
        <v>0.15661564965647651</v>
      </c>
      <c r="N2500">
        <v>6</v>
      </c>
    </row>
    <row r="2501" spans="1:14" x14ac:dyDescent="0.35">
      <c r="A2501" s="1">
        <v>4318</v>
      </c>
      <c r="B2501">
        <v>12</v>
      </c>
      <c r="C2501">
        <v>70</v>
      </c>
      <c r="D2501">
        <v>1</v>
      </c>
      <c r="E2501">
        <v>1</v>
      </c>
      <c r="F2501">
        <v>3</v>
      </c>
      <c r="G2501">
        <v>3</v>
      </c>
      <c r="H2501">
        <v>1</v>
      </c>
      <c r="I2501">
        <v>30075</v>
      </c>
      <c r="J2501">
        <v>29</v>
      </c>
      <c r="K2501">
        <v>0</v>
      </c>
      <c r="L2501" s="4">
        <v>0.84349777613608823</v>
      </c>
      <c r="M2501" s="4">
        <v>0.1565022238639118</v>
      </c>
      <c r="N2501">
        <v>6</v>
      </c>
    </row>
    <row r="2502" spans="1:14" x14ac:dyDescent="0.35">
      <c r="A2502" s="1">
        <v>29</v>
      </c>
      <c r="B2502">
        <v>7</v>
      </c>
      <c r="C2502">
        <v>51</v>
      </c>
      <c r="D2502">
        <v>5</v>
      </c>
      <c r="E2502">
        <v>0</v>
      </c>
      <c r="F2502">
        <v>1</v>
      </c>
      <c r="G2502">
        <v>12</v>
      </c>
      <c r="H2502">
        <v>2</v>
      </c>
      <c r="I2502">
        <v>1000</v>
      </c>
      <c r="J2502">
        <v>4</v>
      </c>
      <c r="K2502">
        <v>1</v>
      </c>
      <c r="L2502" s="4">
        <v>0.84357134851498106</v>
      </c>
      <c r="M2502" s="4">
        <v>0.15642865148501889</v>
      </c>
      <c r="N2502">
        <v>6</v>
      </c>
    </row>
    <row r="2503" spans="1:14" x14ac:dyDescent="0.35">
      <c r="A2503" s="1">
        <v>2720</v>
      </c>
      <c r="B2503">
        <v>4</v>
      </c>
      <c r="C2503">
        <v>40</v>
      </c>
      <c r="D2503">
        <v>2</v>
      </c>
      <c r="E2503">
        <v>0</v>
      </c>
      <c r="F2503">
        <v>3</v>
      </c>
      <c r="G2503">
        <v>3</v>
      </c>
      <c r="H2503">
        <v>2</v>
      </c>
      <c r="I2503">
        <v>1167.8800000000001</v>
      </c>
      <c r="J2503">
        <v>2</v>
      </c>
      <c r="K2503">
        <v>0</v>
      </c>
      <c r="L2503" s="4">
        <v>0.84358129206418897</v>
      </c>
      <c r="M2503" s="4">
        <v>0.156418707935811</v>
      </c>
      <c r="N2503">
        <v>6</v>
      </c>
    </row>
    <row r="2504" spans="1:14" x14ac:dyDescent="0.35">
      <c r="A2504" s="1">
        <v>527</v>
      </c>
      <c r="B2504">
        <v>11</v>
      </c>
      <c r="C2504">
        <v>68</v>
      </c>
      <c r="D2504">
        <v>3</v>
      </c>
      <c r="E2504">
        <v>0</v>
      </c>
      <c r="F2504">
        <v>0</v>
      </c>
      <c r="G2504">
        <v>11</v>
      </c>
      <c r="H2504">
        <v>3</v>
      </c>
      <c r="I2504">
        <v>0.01</v>
      </c>
      <c r="J2504">
        <v>9</v>
      </c>
      <c r="K2504">
        <v>1</v>
      </c>
      <c r="L2504" s="4">
        <v>0.84367224847158706</v>
      </c>
      <c r="M2504" s="4">
        <v>0.15632775152841291</v>
      </c>
      <c r="N2504">
        <v>6</v>
      </c>
    </row>
    <row r="2505" spans="1:14" x14ac:dyDescent="0.35">
      <c r="A2505" s="1">
        <v>15</v>
      </c>
      <c r="B2505">
        <v>8</v>
      </c>
      <c r="C2505">
        <v>51</v>
      </c>
      <c r="D2505">
        <v>3</v>
      </c>
      <c r="E2505">
        <v>1</v>
      </c>
      <c r="F2505">
        <v>3</v>
      </c>
      <c r="G2505">
        <v>3</v>
      </c>
      <c r="H2505">
        <v>2</v>
      </c>
      <c r="I2505">
        <v>200</v>
      </c>
      <c r="J2505">
        <v>9</v>
      </c>
      <c r="K2505">
        <v>0</v>
      </c>
      <c r="L2505" s="4">
        <v>0.84376418880795878</v>
      </c>
      <c r="M2505" s="4">
        <v>0.15623581119204119</v>
      </c>
      <c r="N2505">
        <v>6</v>
      </c>
    </row>
    <row r="2506" spans="1:14" x14ac:dyDescent="0.35">
      <c r="A2506" s="1">
        <v>542</v>
      </c>
      <c r="B2506">
        <v>10</v>
      </c>
      <c r="C2506">
        <v>53</v>
      </c>
      <c r="D2506">
        <v>3</v>
      </c>
      <c r="E2506">
        <v>2</v>
      </c>
      <c r="F2506">
        <v>3</v>
      </c>
      <c r="G2506">
        <v>8</v>
      </c>
      <c r="H2506">
        <v>3</v>
      </c>
      <c r="I2506">
        <v>0.01</v>
      </c>
      <c r="J2506">
        <v>8</v>
      </c>
      <c r="K2506">
        <v>0</v>
      </c>
      <c r="L2506" s="4">
        <v>0.84395603329556879</v>
      </c>
      <c r="M2506" s="4">
        <v>0.15604396670443119</v>
      </c>
      <c r="N2506">
        <v>6</v>
      </c>
    </row>
    <row r="2507" spans="1:14" x14ac:dyDescent="0.35">
      <c r="A2507" s="1">
        <v>3611</v>
      </c>
      <c r="B2507">
        <v>3</v>
      </c>
      <c r="C2507">
        <v>34</v>
      </c>
      <c r="D2507">
        <v>5</v>
      </c>
      <c r="E2507">
        <v>0</v>
      </c>
      <c r="F2507">
        <v>3</v>
      </c>
      <c r="G2507">
        <v>3</v>
      </c>
      <c r="H2507">
        <v>3</v>
      </c>
      <c r="I2507">
        <v>0.01</v>
      </c>
      <c r="J2507">
        <v>5</v>
      </c>
      <c r="K2507">
        <v>0</v>
      </c>
      <c r="L2507" s="4">
        <v>0.84405834525624468</v>
      </c>
      <c r="M2507" s="4">
        <v>0.15594165474375529</v>
      </c>
      <c r="N2507">
        <v>6</v>
      </c>
    </row>
    <row r="2508" spans="1:14" x14ac:dyDescent="0.35">
      <c r="A2508" s="1">
        <v>1886</v>
      </c>
      <c r="B2508">
        <v>8</v>
      </c>
      <c r="C2508">
        <v>53</v>
      </c>
      <c r="D2508">
        <v>5</v>
      </c>
      <c r="E2508">
        <v>1</v>
      </c>
      <c r="F2508">
        <v>0</v>
      </c>
      <c r="G2508">
        <v>4</v>
      </c>
      <c r="H2508">
        <v>0</v>
      </c>
      <c r="I2508">
        <v>6058.76</v>
      </c>
      <c r="J2508">
        <v>3</v>
      </c>
      <c r="K2508">
        <v>0</v>
      </c>
      <c r="L2508" s="4">
        <v>0.84421387720976704</v>
      </c>
      <c r="M2508" s="4">
        <v>0.15578612279023299</v>
      </c>
      <c r="N2508">
        <v>6</v>
      </c>
    </row>
    <row r="2509" spans="1:14" x14ac:dyDescent="0.35">
      <c r="A2509" s="1">
        <v>4251</v>
      </c>
      <c r="B2509">
        <v>10</v>
      </c>
      <c r="C2509">
        <v>65</v>
      </c>
      <c r="D2509">
        <v>1</v>
      </c>
      <c r="E2509">
        <v>0</v>
      </c>
      <c r="F2509">
        <v>3</v>
      </c>
      <c r="G2509">
        <v>3</v>
      </c>
      <c r="H2509">
        <v>2</v>
      </c>
      <c r="I2509">
        <v>3000</v>
      </c>
      <c r="J2509">
        <v>8</v>
      </c>
      <c r="K2509">
        <v>0</v>
      </c>
      <c r="L2509" s="4">
        <v>0.84425022069289346</v>
      </c>
      <c r="M2509" s="4">
        <v>0.1557497793071066</v>
      </c>
      <c r="N2509">
        <v>6</v>
      </c>
    </row>
    <row r="2510" spans="1:14" x14ac:dyDescent="0.35">
      <c r="A2510" s="1">
        <v>1191</v>
      </c>
      <c r="B2510">
        <v>7</v>
      </c>
      <c r="C2510">
        <v>51</v>
      </c>
      <c r="D2510">
        <v>5</v>
      </c>
      <c r="E2510">
        <v>0</v>
      </c>
      <c r="F2510">
        <v>0</v>
      </c>
      <c r="G2510">
        <v>11</v>
      </c>
      <c r="H2510">
        <v>3</v>
      </c>
      <c r="I2510">
        <v>0.01</v>
      </c>
      <c r="J2510">
        <v>9</v>
      </c>
      <c r="K2510">
        <v>0</v>
      </c>
      <c r="L2510" s="4">
        <v>0.84426723898991629</v>
      </c>
      <c r="M2510" s="4">
        <v>0.15573276101008371</v>
      </c>
      <c r="N2510">
        <v>6</v>
      </c>
    </row>
    <row r="2511" spans="1:14" x14ac:dyDescent="0.35">
      <c r="A2511" s="1">
        <v>3977</v>
      </c>
      <c r="B2511">
        <v>5</v>
      </c>
      <c r="C2511">
        <v>45</v>
      </c>
      <c r="D2511">
        <v>2</v>
      </c>
      <c r="E2511">
        <v>0</v>
      </c>
      <c r="F2511">
        <v>0</v>
      </c>
      <c r="G2511">
        <v>10</v>
      </c>
      <c r="H2511">
        <v>2</v>
      </c>
      <c r="I2511">
        <v>2000</v>
      </c>
      <c r="J2511">
        <v>4</v>
      </c>
      <c r="K2511">
        <v>0</v>
      </c>
      <c r="L2511" s="4">
        <v>0.84442301596508573</v>
      </c>
      <c r="M2511" s="4">
        <v>0.1555769840349143</v>
      </c>
      <c r="N2511">
        <v>6</v>
      </c>
    </row>
    <row r="2512" spans="1:14" x14ac:dyDescent="0.35">
      <c r="A2512" s="1">
        <v>1466</v>
      </c>
      <c r="B2512">
        <v>8</v>
      </c>
      <c r="C2512">
        <v>55</v>
      </c>
      <c r="D2512">
        <v>5</v>
      </c>
      <c r="E2512">
        <v>0</v>
      </c>
      <c r="F2512">
        <v>0</v>
      </c>
      <c r="G2512">
        <v>11</v>
      </c>
      <c r="H2512">
        <v>3</v>
      </c>
      <c r="I2512">
        <v>0.01</v>
      </c>
      <c r="J2512">
        <v>4</v>
      </c>
      <c r="K2512">
        <v>0</v>
      </c>
      <c r="L2512" s="4">
        <v>0.84471421548472891</v>
      </c>
      <c r="M2512" s="4">
        <v>0.15528578451527111</v>
      </c>
      <c r="N2512">
        <v>6</v>
      </c>
    </row>
    <row r="2513" spans="1:14" x14ac:dyDescent="0.35">
      <c r="A2513" s="1">
        <v>2682</v>
      </c>
      <c r="B2513">
        <v>8</v>
      </c>
      <c r="C2513">
        <v>55</v>
      </c>
      <c r="D2513">
        <v>5</v>
      </c>
      <c r="E2513">
        <v>0</v>
      </c>
      <c r="F2513">
        <v>0</v>
      </c>
      <c r="G2513">
        <v>11</v>
      </c>
      <c r="H2513">
        <v>3</v>
      </c>
      <c r="I2513">
        <v>0.01</v>
      </c>
      <c r="J2513">
        <v>4</v>
      </c>
      <c r="K2513">
        <v>0</v>
      </c>
      <c r="L2513" s="4">
        <v>0.84471421548472891</v>
      </c>
      <c r="M2513" s="4">
        <v>0.15528578451527111</v>
      </c>
      <c r="N2513">
        <v>6</v>
      </c>
    </row>
    <row r="2514" spans="1:14" x14ac:dyDescent="0.35">
      <c r="A2514" s="1">
        <v>2345</v>
      </c>
      <c r="B2514">
        <v>8</v>
      </c>
      <c r="C2514">
        <v>51</v>
      </c>
      <c r="D2514">
        <v>5</v>
      </c>
      <c r="E2514">
        <v>1</v>
      </c>
      <c r="F2514">
        <v>0</v>
      </c>
      <c r="G2514">
        <v>2</v>
      </c>
      <c r="H2514">
        <v>3</v>
      </c>
      <c r="I2514">
        <v>0.01</v>
      </c>
      <c r="J2514">
        <v>8</v>
      </c>
      <c r="K2514">
        <v>1</v>
      </c>
      <c r="L2514" s="4">
        <v>0.84474509611249138</v>
      </c>
      <c r="M2514" s="4">
        <v>0.15525490388750859</v>
      </c>
      <c r="N2514">
        <v>6</v>
      </c>
    </row>
    <row r="2515" spans="1:14" x14ac:dyDescent="0.35">
      <c r="A2515" s="1">
        <v>2963</v>
      </c>
      <c r="B2515">
        <v>10</v>
      </c>
      <c r="C2515">
        <v>64</v>
      </c>
      <c r="D2515">
        <v>5</v>
      </c>
      <c r="E2515">
        <v>0</v>
      </c>
      <c r="F2515">
        <v>0</v>
      </c>
      <c r="G2515">
        <v>11</v>
      </c>
      <c r="H2515">
        <v>2</v>
      </c>
      <c r="I2515">
        <v>3000</v>
      </c>
      <c r="J2515">
        <v>7</v>
      </c>
      <c r="K2515">
        <v>0</v>
      </c>
      <c r="L2515" s="4">
        <v>0.84490168153063117</v>
      </c>
      <c r="M2515" s="4">
        <v>0.15509831846936881</v>
      </c>
      <c r="N2515">
        <v>6</v>
      </c>
    </row>
    <row r="2516" spans="1:14" x14ac:dyDescent="0.35">
      <c r="A2516" s="1">
        <v>2281</v>
      </c>
      <c r="B2516">
        <v>3</v>
      </c>
      <c r="C2516">
        <v>30</v>
      </c>
      <c r="D2516">
        <v>5</v>
      </c>
      <c r="E2516">
        <v>1</v>
      </c>
      <c r="F2516">
        <v>3</v>
      </c>
      <c r="G2516">
        <v>3</v>
      </c>
      <c r="H2516">
        <v>2</v>
      </c>
      <c r="I2516">
        <v>210</v>
      </c>
      <c r="J2516">
        <v>7</v>
      </c>
      <c r="K2516">
        <v>0</v>
      </c>
      <c r="L2516" s="4">
        <v>0.84509023551556206</v>
      </c>
      <c r="M2516" s="4">
        <v>0.15490976448443791</v>
      </c>
      <c r="N2516">
        <v>6</v>
      </c>
    </row>
    <row r="2517" spans="1:14" x14ac:dyDescent="0.35">
      <c r="A2517" s="1">
        <v>3537</v>
      </c>
      <c r="B2517">
        <v>8</v>
      </c>
      <c r="C2517">
        <v>52</v>
      </c>
      <c r="D2517">
        <v>1</v>
      </c>
      <c r="E2517">
        <v>1</v>
      </c>
      <c r="F2517">
        <v>3</v>
      </c>
      <c r="G2517">
        <v>3</v>
      </c>
      <c r="H2517">
        <v>2</v>
      </c>
      <c r="I2517">
        <v>5000</v>
      </c>
      <c r="J2517">
        <v>1</v>
      </c>
      <c r="K2517">
        <v>0</v>
      </c>
      <c r="L2517" s="4">
        <v>0.84509300200675797</v>
      </c>
      <c r="M2517" s="4">
        <v>0.15490699799324209</v>
      </c>
      <c r="N2517">
        <v>6</v>
      </c>
    </row>
    <row r="2518" spans="1:14" x14ac:dyDescent="0.35">
      <c r="A2518" s="1">
        <v>1023</v>
      </c>
      <c r="B2518">
        <v>7</v>
      </c>
      <c r="C2518">
        <v>48</v>
      </c>
      <c r="D2518">
        <v>1</v>
      </c>
      <c r="E2518">
        <v>1</v>
      </c>
      <c r="F2518">
        <v>3</v>
      </c>
      <c r="G2518">
        <v>3</v>
      </c>
      <c r="H2518">
        <v>2</v>
      </c>
      <c r="I2518">
        <v>3000</v>
      </c>
      <c r="J2518">
        <v>5</v>
      </c>
      <c r="K2518">
        <v>0</v>
      </c>
      <c r="L2518" s="4">
        <v>0.84523747020440076</v>
      </c>
      <c r="M2518" s="4">
        <v>0.15476252979559929</v>
      </c>
      <c r="N2518">
        <v>6</v>
      </c>
    </row>
    <row r="2519" spans="1:14" x14ac:dyDescent="0.35">
      <c r="A2519" s="1">
        <v>1973</v>
      </c>
      <c r="B2519">
        <v>8</v>
      </c>
      <c r="C2519">
        <v>56</v>
      </c>
      <c r="D2519">
        <v>1</v>
      </c>
      <c r="E2519">
        <v>0</v>
      </c>
      <c r="F2519">
        <v>4</v>
      </c>
      <c r="G2519">
        <v>9</v>
      </c>
      <c r="H2519">
        <v>2</v>
      </c>
      <c r="I2519">
        <v>1000</v>
      </c>
      <c r="J2519">
        <v>8</v>
      </c>
      <c r="K2519">
        <v>0</v>
      </c>
      <c r="L2519" s="4">
        <v>0.84561986670335287</v>
      </c>
      <c r="M2519" s="4">
        <v>0.15438013329664721</v>
      </c>
      <c r="N2519">
        <v>6</v>
      </c>
    </row>
    <row r="2520" spans="1:14" x14ac:dyDescent="0.35">
      <c r="A2520" s="1">
        <v>893</v>
      </c>
      <c r="B2520">
        <v>7</v>
      </c>
      <c r="C2520">
        <v>47</v>
      </c>
      <c r="D2520">
        <v>5</v>
      </c>
      <c r="E2520">
        <v>1</v>
      </c>
      <c r="F2520">
        <v>2</v>
      </c>
      <c r="G2520">
        <v>1</v>
      </c>
      <c r="H2520">
        <v>2</v>
      </c>
      <c r="I2520">
        <v>1000</v>
      </c>
      <c r="J2520">
        <v>9</v>
      </c>
      <c r="K2520">
        <v>0</v>
      </c>
      <c r="L2520" s="4">
        <v>0.84572279932555594</v>
      </c>
      <c r="M2520" s="4">
        <v>0.154277200674444</v>
      </c>
      <c r="N2520">
        <v>6</v>
      </c>
    </row>
    <row r="2521" spans="1:14" x14ac:dyDescent="0.35">
      <c r="A2521" s="1">
        <v>1517</v>
      </c>
      <c r="B2521">
        <v>4</v>
      </c>
      <c r="C2521">
        <v>40</v>
      </c>
      <c r="D2521">
        <v>1</v>
      </c>
      <c r="E2521">
        <v>0</v>
      </c>
      <c r="F2521">
        <v>3</v>
      </c>
      <c r="G2521">
        <v>3</v>
      </c>
      <c r="H2521">
        <v>3</v>
      </c>
      <c r="I2521">
        <v>0.01</v>
      </c>
      <c r="J2521">
        <v>4</v>
      </c>
      <c r="K2521">
        <v>0</v>
      </c>
      <c r="L2521" s="4">
        <v>0.84581406761706079</v>
      </c>
      <c r="M2521" s="4">
        <v>0.15418593238293921</v>
      </c>
      <c r="N2521">
        <v>6</v>
      </c>
    </row>
    <row r="2522" spans="1:14" x14ac:dyDescent="0.35">
      <c r="A2522" s="1">
        <v>1439</v>
      </c>
      <c r="B2522">
        <v>10</v>
      </c>
      <c r="C2522">
        <v>65</v>
      </c>
      <c r="D2522">
        <v>3</v>
      </c>
      <c r="E2522">
        <v>0</v>
      </c>
      <c r="F2522">
        <v>0</v>
      </c>
      <c r="G2522">
        <v>11</v>
      </c>
      <c r="H2522">
        <v>2</v>
      </c>
      <c r="I2522">
        <v>1600</v>
      </c>
      <c r="J2522">
        <v>9</v>
      </c>
      <c r="K2522">
        <v>0</v>
      </c>
      <c r="L2522" s="4">
        <v>0.84584992581896223</v>
      </c>
      <c r="M2522" s="4">
        <v>0.15415007418103779</v>
      </c>
      <c r="N2522">
        <v>6</v>
      </c>
    </row>
    <row r="2523" spans="1:14" x14ac:dyDescent="0.35">
      <c r="A2523" s="1">
        <v>2038</v>
      </c>
      <c r="B2523">
        <v>7</v>
      </c>
      <c r="C2523">
        <v>50</v>
      </c>
      <c r="D2523">
        <v>6</v>
      </c>
      <c r="E2523">
        <v>0</v>
      </c>
      <c r="F2523">
        <v>3</v>
      </c>
      <c r="G2523">
        <v>3</v>
      </c>
      <c r="H2523">
        <v>3</v>
      </c>
      <c r="I2523">
        <v>0.01</v>
      </c>
      <c r="J2523">
        <v>5</v>
      </c>
      <c r="K2523">
        <v>0</v>
      </c>
      <c r="L2523" s="4">
        <v>0.84592030810055574</v>
      </c>
      <c r="M2523" s="4">
        <v>0.1540796918994442</v>
      </c>
      <c r="N2523">
        <v>6</v>
      </c>
    </row>
    <row r="2524" spans="1:14" x14ac:dyDescent="0.35">
      <c r="A2524" s="1">
        <v>3374</v>
      </c>
      <c r="B2524">
        <v>7</v>
      </c>
      <c r="C2524">
        <v>51</v>
      </c>
      <c r="D2524">
        <v>5</v>
      </c>
      <c r="E2524">
        <v>0</v>
      </c>
      <c r="F2524">
        <v>1</v>
      </c>
      <c r="G2524">
        <v>7</v>
      </c>
      <c r="H2524">
        <v>3</v>
      </c>
      <c r="I2524">
        <v>0.01</v>
      </c>
      <c r="J2524">
        <v>4</v>
      </c>
      <c r="K2524">
        <v>0</v>
      </c>
      <c r="L2524" s="4">
        <v>0.84595479190974987</v>
      </c>
      <c r="M2524" s="4">
        <v>0.1540452080902501</v>
      </c>
      <c r="N2524">
        <v>6</v>
      </c>
    </row>
    <row r="2525" spans="1:14" x14ac:dyDescent="0.35">
      <c r="A2525" s="1">
        <v>3970</v>
      </c>
      <c r="B2525">
        <v>11</v>
      </c>
      <c r="C2525">
        <v>68</v>
      </c>
      <c r="D2525">
        <v>1</v>
      </c>
      <c r="E2525">
        <v>0</v>
      </c>
      <c r="F2525">
        <v>3</v>
      </c>
      <c r="G2525">
        <v>8</v>
      </c>
      <c r="H2525">
        <v>3</v>
      </c>
      <c r="I2525">
        <v>0.01</v>
      </c>
      <c r="J2525">
        <v>8</v>
      </c>
      <c r="K2525">
        <v>1</v>
      </c>
      <c r="L2525" s="4">
        <v>0.84596461523413213</v>
      </c>
      <c r="M2525" s="4">
        <v>0.15403538476586781</v>
      </c>
      <c r="N2525">
        <v>6</v>
      </c>
    </row>
    <row r="2526" spans="1:14" x14ac:dyDescent="0.35">
      <c r="A2526" s="1">
        <v>3506</v>
      </c>
      <c r="B2526">
        <v>8</v>
      </c>
      <c r="C2526">
        <v>56</v>
      </c>
      <c r="D2526">
        <v>5</v>
      </c>
      <c r="E2526">
        <v>0</v>
      </c>
      <c r="F2526">
        <v>0</v>
      </c>
      <c r="G2526">
        <v>11</v>
      </c>
      <c r="H2526">
        <v>2</v>
      </c>
      <c r="I2526">
        <v>2500</v>
      </c>
      <c r="J2526">
        <v>6</v>
      </c>
      <c r="K2526">
        <v>0</v>
      </c>
      <c r="L2526" s="4">
        <v>0.84596461685431723</v>
      </c>
      <c r="M2526" s="4">
        <v>0.1540353831456828</v>
      </c>
      <c r="N2526">
        <v>6</v>
      </c>
    </row>
    <row r="2527" spans="1:14" x14ac:dyDescent="0.35">
      <c r="A2527" s="1">
        <v>2275</v>
      </c>
      <c r="B2527">
        <v>5</v>
      </c>
      <c r="C2527">
        <v>45</v>
      </c>
      <c r="D2527">
        <v>2</v>
      </c>
      <c r="E2527">
        <v>0</v>
      </c>
      <c r="F2527">
        <v>0</v>
      </c>
      <c r="G2527">
        <v>4</v>
      </c>
      <c r="H2527">
        <v>3</v>
      </c>
      <c r="I2527">
        <v>0.01</v>
      </c>
      <c r="J2527">
        <v>5</v>
      </c>
      <c r="K2527">
        <v>0</v>
      </c>
      <c r="L2527" s="4">
        <v>0.84612479458654066</v>
      </c>
      <c r="M2527" s="4">
        <v>0.15387520541345931</v>
      </c>
      <c r="N2527">
        <v>6</v>
      </c>
    </row>
    <row r="2528" spans="1:14" x14ac:dyDescent="0.35">
      <c r="A2528" s="1">
        <v>2982</v>
      </c>
      <c r="B2528">
        <v>8</v>
      </c>
      <c r="C2528">
        <v>59</v>
      </c>
      <c r="D2528">
        <v>2</v>
      </c>
      <c r="E2528">
        <v>0</v>
      </c>
      <c r="F2528">
        <v>0</v>
      </c>
      <c r="G2528">
        <v>11</v>
      </c>
      <c r="H2528">
        <v>0</v>
      </c>
      <c r="I2528">
        <v>12000.01</v>
      </c>
      <c r="J2528">
        <v>2</v>
      </c>
      <c r="K2528">
        <v>0</v>
      </c>
      <c r="L2528" s="4">
        <v>0.84641027507994626</v>
      </c>
      <c r="M2528" s="4">
        <v>0.15358972492005371</v>
      </c>
      <c r="N2528">
        <v>6</v>
      </c>
    </row>
    <row r="2529" spans="1:14" x14ac:dyDescent="0.35">
      <c r="A2529" s="1">
        <v>3216</v>
      </c>
      <c r="B2529">
        <v>8</v>
      </c>
      <c r="C2529">
        <v>57</v>
      </c>
      <c r="D2529">
        <v>5</v>
      </c>
      <c r="E2529">
        <v>0</v>
      </c>
      <c r="F2529">
        <v>1</v>
      </c>
      <c r="G2529">
        <v>12</v>
      </c>
      <c r="H2529">
        <v>0</v>
      </c>
      <c r="I2529">
        <v>6000</v>
      </c>
      <c r="J2529">
        <v>3</v>
      </c>
      <c r="K2529">
        <v>0</v>
      </c>
      <c r="L2529" s="4">
        <v>0.8465216236489187</v>
      </c>
      <c r="M2529" s="4">
        <v>0.1534783763510813</v>
      </c>
      <c r="N2529">
        <v>6</v>
      </c>
    </row>
    <row r="2530" spans="1:14" x14ac:dyDescent="0.35">
      <c r="A2530" s="1">
        <v>2368</v>
      </c>
      <c r="B2530">
        <v>8</v>
      </c>
      <c r="C2530">
        <v>55</v>
      </c>
      <c r="D2530">
        <v>3</v>
      </c>
      <c r="E2530">
        <v>0</v>
      </c>
      <c r="F2530">
        <v>3</v>
      </c>
      <c r="G2530">
        <v>8</v>
      </c>
      <c r="H2530">
        <v>3</v>
      </c>
      <c r="I2530">
        <v>0.01</v>
      </c>
      <c r="J2530">
        <v>5</v>
      </c>
      <c r="K2530">
        <v>0</v>
      </c>
      <c r="L2530" s="4">
        <v>0.846660701803436</v>
      </c>
      <c r="M2530" s="4">
        <v>0.153339298196564</v>
      </c>
      <c r="N2530">
        <v>6</v>
      </c>
    </row>
    <row r="2531" spans="1:14" x14ac:dyDescent="0.35">
      <c r="A2531" s="1">
        <v>2898</v>
      </c>
      <c r="B2531">
        <v>8</v>
      </c>
      <c r="C2531">
        <v>51</v>
      </c>
      <c r="D2531">
        <v>5</v>
      </c>
      <c r="E2531">
        <v>1</v>
      </c>
      <c r="F2531">
        <v>0</v>
      </c>
      <c r="G2531">
        <v>4</v>
      </c>
      <c r="H2531">
        <v>3</v>
      </c>
      <c r="I2531">
        <v>0.01</v>
      </c>
      <c r="J2531">
        <v>5</v>
      </c>
      <c r="K2531">
        <v>0</v>
      </c>
      <c r="L2531" s="4">
        <v>0.84668066498648731</v>
      </c>
      <c r="M2531" s="4">
        <v>0.15331933501351269</v>
      </c>
      <c r="N2531">
        <v>6</v>
      </c>
    </row>
    <row r="2532" spans="1:14" x14ac:dyDescent="0.35">
      <c r="A2532" s="1">
        <v>580</v>
      </c>
      <c r="B2532">
        <v>8</v>
      </c>
      <c r="C2532">
        <v>60</v>
      </c>
      <c r="D2532">
        <v>1</v>
      </c>
      <c r="E2532">
        <v>0</v>
      </c>
      <c r="F2532">
        <v>0</v>
      </c>
      <c r="G2532">
        <v>4</v>
      </c>
      <c r="H2532">
        <v>1</v>
      </c>
      <c r="I2532">
        <v>24800</v>
      </c>
      <c r="J2532">
        <v>15</v>
      </c>
      <c r="K2532">
        <v>0</v>
      </c>
      <c r="L2532" s="4">
        <v>0.84668653533080174</v>
      </c>
      <c r="M2532" s="4">
        <v>0.15331346466919821</v>
      </c>
      <c r="N2532">
        <v>6</v>
      </c>
    </row>
    <row r="2533" spans="1:14" x14ac:dyDescent="0.35">
      <c r="A2533" s="1">
        <v>2055</v>
      </c>
      <c r="B2533">
        <v>7</v>
      </c>
      <c r="C2533">
        <v>50</v>
      </c>
      <c r="D2533">
        <v>4</v>
      </c>
      <c r="E2533">
        <v>1</v>
      </c>
      <c r="F2533">
        <v>0</v>
      </c>
      <c r="G2533">
        <v>4</v>
      </c>
      <c r="H2533">
        <v>0</v>
      </c>
      <c r="I2533">
        <v>6000</v>
      </c>
      <c r="J2533">
        <v>17</v>
      </c>
      <c r="K2533">
        <v>0</v>
      </c>
      <c r="L2533" s="4">
        <v>0.84669595775327378</v>
      </c>
      <c r="M2533" s="4">
        <v>0.15330404224672631</v>
      </c>
      <c r="N2533">
        <v>6</v>
      </c>
    </row>
    <row r="2534" spans="1:14" x14ac:dyDescent="0.35">
      <c r="A2534" s="1">
        <v>587</v>
      </c>
      <c r="B2534">
        <v>8</v>
      </c>
      <c r="C2534">
        <v>53</v>
      </c>
      <c r="D2534">
        <v>0</v>
      </c>
      <c r="E2534">
        <v>1</v>
      </c>
      <c r="F2534">
        <v>3</v>
      </c>
      <c r="G2534">
        <v>3</v>
      </c>
      <c r="H2534">
        <v>2</v>
      </c>
      <c r="I2534">
        <v>3000</v>
      </c>
      <c r="J2534">
        <v>20</v>
      </c>
      <c r="K2534">
        <v>0</v>
      </c>
      <c r="L2534" s="4">
        <v>0.84674536866402428</v>
      </c>
      <c r="M2534" s="4">
        <v>0.15325463133597569</v>
      </c>
      <c r="N2534">
        <v>6</v>
      </c>
    </row>
    <row r="2535" spans="1:14" x14ac:dyDescent="0.35">
      <c r="A2535" s="1">
        <v>3957</v>
      </c>
      <c r="B2535">
        <v>8</v>
      </c>
      <c r="C2535">
        <v>56</v>
      </c>
      <c r="D2535">
        <v>2</v>
      </c>
      <c r="E2535">
        <v>0</v>
      </c>
      <c r="F2535">
        <v>3</v>
      </c>
      <c r="G2535">
        <v>3</v>
      </c>
      <c r="H2535">
        <v>3</v>
      </c>
      <c r="I2535">
        <v>0.01</v>
      </c>
      <c r="J2535">
        <v>9</v>
      </c>
      <c r="K2535">
        <v>0</v>
      </c>
      <c r="L2535" s="4">
        <v>0.84682727528538426</v>
      </c>
      <c r="M2535" s="4">
        <v>0.15317272471461579</v>
      </c>
      <c r="N2535">
        <v>6</v>
      </c>
    </row>
    <row r="2536" spans="1:14" x14ac:dyDescent="0.35">
      <c r="A2536" s="1">
        <v>1975</v>
      </c>
      <c r="B2536">
        <v>8</v>
      </c>
      <c r="C2536">
        <v>58</v>
      </c>
      <c r="D2536">
        <v>1</v>
      </c>
      <c r="E2536">
        <v>0</v>
      </c>
      <c r="F2536">
        <v>1</v>
      </c>
      <c r="G2536">
        <v>5</v>
      </c>
      <c r="H2536">
        <v>2</v>
      </c>
      <c r="I2536">
        <v>500</v>
      </c>
      <c r="J2536">
        <v>10</v>
      </c>
      <c r="K2536">
        <v>0</v>
      </c>
      <c r="L2536" s="4">
        <v>0.84709586848034746</v>
      </c>
      <c r="M2536" s="4">
        <v>0.15290413151965249</v>
      </c>
      <c r="N2536">
        <v>6</v>
      </c>
    </row>
    <row r="2537" spans="1:14" x14ac:dyDescent="0.35">
      <c r="A2537" s="1">
        <v>1242</v>
      </c>
      <c r="B2537">
        <v>8</v>
      </c>
      <c r="C2537">
        <v>60</v>
      </c>
      <c r="D2537">
        <v>0</v>
      </c>
      <c r="E2537">
        <v>0</v>
      </c>
      <c r="F2537">
        <v>2</v>
      </c>
      <c r="G2537">
        <v>1</v>
      </c>
      <c r="H2537">
        <v>0</v>
      </c>
      <c r="I2537">
        <v>12160.99</v>
      </c>
      <c r="J2537">
        <v>5</v>
      </c>
      <c r="K2537">
        <v>0</v>
      </c>
      <c r="L2537" s="4">
        <v>0.84711212428449523</v>
      </c>
      <c r="M2537" s="4">
        <v>0.1528878757155048</v>
      </c>
      <c r="N2537">
        <v>6</v>
      </c>
    </row>
    <row r="2538" spans="1:14" x14ac:dyDescent="0.35">
      <c r="A2538" s="1">
        <v>521</v>
      </c>
      <c r="B2538">
        <v>5</v>
      </c>
      <c r="C2538">
        <v>39</v>
      </c>
      <c r="D2538">
        <v>3</v>
      </c>
      <c r="E2538">
        <v>1</v>
      </c>
      <c r="F2538">
        <v>3</v>
      </c>
      <c r="G2538">
        <v>8</v>
      </c>
      <c r="H2538">
        <v>2</v>
      </c>
      <c r="I2538">
        <v>4200</v>
      </c>
      <c r="J2538">
        <v>11</v>
      </c>
      <c r="K2538">
        <v>0</v>
      </c>
      <c r="L2538" s="4">
        <v>0.84735489748469517</v>
      </c>
      <c r="M2538" s="4">
        <v>0.1526451025153048</v>
      </c>
      <c r="N2538">
        <v>6</v>
      </c>
    </row>
    <row r="2539" spans="1:14" x14ac:dyDescent="0.35">
      <c r="A2539" s="1">
        <v>1524</v>
      </c>
      <c r="B2539">
        <v>9</v>
      </c>
      <c r="C2539">
        <v>58</v>
      </c>
      <c r="D2539">
        <v>2</v>
      </c>
      <c r="E2539">
        <v>1</v>
      </c>
      <c r="F2539">
        <v>1</v>
      </c>
      <c r="G2539">
        <v>7</v>
      </c>
      <c r="H2539">
        <v>0</v>
      </c>
      <c r="I2539">
        <v>6000</v>
      </c>
      <c r="J2539">
        <v>2</v>
      </c>
      <c r="K2539">
        <v>0</v>
      </c>
      <c r="L2539" s="4">
        <v>0.84741116515333137</v>
      </c>
      <c r="M2539" s="4">
        <v>0.15258883484666869</v>
      </c>
      <c r="N2539">
        <v>6</v>
      </c>
    </row>
    <row r="2540" spans="1:14" x14ac:dyDescent="0.35">
      <c r="A2540" s="1">
        <v>4331</v>
      </c>
      <c r="B2540">
        <v>9</v>
      </c>
      <c r="C2540">
        <v>51</v>
      </c>
      <c r="D2540">
        <v>2</v>
      </c>
      <c r="E2540">
        <v>2</v>
      </c>
      <c r="F2540">
        <v>0</v>
      </c>
      <c r="G2540">
        <v>11</v>
      </c>
      <c r="H2540">
        <v>3</v>
      </c>
      <c r="I2540">
        <v>0.01</v>
      </c>
      <c r="J2540">
        <v>8</v>
      </c>
      <c r="K2540">
        <v>0</v>
      </c>
      <c r="L2540" s="4">
        <v>0.84764173479191562</v>
      </c>
      <c r="M2540" s="4">
        <v>0.15235826520808429</v>
      </c>
      <c r="N2540">
        <v>6</v>
      </c>
    </row>
    <row r="2541" spans="1:14" x14ac:dyDescent="0.35">
      <c r="A2541" s="1">
        <v>2235</v>
      </c>
      <c r="B2541">
        <v>5</v>
      </c>
      <c r="C2541">
        <v>44</v>
      </c>
      <c r="D2541">
        <v>3</v>
      </c>
      <c r="E2541">
        <v>0</v>
      </c>
      <c r="F2541">
        <v>1</v>
      </c>
      <c r="G2541">
        <v>7</v>
      </c>
      <c r="H2541">
        <v>3</v>
      </c>
      <c r="I2541">
        <v>0.01</v>
      </c>
      <c r="J2541">
        <v>4</v>
      </c>
      <c r="K2541">
        <v>0</v>
      </c>
      <c r="L2541" s="4">
        <v>0.8477203197418085</v>
      </c>
      <c r="M2541" s="4">
        <v>0.1522796802581915</v>
      </c>
      <c r="N2541">
        <v>6</v>
      </c>
    </row>
    <row r="2542" spans="1:14" x14ac:dyDescent="0.35">
      <c r="A2542" s="1">
        <v>1162</v>
      </c>
      <c r="B2542">
        <v>9</v>
      </c>
      <c r="C2542">
        <v>61</v>
      </c>
      <c r="D2542">
        <v>3</v>
      </c>
      <c r="E2542">
        <v>0</v>
      </c>
      <c r="F2542">
        <v>1</v>
      </c>
      <c r="G2542">
        <v>7</v>
      </c>
      <c r="H2542">
        <v>2</v>
      </c>
      <c r="I2542">
        <v>50</v>
      </c>
      <c r="J2542">
        <v>7</v>
      </c>
      <c r="K2542">
        <v>0</v>
      </c>
      <c r="L2542" s="4">
        <v>0.84773833387311859</v>
      </c>
      <c r="M2542" s="4">
        <v>0.15226166612688141</v>
      </c>
      <c r="N2542">
        <v>6</v>
      </c>
    </row>
    <row r="2543" spans="1:14" x14ac:dyDescent="0.35">
      <c r="A2543" s="1">
        <v>2638</v>
      </c>
      <c r="B2543">
        <v>7</v>
      </c>
      <c r="C2543">
        <v>48</v>
      </c>
      <c r="D2543">
        <v>3</v>
      </c>
      <c r="E2543">
        <v>1</v>
      </c>
      <c r="F2543">
        <v>1</v>
      </c>
      <c r="G2543">
        <v>7</v>
      </c>
      <c r="H2543">
        <v>2</v>
      </c>
      <c r="I2543">
        <v>2000</v>
      </c>
      <c r="J2543">
        <v>5</v>
      </c>
      <c r="K2543">
        <v>0</v>
      </c>
      <c r="L2543" s="4">
        <v>0.84774851004847307</v>
      </c>
      <c r="M2543" s="4">
        <v>0.15225148995152701</v>
      </c>
      <c r="N2543">
        <v>6</v>
      </c>
    </row>
    <row r="2544" spans="1:14" x14ac:dyDescent="0.35">
      <c r="A2544" s="1">
        <v>2950</v>
      </c>
      <c r="B2544">
        <v>8</v>
      </c>
      <c r="C2544">
        <v>50</v>
      </c>
      <c r="D2544">
        <v>5</v>
      </c>
      <c r="E2544">
        <v>1</v>
      </c>
      <c r="F2544">
        <v>1</v>
      </c>
      <c r="G2544">
        <v>12</v>
      </c>
      <c r="H2544">
        <v>3</v>
      </c>
      <c r="I2544">
        <v>0.01</v>
      </c>
      <c r="J2544">
        <v>8</v>
      </c>
      <c r="K2544">
        <v>1</v>
      </c>
      <c r="L2544" s="4">
        <v>0.84775650248827894</v>
      </c>
      <c r="M2544" s="4">
        <v>0.152243497511721</v>
      </c>
      <c r="N2544">
        <v>6</v>
      </c>
    </row>
    <row r="2545" spans="1:14" x14ac:dyDescent="0.35">
      <c r="A2545" s="1">
        <v>3492</v>
      </c>
      <c r="B2545">
        <v>8</v>
      </c>
      <c r="C2545">
        <v>54</v>
      </c>
      <c r="D2545">
        <v>0</v>
      </c>
      <c r="E2545">
        <v>1</v>
      </c>
      <c r="F2545">
        <v>3</v>
      </c>
      <c r="G2545">
        <v>8</v>
      </c>
      <c r="H2545">
        <v>0</v>
      </c>
      <c r="I2545">
        <v>12222.49</v>
      </c>
      <c r="J2545">
        <v>2</v>
      </c>
      <c r="K2545">
        <v>0</v>
      </c>
      <c r="L2545" s="4">
        <v>0.84776379831795612</v>
      </c>
      <c r="M2545" s="4">
        <v>0.15223620168204391</v>
      </c>
      <c r="N2545">
        <v>6</v>
      </c>
    </row>
    <row r="2546" spans="1:14" x14ac:dyDescent="0.35">
      <c r="A2546" s="1">
        <v>4115</v>
      </c>
      <c r="B2546">
        <v>9</v>
      </c>
      <c r="C2546">
        <v>59</v>
      </c>
      <c r="D2546">
        <v>2</v>
      </c>
      <c r="E2546">
        <v>1</v>
      </c>
      <c r="F2546">
        <v>0</v>
      </c>
      <c r="G2546">
        <v>4</v>
      </c>
      <c r="H2546">
        <v>0</v>
      </c>
      <c r="I2546">
        <v>9000</v>
      </c>
      <c r="J2546">
        <v>8</v>
      </c>
      <c r="K2546">
        <v>0</v>
      </c>
      <c r="L2546" s="4">
        <v>0.84776466617752078</v>
      </c>
      <c r="M2546" s="4">
        <v>0.1522353338224792</v>
      </c>
      <c r="N2546">
        <v>6</v>
      </c>
    </row>
    <row r="2547" spans="1:14" x14ac:dyDescent="0.35">
      <c r="A2547" s="1">
        <v>2873</v>
      </c>
      <c r="B2547">
        <v>11</v>
      </c>
      <c r="C2547">
        <v>70</v>
      </c>
      <c r="D2547">
        <v>1</v>
      </c>
      <c r="E2547">
        <v>0</v>
      </c>
      <c r="F2547">
        <v>1</v>
      </c>
      <c r="G2547">
        <v>7</v>
      </c>
      <c r="H2547">
        <v>2</v>
      </c>
      <c r="I2547">
        <v>2000</v>
      </c>
      <c r="J2547">
        <v>5</v>
      </c>
      <c r="K2547">
        <v>0</v>
      </c>
      <c r="L2547" s="4">
        <v>0.84786135328302425</v>
      </c>
      <c r="M2547" s="4">
        <v>0.1521386467169758</v>
      </c>
      <c r="N2547">
        <v>6</v>
      </c>
    </row>
    <row r="2548" spans="1:14" x14ac:dyDescent="0.35">
      <c r="A2548" s="1">
        <v>1359</v>
      </c>
      <c r="B2548">
        <v>10</v>
      </c>
      <c r="C2548">
        <v>61</v>
      </c>
      <c r="D2548">
        <v>1</v>
      </c>
      <c r="E2548">
        <v>1</v>
      </c>
      <c r="F2548">
        <v>4</v>
      </c>
      <c r="G2548">
        <v>9</v>
      </c>
      <c r="H2548">
        <v>0</v>
      </c>
      <c r="I2548">
        <v>6000</v>
      </c>
      <c r="J2548">
        <v>4</v>
      </c>
      <c r="K2548">
        <v>0</v>
      </c>
      <c r="L2548" s="4">
        <v>0.84795153401614376</v>
      </c>
      <c r="M2548" s="4">
        <v>0.1520484659838563</v>
      </c>
      <c r="N2548">
        <v>6</v>
      </c>
    </row>
    <row r="2549" spans="1:14" x14ac:dyDescent="0.35">
      <c r="A2549" s="1">
        <v>952</v>
      </c>
      <c r="B2549">
        <v>7</v>
      </c>
      <c r="C2549">
        <v>48</v>
      </c>
      <c r="D2549">
        <v>3</v>
      </c>
      <c r="E2549">
        <v>1</v>
      </c>
      <c r="F2549">
        <v>0</v>
      </c>
      <c r="G2549">
        <v>4</v>
      </c>
      <c r="H2549">
        <v>3</v>
      </c>
      <c r="I2549">
        <v>0.01</v>
      </c>
      <c r="J2549">
        <v>4</v>
      </c>
      <c r="K2549">
        <v>0</v>
      </c>
      <c r="L2549" s="4">
        <v>0.84821590932854352</v>
      </c>
      <c r="M2549" s="4">
        <v>0.15178409067145651</v>
      </c>
      <c r="N2549">
        <v>6</v>
      </c>
    </row>
    <row r="2550" spans="1:14" x14ac:dyDescent="0.35">
      <c r="A2550" s="1">
        <v>2327</v>
      </c>
      <c r="B2550">
        <v>7</v>
      </c>
      <c r="C2550">
        <v>53</v>
      </c>
      <c r="D2550">
        <v>0</v>
      </c>
      <c r="E2550">
        <v>0</v>
      </c>
      <c r="F2550">
        <v>3</v>
      </c>
      <c r="G2550">
        <v>3</v>
      </c>
      <c r="H2550">
        <v>3</v>
      </c>
      <c r="I2550">
        <v>0.01</v>
      </c>
      <c r="J2550">
        <v>8</v>
      </c>
      <c r="K2550">
        <v>0</v>
      </c>
      <c r="L2550" s="4">
        <v>0.84836131449035357</v>
      </c>
      <c r="M2550" s="4">
        <v>0.15163868550964649</v>
      </c>
      <c r="N2550">
        <v>6</v>
      </c>
    </row>
    <row r="2551" spans="1:14" x14ac:dyDescent="0.35">
      <c r="A2551" s="1">
        <v>482</v>
      </c>
      <c r="B2551">
        <v>8</v>
      </c>
      <c r="C2551">
        <v>52</v>
      </c>
      <c r="D2551">
        <v>1</v>
      </c>
      <c r="E2551">
        <v>1</v>
      </c>
      <c r="F2551">
        <v>3</v>
      </c>
      <c r="G2551">
        <v>8</v>
      </c>
      <c r="H2551">
        <v>2</v>
      </c>
      <c r="I2551">
        <v>1260</v>
      </c>
      <c r="J2551">
        <v>7</v>
      </c>
      <c r="K2551">
        <v>0</v>
      </c>
      <c r="L2551" s="4">
        <v>0.84843574740749095</v>
      </c>
      <c r="M2551" s="4">
        <v>0.151564252592509</v>
      </c>
      <c r="N2551">
        <v>6</v>
      </c>
    </row>
    <row r="2552" spans="1:14" x14ac:dyDescent="0.35">
      <c r="A2552" s="1">
        <v>408</v>
      </c>
      <c r="B2552">
        <v>9</v>
      </c>
      <c r="C2552">
        <v>62</v>
      </c>
      <c r="D2552">
        <v>1</v>
      </c>
      <c r="E2552">
        <v>0</v>
      </c>
      <c r="F2552">
        <v>0</v>
      </c>
      <c r="G2552">
        <v>4</v>
      </c>
      <c r="H2552">
        <v>3</v>
      </c>
      <c r="I2552">
        <v>0.01</v>
      </c>
      <c r="J2552">
        <v>8</v>
      </c>
      <c r="K2552">
        <v>0</v>
      </c>
      <c r="L2552" s="4">
        <v>0.84844464852308621</v>
      </c>
      <c r="M2552" s="4">
        <v>0.15155535147691379</v>
      </c>
      <c r="N2552">
        <v>6</v>
      </c>
    </row>
    <row r="2553" spans="1:14" x14ac:dyDescent="0.35">
      <c r="A2553" s="1">
        <v>3077</v>
      </c>
      <c r="B2553">
        <v>9</v>
      </c>
      <c r="C2553">
        <v>61</v>
      </c>
      <c r="D2553">
        <v>5</v>
      </c>
      <c r="E2553">
        <v>0</v>
      </c>
      <c r="F2553">
        <v>0</v>
      </c>
      <c r="G2553">
        <v>4</v>
      </c>
      <c r="H2553">
        <v>2</v>
      </c>
      <c r="I2553">
        <v>3000</v>
      </c>
      <c r="J2553">
        <v>4</v>
      </c>
      <c r="K2553">
        <v>0</v>
      </c>
      <c r="L2553" s="4">
        <v>0.84861577528266818</v>
      </c>
      <c r="M2553" s="4">
        <v>0.1513842247173319</v>
      </c>
      <c r="N2553">
        <v>6</v>
      </c>
    </row>
    <row r="2554" spans="1:14" x14ac:dyDescent="0.35">
      <c r="A2554" s="1">
        <v>394</v>
      </c>
      <c r="B2554">
        <v>8</v>
      </c>
      <c r="C2554">
        <v>57</v>
      </c>
      <c r="D2554">
        <v>2</v>
      </c>
      <c r="E2554">
        <v>0</v>
      </c>
      <c r="F2554">
        <v>1</v>
      </c>
      <c r="G2554">
        <v>12</v>
      </c>
      <c r="H2554">
        <v>2</v>
      </c>
      <c r="I2554">
        <v>3000</v>
      </c>
      <c r="J2554">
        <v>1</v>
      </c>
      <c r="K2554">
        <v>0</v>
      </c>
      <c r="L2554" s="4">
        <v>0.84865557535315506</v>
      </c>
      <c r="M2554" s="4">
        <v>0.15134442464684489</v>
      </c>
      <c r="N2554">
        <v>6</v>
      </c>
    </row>
    <row r="2555" spans="1:14" x14ac:dyDescent="0.35">
      <c r="A2555" s="1">
        <v>3370</v>
      </c>
      <c r="B2555">
        <v>10</v>
      </c>
      <c r="C2555">
        <v>63</v>
      </c>
      <c r="D2555">
        <v>1</v>
      </c>
      <c r="E2555">
        <v>1</v>
      </c>
      <c r="F2555">
        <v>1</v>
      </c>
      <c r="G2555">
        <v>7</v>
      </c>
      <c r="H2555">
        <v>0</v>
      </c>
      <c r="I2555">
        <v>11000</v>
      </c>
      <c r="J2555">
        <v>12</v>
      </c>
      <c r="K2555">
        <v>0</v>
      </c>
      <c r="L2555" s="4">
        <v>0.84869235857936487</v>
      </c>
      <c r="M2555" s="4">
        <v>0.1513076414206351</v>
      </c>
      <c r="N2555">
        <v>6</v>
      </c>
    </row>
    <row r="2556" spans="1:14" x14ac:dyDescent="0.35">
      <c r="A2556" s="1">
        <v>1655</v>
      </c>
      <c r="B2556">
        <v>5</v>
      </c>
      <c r="C2556">
        <v>44</v>
      </c>
      <c r="D2556">
        <v>4</v>
      </c>
      <c r="E2556">
        <v>0</v>
      </c>
      <c r="F2556">
        <v>1</v>
      </c>
      <c r="G2556">
        <v>12</v>
      </c>
      <c r="H2556">
        <v>2</v>
      </c>
      <c r="I2556">
        <v>480</v>
      </c>
      <c r="J2556">
        <v>5</v>
      </c>
      <c r="K2556">
        <v>1</v>
      </c>
      <c r="L2556" s="4">
        <v>0.84870908157232794</v>
      </c>
      <c r="M2556" s="4">
        <v>0.15129091842767201</v>
      </c>
      <c r="N2556">
        <v>6</v>
      </c>
    </row>
    <row r="2557" spans="1:14" x14ac:dyDescent="0.35">
      <c r="A2557" s="1">
        <v>4298</v>
      </c>
      <c r="B2557">
        <v>12</v>
      </c>
      <c r="C2557">
        <v>75</v>
      </c>
      <c r="D2557">
        <v>1</v>
      </c>
      <c r="E2557">
        <v>0</v>
      </c>
      <c r="F2557">
        <v>3</v>
      </c>
      <c r="G2557">
        <v>8</v>
      </c>
      <c r="H2557">
        <v>0</v>
      </c>
      <c r="I2557">
        <v>18781.009999999998</v>
      </c>
      <c r="J2557">
        <v>3</v>
      </c>
      <c r="K2557">
        <v>1</v>
      </c>
      <c r="L2557" s="4">
        <v>0.84876208309366297</v>
      </c>
      <c r="M2557" s="4">
        <v>0.15123791690633709</v>
      </c>
      <c r="N2557">
        <v>6</v>
      </c>
    </row>
    <row r="2558" spans="1:14" x14ac:dyDescent="0.35">
      <c r="A2558" s="1">
        <v>3349</v>
      </c>
      <c r="B2558">
        <v>6</v>
      </c>
      <c r="C2558">
        <v>49</v>
      </c>
      <c r="D2558">
        <v>5</v>
      </c>
      <c r="E2558">
        <v>0</v>
      </c>
      <c r="F2558">
        <v>0</v>
      </c>
      <c r="G2558">
        <v>2</v>
      </c>
      <c r="H2558">
        <v>2</v>
      </c>
      <c r="I2558">
        <v>920</v>
      </c>
      <c r="J2558">
        <v>4</v>
      </c>
      <c r="K2558">
        <v>1</v>
      </c>
      <c r="L2558" s="4">
        <v>0.84880037893732596</v>
      </c>
      <c r="M2558" s="4">
        <v>0.15119962106267401</v>
      </c>
      <c r="N2558">
        <v>6</v>
      </c>
    </row>
    <row r="2559" spans="1:14" x14ac:dyDescent="0.35">
      <c r="A2559" s="1">
        <v>2836</v>
      </c>
      <c r="B2559">
        <v>9</v>
      </c>
      <c r="C2559">
        <v>62</v>
      </c>
      <c r="D2559">
        <v>3</v>
      </c>
      <c r="E2559">
        <v>0</v>
      </c>
      <c r="F2559">
        <v>0</v>
      </c>
      <c r="G2559">
        <v>4</v>
      </c>
      <c r="H2559">
        <v>2</v>
      </c>
      <c r="I2559">
        <v>3000</v>
      </c>
      <c r="J2559">
        <v>8</v>
      </c>
      <c r="K2559">
        <v>1</v>
      </c>
      <c r="L2559" s="4">
        <v>0.84892748275768903</v>
      </c>
      <c r="M2559" s="4">
        <v>0.15107251724231099</v>
      </c>
      <c r="N2559">
        <v>6</v>
      </c>
    </row>
    <row r="2560" spans="1:14" x14ac:dyDescent="0.35">
      <c r="A2560" s="1">
        <v>879</v>
      </c>
      <c r="B2560">
        <v>10</v>
      </c>
      <c r="C2560">
        <v>64</v>
      </c>
      <c r="D2560">
        <v>5</v>
      </c>
      <c r="E2560">
        <v>0</v>
      </c>
      <c r="F2560">
        <v>1</v>
      </c>
      <c r="G2560">
        <v>12</v>
      </c>
      <c r="H2560">
        <v>2</v>
      </c>
      <c r="I2560">
        <v>1000</v>
      </c>
      <c r="J2560">
        <v>10</v>
      </c>
      <c r="K2560">
        <v>0</v>
      </c>
      <c r="L2560" s="4">
        <v>0.84921309069063999</v>
      </c>
      <c r="M2560" s="4">
        <v>0.15078690930936001</v>
      </c>
      <c r="N2560">
        <v>6</v>
      </c>
    </row>
    <row r="2561" spans="1:14" x14ac:dyDescent="0.35">
      <c r="A2561" s="1">
        <v>2814</v>
      </c>
      <c r="B2561">
        <v>8</v>
      </c>
      <c r="C2561">
        <v>51</v>
      </c>
      <c r="D2561">
        <v>4</v>
      </c>
      <c r="E2561">
        <v>1</v>
      </c>
      <c r="F2561">
        <v>1</v>
      </c>
      <c r="G2561">
        <v>7</v>
      </c>
      <c r="H2561">
        <v>3</v>
      </c>
      <c r="I2561">
        <v>0.01</v>
      </c>
      <c r="J2561">
        <v>4</v>
      </c>
      <c r="K2561">
        <v>0</v>
      </c>
      <c r="L2561" s="4">
        <v>0.84924303345617336</v>
      </c>
      <c r="M2561" s="4">
        <v>0.1507569665438267</v>
      </c>
      <c r="N2561">
        <v>6</v>
      </c>
    </row>
    <row r="2562" spans="1:14" x14ac:dyDescent="0.35">
      <c r="A2562" s="1">
        <v>3000</v>
      </c>
      <c r="B2562">
        <v>7</v>
      </c>
      <c r="C2562">
        <v>51</v>
      </c>
      <c r="D2562">
        <v>1</v>
      </c>
      <c r="E2562">
        <v>1</v>
      </c>
      <c r="F2562">
        <v>1</v>
      </c>
      <c r="G2562">
        <v>7</v>
      </c>
      <c r="H2562">
        <v>0</v>
      </c>
      <c r="I2562">
        <v>20000</v>
      </c>
      <c r="J2562">
        <v>4</v>
      </c>
      <c r="K2562">
        <v>0</v>
      </c>
      <c r="L2562" s="4">
        <v>0.84931341027480667</v>
      </c>
      <c r="M2562" s="4">
        <v>0.1506865897251933</v>
      </c>
      <c r="N2562">
        <v>6</v>
      </c>
    </row>
    <row r="2563" spans="1:14" x14ac:dyDescent="0.35">
      <c r="A2563" s="1">
        <v>2608</v>
      </c>
      <c r="B2563">
        <v>8</v>
      </c>
      <c r="C2563">
        <v>49</v>
      </c>
      <c r="D2563">
        <v>5</v>
      </c>
      <c r="E2563">
        <v>1</v>
      </c>
      <c r="F2563">
        <v>4</v>
      </c>
      <c r="G2563">
        <v>9</v>
      </c>
      <c r="H2563">
        <v>3</v>
      </c>
      <c r="I2563">
        <v>0.01</v>
      </c>
      <c r="J2563">
        <v>5</v>
      </c>
      <c r="K2563">
        <v>0</v>
      </c>
      <c r="L2563" s="4">
        <v>0.84936119622022577</v>
      </c>
      <c r="M2563" s="4">
        <v>0.15063880377977421</v>
      </c>
      <c r="N2563">
        <v>6</v>
      </c>
    </row>
    <row r="2564" spans="1:14" x14ac:dyDescent="0.35">
      <c r="A2564" s="1">
        <v>1931</v>
      </c>
      <c r="B2564">
        <v>12</v>
      </c>
      <c r="C2564">
        <v>76</v>
      </c>
      <c r="D2564">
        <v>2</v>
      </c>
      <c r="E2564">
        <v>0</v>
      </c>
      <c r="F2564">
        <v>1</v>
      </c>
      <c r="G2564">
        <v>5</v>
      </c>
      <c r="H2564">
        <v>0</v>
      </c>
      <c r="I2564">
        <v>17638.18</v>
      </c>
      <c r="J2564">
        <v>11</v>
      </c>
      <c r="K2564">
        <v>0</v>
      </c>
      <c r="L2564" s="4">
        <v>0.84936686592781929</v>
      </c>
      <c r="M2564" s="4">
        <v>0.15063313407218079</v>
      </c>
      <c r="N2564">
        <v>6</v>
      </c>
    </row>
    <row r="2565" spans="1:14" x14ac:dyDescent="0.35">
      <c r="A2565" s="1">
        <v>1610</v>
      </c>
      <c r="B2565">
        <v>9</v>
      </c>
      <c r="C2565">
        <v>62</v>
      </c>
      <c r="D2565">
        <v>3</v>
      </c>
      <c r="E2565">
        <v>0</v>
      </c>
      <c r="F2565">
        <v>0</v>
      </c>
      <c r="G2565">
        <v>4</v>
      </c>
      <c r="H2565">
        <v>2</v>
      </c>
      <c r="I2565">
        <v>50</v>
      </c>
      <c r="J2565">
        <v>9</v>
      </c>
      <c r="K2565">
        <v>0</v>
      </c>
      <c r="L2565" s="4">
        <v>0.84937172783853176</v>
      </c>
      <c r="M2565" s="4">
        <v>0.15062827216146829</v>
      </c>
      <c r="N2565">
        <v>6</v>
      </c>
    </row>
    <row r="2566" spans="1:14" x14ac:dyDescent="0.35">
      <c r="A2566" s="1">
        <v>1032</v>
      </c>
      <c r="B2566">
        <v>9</v>
      </c>
      <c r="C2566">
        <v>58</v>
      </c>
      <c r="D2566">
        <v>5</v>
      </c>
      <c r="E2566">
        <v>1</v>
      </c>
      <c r="F2566">
        <v>0</v>
      </c>
      <c r="G2566">
        <v>4</v>
      </c>
      <c r="H2566">
        <v>0</v>
      </c>
      <c r="I2566">
        <v>16000</v>
      </c>
      <c r="J2566">
        <v>3</v>
      </c>
      <c r="K2566">
        <v>0</v>
      </c>
      <c r="L2566" s="4">
        <v>0.8495474349293205</v>
      </c>
      <c r="M2566" s="4">
        <v>0.1504525650706795</v>
      </c>
      <c r="N2566">
        <v>6</v>
      </c>
    </row>
    <row r="2567" spans="1:14" x14ac:dyDescent="0.35">
      <c r="A2567" s="1">
        <v>1336</v>
      </c>
      <c r="B2567">
        <v>7</v>
      </c>
      <c r="C2567">
        <v>51</v>
      </c>
      <c r="D2567">
        <v>0</v>
      </c>
      <c r="E2567">
        <v>1</v>
      </c>
      <c r="F2567">
        <v>1</v>
      </c>
      <c r="G2567">
        <v>12</v>
      </c>
      <c r="H2567">
        <v>0</v>
      </c>
      <c r="I2567">
        <v>19958.099999999999</v>
      </c>
      <c r="J2567">
        <v>3</v>
      </c>
      <c r="K2567">
        <v>0</v>
      </c>
      <c r="L2567" s="4">
        <v>0.84963274513946663</v>
      </c>
      <c r="M2567" s="4">
        <v>0.15036725486053329</v>
      </c>
      <c r="N2567">
        <v>6</v>
      </c>
    </row>
    <row r="2568" spans="1:14" x14ac:dyDescent="0.35">
      <c r="A2568" s="1">
        <v>3476</v>
      </c>
      <c r="B2568">
        <v>9</v>
      </c>
      <c r="C2568">
        <v>61</v>
      </c>
      <c r="D2568">
        <v>6</v>
      </c>
      <c r="E2568">
        <v>0</v>
      </c>
      <c r="F2568">
        <v>3</v>
      </c>
      <c r="G2568">
        <v>3</v>
      </c>
      <c r="H2568">
        <v>0</v>
      </c>
      <c r="I2568">
        <v>6053.35</v>
      </c>
      <c r="J2568">
        <v>7</v>
      </c>
      <c r="K2568">
        <v>0</v>
      </c>
      <c r="L2568" s="4">
        <v>0.84980531348329647</v>
      </c>
      <c r="M2568" s="4">
        <v>0.15019468651670359</v>
      </c>
      <c r="N2568">
        <v>6</v>
      </c>
    </row>
    <row r="2569" spans="1:14" x14ac:dyDescent="0.35">
      <c r="A2569" s="1">
        <v>3862</v>
      </c>
      <c r="B2569">
        <v>12</v>
      </c>
      <c r="C2569">
        <v>65</v>
      </c>
      <c r="D2569">
        <v>2</v>
      </c>
      <c r="E2569">
        <v>2</v>
      </c>
      <c r="F2569">
        <v>0</v>
      </c>
      <c r="G2569">
        <v>2</v>
      </c>
      <c r="H2569">
        <v>2</v>
      </c>
      <c r="I2569">
        <v>600.01</v>
      </c>
      <c r="J2569">
        <v>8</v>
      </c>
      <c r="K2569">
        <v>0</v>
      </c>
      <c r="L2569" s="4">
        <v>0.84981133542883791</v>
      </c>
      <c r="M2569" s="4">
        <v>0.15018866457116209</v>
      </c>
      <c r="N2569">
        <v>6</v>
      </c>
    </row>
    <row r="2570" spans="1:14" x14ac:dyDescent="0.35">
      <c r="A2570" s="1">
        <v>2598</v>
      </c>
      <c r="B2570">
        <v>10</v>
      </c>
      <c r="C2570">
        <v>67</v>
      </c>
      <c r="D2570">
        <v>1</v>
      </c>
      <c r="E2570">
        <v>0</v>
      </c>
      <c r="F2570">
        <v>3</v>
      </c>
      <c r="G2570">
        <v>3</v>
      </c>
      <c r="H2570">
        <v>1</v>
      </c>
      <c r="I2570">
        <v>30075</v>
      </c>
      <c r="J2570">
        <v>0</v>
      </c>
      <c r="K2570">
        <v>0</v>
      </c>
      <c r="L2570" s="4">
        <v>0.84982001537593232</v>
      </c>
      <c r="M2570" s="4">
        <v>0.1501799846240677</v>
      </c>
      <c r="N2570">
        <v>6</v>
      </c>
    </row>
    <row r="2571" spans="1:14" x14ac:dyDescent="0.35">
      <c r="A2571" s="1">
        <v>36</v>
      </c>
      <c r="B2571">
        <v>8</v>
      </c>
      <c r="C2571">
        <v>55</v>
      </c>
      <c r="D2571">
        <v>5</v>
      </c>
      <c r="E2571">
        <v>0</v>
      </c>
      <c r="F2571">
        <v>3</v>
      </c>
      <c r="G2571">
        <v>3</v>
      </c>
      <c r="H2571">
        <v>3</v>
      </c>
      <c r="I2571">
        <v>0.01</v>
      </c>
      <c r="J2571">
        <v>5</v>
      </c>
      <c r="K2571">
        <v>1</v>
      </c>
      <c r="L2571" s="4">
        <v>0.84989842343876232</v>
      </c>
      <c r="M2571" s="4">
        <v>0.15010157656123771</v>
      </c>
      <c r="N2571">
        <v>6</v>
      </c>
    </row>
    <row r="2572" spans="1:14" x14ac:dyDescent="0.35">
      <c r="A2572" s="1">
        <v>1088</v>
      </c>
      <c r="B2572">
        <v>6</v>
      </c>
      <c r="C2572">
        <v>44</v>
      </c>
      <c r="D2572">
        <v>4</v>
      </c>
      <c r="E2572">
        <v>1</v>
      </c>
      <c r="F2572">
        <v>0</v>
      </c>
      <c r="G2572">
        <v>2</v>
      </c>
      <c r="H2572">
        <v>3</v>
      </c>
      <c r="I2572">
        <v>0.01</v>
      </c>
      <c r="J2572">
        <v>8</v>
      </c>
      <c r="K2572">
        <v>0</v>
      </c>
      <c r="L2572" s="4">
        <v>0.84990819782785731</v>
      </c>
      <c r="M2572" s="4">
        <v>0.1500918021721426</v>
      </c>
      <c r="N2572">
        <v>6</v>
      </c>
    </row>
    <row r="2573" spans="1:14" x14ac:dyDescent="0.35">
      <c r="A2573" s="1">
        <v>2674</v>
      </c>
      <c r="B2573">
        <v>5</v>
      </c>
      <c r="C2573">
        <v>35</v>
      </c>
      <c r="D2573">
        <v>2</v>
      </c>
      <c r="E2573">
        <v>2</v>
      </c>
      <c r="F2573">
        <v>2</v>
      </c>
      <c r="G2573">
        <v>1</v>
      </c>
      <c r="H2573">
        <v>3</v>
      </c>
      <c r="I2573">
        <v>0.01</v>
      </c>
      <c r="J2573">
        <v>5</v>
      </c>
      <c r="K2573">
        <v>0</v>
      </c>
      <c r="L2573" s="4">
        <v>0.8499386956478957</v>
      </c>
      <c r="M2573" s="4">
        <v>0.1500613043521043</v>
      </c>
      <c r="N2573">
        <v>6</v>
      </c>
    </row>
    <row r="2574" spans="1:14" x14ac:dyDescent="0.35">
      <c r="A2574" s="1">
        <v>1856</v>
      </c>
      <c r="B2574">
        <v>7</v>
      </c>
      <c r="C2574">
        <v>54</v>
      </c>
      <c r="D2574">
        <v>3</v>
      </c>
      <c r="E2574">
        <v>0</v>
      </c>
      <c r="F2574">
        <v>0</v>
      </c>
      <c r="G2574">
        <v>4</v>
      </c>
      <c r="H2574">
        <v>2</v>
      </c>
      <c r="I2574">
        <v>600</v>
      </c>
      <c r="J2574">
        <v>9</v>
      </c>
      <c r="K2574">
        <v>0</v>
      </c>
      <c r="L2574" s="4">
        <v>0.85003036075402283</v>
      </c>
      <c r="M2574" s="4">
        <v>0.14996963924597709</v>
      </c>
      <c r="N2574">
        <v>6</v>
      </c>
    </row>
    <row r="2575" spans="1:14" x14ac:dyDescent="0.35">
      <c r="A2575" s="1">
        <v>705</v>
      </c>
      <c r="B2575">
        <v>9</v>
      </c>
      <c r="C2575">
        <v>57</v>
      </c>
      <c r="D2575">
        <v>3</v>
      </c>
      <c r="E2575">
        <v>1</v>
      </c>
      <c r="F2575">
        <v>3</v>
      </c>
      <c r="G2575">
        <v>8</v>
      </c>
      <c r="H2575">
        <v>1</v>
      </c>
      <c r="I2575">
        <v>30088.81</v>
      </c>
      <c r="J2575">
        <v>12</v>
      </c>
      <c r="K2575">
        <v>0</v>
      </c>
      <c r="L2575" s="4">
        <v>0.85008331380589386</v>
      </c>
      <c r="M2575" s="4">
        <v>0.1499166861941062</v>
      </c>
      <c r="N2575">
        <v>6</v>
      </c>
    </row>
    <row r="2576" spans="1:14" x14ac:dyDescent="0.35">
      <c r="A2576" s="1">
        <v>1969</v>
      </c>
      <c r="B2576">
        <v>9</v>
      </c>
      <c r="C2576">
        <v>53</v>
      </c>
      <c r="D2576">
        <v>2</v>
      </c>
      <c r="E2576">
        <v>2</v>
      </c>
      <c r="F2576">
        <v>3</v>
      </c>
      <c r="G2576">
        <v>3</v>
      </c>
      <c r="H2576">
        <v>0</v>
      </c>
      <c r="I2576">
        <v>8025</v>
      </c>
      <c r="J2576">
        <v>6</v>
      </c>
      <c r="K2576">
        <v>0</v>
      </c>
      <c r="L2576" s="4">
        <v>0.85011901557416603</v>
      </c>
      <c r="M2576" s="4">
        <v>0.14988098442583389</v>
      </c>
      <c r="N2576">
        <v>6</v>
      </c>
    </row>
    <row r="2577" spans="1:14" x14ac:dyDescent="0.35">
      <c r="A2577" s="1">
        <v>4174</v>
      </c>
      <c r="B2577">
        <v>8</v>
      </c>
      <c r="C2577">
        <v>51</v>
      </c>
      <c r="D2577">
        <v>3</v>
      </c>
      <c r="E2577">
        <v>1</v>
      </c>
      <c r="F2577">
        <v>3</v>
      </c>
      <c r="G2577">
        <v>3</v>
      </c>
      <c r="H2577">
        <v>3</v>
      </c>
      <c r="I2577">
        <v>0.01</v>
      </c>
      <c r="J2577">
        <v>5</v>
      </c>
      <c r="K2577">
        <v>1</v>
      </c>
      <c r="L2577" s="4">
        <v>0.85017578417806916</v>
      </c>
      <c r="M2577" s="4">
        <v>0.14982421582193081</v>
      </c>
      <c r="N2577">
        <v>6</v>
      </c>
    </row>
    <row r="2578" spans="1:14" x14ac:dyDescent="0.35">
      <c r="A2578" s="1">
        <v>2051</v>
      </c>
      <c r="B2578">
        <v>2</v>
      </c>
      <c r="C2578">
        <v>32</v>
      </c>
      <c r="D2578">
        <v>4</v>
      </c>
      <c r="E2578">
        <v>0</v>
      </c>
      <c r="F2578">
        <v>3</v>
      </c>
      <c r="G2578">
        <v>3</v>
      </c>
      <c r="H2578">
        <v>2</v>
      </c>
      <c r="I2578">
        <v>2000</v>
      </c>
      <c r="J2578">
        <v>7</v>
      </c>
      <c r="K2578">
        <v>1</v>
      </c>
      <c r="L2578" s="4">
        <v>0.85017855912850715</v>
      </c>
      <c r="M2578" s="4">
        <v>0.14982144087149291</v>
      </c>
      <c r="N2578">
        <v>6</v>
      </c>
    </row>
    <row r="2579" spans="1:14" x14ac:dyDescent="0.35">
      <c r="A2579" s="1">
        <v>2889</v>
      </c>
      <c r="B2579">
        <v>8</v>
      </c>
      <c r="C2579">
        <v>55</v>
      </c>
      <c r="D2579">
        <v>4</v>
      </c>
      <c r="E2579">
        <v>0</v>
      </c>
      <c r="F2579">
        <v>3</v>
      </c>
      <c r="G2579">
        <v>8</v>
      </c>
      <c r="H2579">
        <v>3</v>
      </c>
      <c r="I2579">
        <v>0.01</v>
      </c>
      <c r="J2579">
        <v>4</v>
      </c>
      <c r="K2579">
        <v>0</v>
      </c>
      <c r="L2579" s="4">
        <v>0.85020813956801877</v>
      </c>
      <c r="M2579" s="4">
        <v>0.1497918604319812</v>
      </c>
      <c r="N2579">
        <v>6</v>
      </c>
    </row>
    <row r="2580" spans="1:14" x14ac:dyDescent="0.35">
      <c r="A2580" s="1">
        <v>299</v>
      </c>
      <c r="B2580">
        <v>7</v>
      </c>
      <c r="C2580">
        <v>53</v>
      </c>
      <c r="D2580">
        <v>2</v>
      </c>
      <c r="E2580">
        <v>0</v>
      </c>
      <c r="F2580">
        <v>0</v>
      </c>
      <c r="G2580">
        <v>11</v>
      </c>
      <c r="H2580">
        <v>3</v>
      </c>
      <c r="I2580">
        <v>0.01</v>
      </c>
      <c r="J2580">
        <v>5</v>
      </c>
      <c r="K2580">
        <v>1</v>
      </c>
      <c r="L2580" s="4">
        <v>0.85029385202978958</v>
      </c>
      <c r="M2580" s="4">
        <v>0.1497061479702104</v>
      </c>
      <c r="N2580">
        <v>6</v>
      </c>
    </row>
    <row r="2581" spans="1:14" x14ac:dyDescent="0.35">
      <c r="A2581" s="1">
        <v>2025</v>
      </c>
      <c r="B2581">
        <v>8</v>
      </c>
      <c r="C2581">
        <v>46</v>
      </c>
      <c r="D2581">
        <v>5</v>
      </c>
      <c r="E2581">
        <v>2</v>
      </c>
      <c r="F2581">
        <v>1</v>
      </c>
      <c r="G2581">
        <v>5</v>
      </c>
      <c r="H2581">
        <v>3</v>
      </c>
      <c r="I2581">
        <v>0.01</v>
      </c>
      <c r="J2581">
        <v>5</v>
      </c>
      <c r="K2581">
        <v>0</v>
      </c>
      <c r="L2581" s="4">
        <v>0.85034659323791906</v>
      </c>
      <c r="M2581" s="4">
        <v>0.14965340676208089</v>
      </c>
      <c r="N2581">
        <v>6</v>
      </c>
    </row>
    <row r="2582" spans="1:14" x14ac:dyDescent="0.35">
      <c r="A2582" s="1">
        <v>3943</v>
      </c>
      <c r="B2582">
        <v>6</v>
      </c>
      <c r="C2582">
        <v>51</v>
      </c>
      <c r="D2582">
        <v>4</v>
      </c>
      <c r="E2582">
        <v>0</v>
      </c>
      <c r="F2582">
        <v>0</v>
      </c>
      <c r="G2582">
        <v>4</v>
      </c>
      <c r="H2582">
        <v>0</v>
      </c>
      <c r="I2582">
        <v>6000</v>
      </c>
      <c r="J2582">
        <v>1</v>
      </c>
      <c r="K2582">
        <v>0</v>
      </c>
      <c r="L2582" s="4">
        <v>0.85041937339668916</v>
      </c>
      <c r="M2582" s="4">
        <v>0.14958062660331081</v>
      </c>
      <c r="N2582">
        <v>6</v>
      </c>
    </row>
    <row r="2583" spans="1:14" x14ac:dyDescent="0.35">
      <c r="A2583" s="1">
        <v>1429</v>
      </c>
      <c r="B2583">
        <v>6</v>
      </c>
      <c r="C2583">
        <v>43</v>
      </c>
      <c r="D2583">
        <v>5</v>
      </c>
      <c r="E2583">
        <v>1</v>
      </c>
      <c r="F2583">
        <v>2</v>
      </c>
      <c r="G2583">
        <v>6</v>
      </c>
      <c r="H2583">
        <v>2</v>
      </c>
      <c r="I2583">
        <v>600</v>
      </c>
      <c r="J2583">
        <v>4</v>
      </c>
      <c r="K2583">
        <v>0</v>
      </c>
      <c r="L2583" s="4">
        <v>0.85055739185640655</v>
      </c>
      <c r="M2583" s="4">
        <v>0.1494426081435935</v>
      </c>
      <c r="N2583">
        <v>6</v>
      </c>
    </row>
    <row r="2584" spans="1:14" x14ac:dyDescent="0.35">
      <c r="A2584" s="1">
        <v>1674</v>
      </c>
      <c r="B2584">
        <v>8</v>
      </c>
      <c r="C2584">
        <v>51</v>
      </c>
      <c r="D2584">
        <v>5</v>
      </c>
      <c r="E2584">
        <v>1</v>
      </c>
      <c r="F2584">
        <v>3</v>
      </c>
      <c r="G2584">
        <v>3</v>
      </c>
      <c r="H2584">
        <v>2</v>
      </c>
      <c r="I2584">
        <v>0.02</v>
      </c>
      <c r="J2584">
        <v>9</v>
      </c>
      <c r="K2584">
        <v>0</v>
      </c>
      <c r="L2584" s="4">
        <v>0.85061512572361431</v>
      </c>
      <c r="M2584" s="4">
        <v>0.14938487427638569</v>
      </c>
      <c r="N2584">
        <v>6</v>
      </c>
    </row>
    <row r="2585" spans="1:14" x14ac:dyDescent="0.35">
      <c r="A2585" s="1">
        <v>2022</v>
      </c>
      <c r="B2585">
        <v>9</v>
      </c>
      <c r="C2585">
        <v>57</v>
      </c>
      <c r="D2585">
        <v>1</v>
      </c>
      <c r="E2585">
        <v>1</v>
      </c>
      <c r="F2585">
        <v>3</v>
      </c>
      <c r="G2585">
        <v>3</v>
      </c>
      <c r="H2585">
        <v>2</v>
      </c>
      <c r="I2585">
        <v>1000</v>
      </c>
      <c r="J2585">
        <v>16</v>
      </c>
      <c r="K2585">
        <v>0</v>
      </c>
      <c r="L2585" s="4">
        <v>0.85080676445382053</v>
      </c>
      <c r="M2585" s="4">
        <v>0.14919323554617939</v>
      </c>
      <c r="N2585">
        <v>6</v>
      </c>
    </row>
    <row r="2586" spans="1:14" x14ac:dyDescent="0.35">
      <c r="A2586" s="1">
        <v>192</v>
      </c>
      <c r="B2586">
        <v>8</v>
      </c>
      <c r="C2586">
        <v>59</v>
      </c>
      <c r="D2586">
        <v>1</v>
      </c>
      <c r="E2586">
        <v>0</v>
      </c>
      <c r="F2586">
        <v>0</v>
      </c>
      <c r="G2586">
        <v>4</v>
      </c>
      <c r="H2586">
        <v>2</v>
      </c>
      <c r="I2586">
        <v>4000</v>
      </c>
      <c r="J2586">
        <v>3</v>
      </c>
      <c r="K2586">
        <v>0</v>
      </c>
      <c r="L2586" s="4">
        <v>0.85089249735989336</v>
      </c>
      <c r="M2586" s="4">
        <v>0.14910750264010661</v>
      </c>
      <c r="N2586">
        <v>6</v>
      </c>
    </row>
    <row r="2587" spans="1:14" x14ac:dyDescent="0.35">
      <c r="A2587" s="1">
        <v>213</v>
      </c>
      <c r="B2587">
        <v>3</v>
      </c>
      <c r="C2587">
        <v>33</v>
      </c>
      <c r="D2587">
        <v>0</v>
      </c>
      <c r="E2587">
        <v>1</v>
      </c>
      <c r="F2587">
        <v>1</v>
      </c>
      <c r="G2587">
        <v>12</v>
      </c>
      <c r="H2587">
        <v>2</v>
      </c>
      <c r="I2587">
        <v>420</v>
      </c>
      <c r="J2587">
        <v>4</v>
      </c>
      <c r="K2587">
        <v>1</v>
      </c>
      <c r="L2587" s="4">
        <v>0.85090052950110884</v>
      </c>
      <c r="M2587" s="4">
        <v>0.14909947049889119</v>
      </c>
      <c r="N2587">
        <v>6</v>
      </c>
    </row>
    <row r="2588" spans="1:14" x14ac:dyDescent="0.35">
      <c r="A2588" s="1">
        <v>1825</v>
      </c>
      <c r="B2588">
        <v>9</v>
      </c>
      <c r="C2588">
        <v>51</v>
      </c>
      <c r="D2588">
        <v>3</v>
      </c>
      <c r="E2588">
        <v>2</v>
      </c>
      <c r="F2588">
        <v>2</v>
      </c>
      <c r="G2588">
        <v>1</v>
      </c>
      <c r="H2588">
        <v>3</v>
      </c>
      <c r="I2588">
        <v>0.01</v>
      </c>
      <c r="J2588">
        <v>10</v>
      </c>
      <c r="K2588">
        <v>0</v>
      </c>
      <c r="L2588" s="4">
        <v>0.8509295759951907</v>
      </c>
      <c r="M2588" s="4">
        <v>0.1490704240048093</v>
      </c>
      <c r="N2588">
        <v>6</v>
      </c>
    </row>
    <row r="2589" spans="1:14" x14ac:dyDescent="0.35">
      <c r="A2589" s="1">
        <v>1866</v>
      </c>
      <c r="B2589">
        <v>6</v>
      </c>
      <c r="C2589">
        <v>49</v>
      </c>
      <c r="D2589">
        <v>1</v>
      </c>
      <c r="E2589">
        <v>0</v>
      </c>
      <c r="F2589">
        <v>3</v>
      </c>
      <c r="G2589">
        <v>8</v>
      </c>
      <c r="H2589">
        <v>2</v>
      </c>
      <c r="I2589">
        <v>50</v>
      </c>
      <c r="J2589">
        <v>2</v>
      </c>
      <c r="K2589">
        <v>0</v>
      </c>
      <c r="L2589" s="4">
        <v>0.8509657747356798</v>
      </c>
      <c r="M2589" s="4">
        <v>0.1490342252643202</v>
      </c>
      <c r="N2589">
        <v>6</v>
      </c>
    </row>
    <row r="2590" spans="1:14" x14ac:dyDescent="0.35">
      <c r="A2590" s="1">
        <v>2721</v>
      </c>
      <c r="B2590">
        <v>8</v>
      </c>
      <c r="C2590">
        <v>57</v>
      </c>
      <c r="D2590">
        <v>3</v>
      </c>
      <c r="E2590">
        <v>0</v>
      </c>
      <c r="F2590">
        <v>2</v>
      </c>
      <c r="G2590">
        <v>6</v>
      </c>
      <c r="H2590">
        <v>2</v>
      </c>
      <c r="I2590">
        <v>2000</v>
      </c>
      <c r="J2590">
        <v>5</v>
      </c>
      <c r="K2590">
        <v>0</v>
      </c>
      <c r="L2590" s="4">
        <v>0.85098616017965278</v>
      </c>
      <c r="M2590" s="4">
        <v>0.14901383982034719</v>
      </c>
      <c r="N2590">
        <v>6</v>
      </c>
    </row>
    <row r="2591" spans="1:14" x14ac:dyDescent="0.35">
      <c r="A2591" s="1">
        <v>1463</v>
      </c>
      <c r="B2591">
        <v>5</v>
      </c>
      <c r="C2591">
        <v>43</v>
      </c>
      <c r="D2591">
        <v>5</v>
      </c>
      <c r="E2591">
        <v>0</v>
      </c>
      <c r="F2591">
        <v>3</v>
      </c>
      <c r="G2591">
        <v>3</v>
      </c>
      <c r="H2591">
        <v>3</v>
      </c>
      <c r="I2591">
        <v>0.01</v>
      </c>
      <c r="J2591">
        <v>5</v>
      </c>
      <c r="K2591">
        <v>1</v>
      </c>
      <c r="L2591" s="4">
        <v>0.85105121855323573</v>
      </c>
      <c r="M2591" s="4">
        <v>0.14894878144676429</v>
      </c>
      <c r="N2591">
        <v>6</v>
      </c>
    </row>
    <row r="2592" spans="1:14" x14ac:dyDescent="0.35">
      <c r="A2592" s="1">
        <v>2499</v>
      </c>
      <c r="B2592">
        <v>5</v>
      </c>
      <c r="C2592">
        <v>43</v>
      </c>
      <c r="D2592">
        <v>5</v>
      </c>
      <c r="E2592">
        <v>0</v>
      </c>
      <c r="F2592">
        <v>3</v>
      </c>
      <c r="G2592">
        <v>3</v>
      </c>
      <c r="H2592">
        <v>3</v>
      </c>
      <c r="I2592">
        <v>0.01</v>
      </c>
      <c r="J2592">
        <v>5</v>
      </c>
      <c r="K2592">
        <v>0</v>
      </c>
      <c r="L2592" s="4">
        <v>0.85105121855323573</v>
      </c>
      <c r="M2592" s="4">
        <v>0.14894878144676429</v>
      </c>
      <c r="N2592">
        <v>6</v>
      </c>
    </row>
    <row r="2593" spans="1:14" x14ac:dyDescent="0.35">
      <c r="A2593" s="1">
        <v>571</v>
      </c>
      <c r="B2593">
        <v>8</v>
      </c>
      <c r="C2593">
        <v>51</v>
      </c>
      <c r="D2593">
        <v>3</v>
      </c>
      <c r="E2593">
        <v>1</v>
      </c>
      <c r="F2593">
        <v>4</v>
      </c>
      <c r="G2593">
        <v>9</v>
      </c>
      <c r="H2593">
        <v>2</v>
      </c>
      <c r="I2593">
        <v>2000</v>
      </c>
      <c r="J2593">
        <v>10</v>
      </c>
      <c r="K2593">
        <v>0</v>
      </c>
      <c r="L2593" s="4">
        <v>0.85115423454163197</v>
      </c>
      <c r="M2593" s="4">
        <v>0.148845765458368</v>
      </c>
      <c r="N2593">
        <v>6</v>
      </c>
    </row>
    <row r="2594" spans="1:14" x14ac:dyDescent="0.35">
      <c r="A2594" s="1">
        <v>4274</v>
      </c>
      <c r="B2594">
        <v>7</v>
      </c>
      <c r="C2594">
        <v>50</v>
      </c>
      <c r="D2594">
        <v>1</v>
      </c>
      <c r="E2594">
        <v>1</v>
      </c>
      <c r="F2594">
        <v>3</v>
      </c>
      <c r="G2594">
        <v>8</v>
      </c>
      <c r="H2594">
        <v>0</v>
      </c>
      <c r="I2594">
        <v>9000</v>
      </c>
      <c r="J2594">
        <v>8</v>
      </c>
      <c r="K2594">
        <v>0</v>
      </c>
      <c r="L2594" s="4">
        <v>0.85119124117573419</v>
      </c>
      <c r="M2594" s="4">
        <v>0.14880875882426581</v>
      </c>
      <c r="N2594">
        <v>6</v>
      </c>
    </row>
    <row r="2595" spans="1:14" x14ac:dyDescent="0.35">
      <c r="A2595" s="1">
        <v>3402</v>
      </c>
      <c r="B2595">
        <v>8</v>
      </c>
      <c r="C2595">
        <v>58</v>
      </c>
      <c r="D2595">
        <v>2</v>
      </c>
      <c r="E2595">
        <v>0</v>
      </c>
      <c r="F2595">
        <v>0</v>
      </c>
      <c r="G2595">
        <v>2</v>
      </c>
      <c r="H2595">
        <v>3</v>
      </c>
      <c r="I2595">
        <v>0.01</v>
      </c>
      <c r="J2595">
        <v>5</v>
      </c>
      <c r="K2595">
        <v>0</v>
      </c>
      <c r="L2595" s="4">
        <v>0.85127729843944522</v>
      </c>
      <c r="M2595" s="4">
        <v>0.14872270156055481</v>
      </c>
      <c r="N2595">
        <v>6</v>
      </c>
    </row>
    <row r="2596" spans="1:14" x14ac:dyDescent="0.35">
      <c r="A2596" s="1">
        <v>1194</v>
      </c>
      <c r="B2596">
        <v>9</v>
      </c>
      <c r="C2596">
        <v>61</v>
      </c>
      <c r="D2596">
        <v>1</v>
      </c>
      <c r="E2596">
        <v>0</v>
      </c>
      <c r="F2596">
        <v>3</v>
      </c>
      <c r="G2596">
        <v>3</v>
      </c>
      <c r="H2596">
        <v>3</v>
      </c>
      <c r="I2596">
        <v>0.01</v>
      </c>
      <c r="J2596">
        <v>5</v>
      </c>
      <c r="K2596">
        <v>0</v>
      </c>
      <c r="L2596" s="4">
        <v>0.85143747765087019</v>
      </c>
      <c r="M2596" s="4">
        <v>0.14856252234912981</v>
      </c>
      <c r="N2596">
        <v>6</v>
      </c>
    </row>
    <row r="2597" spans="1:14" x14ac:dyDescent="0.35">
      <c r="A2597" s="1">
        <v>2665</v>
      </c>
      <c r="B2597">
        <v>6</v>
      </c>
      <c r="C2597">
        <v>49</v>
      </c>
      <c r="D2597">
        <v>4</v>
      </c>
      <c r="E2597">
        <v>0</v>
      </c>
      <c r="F2597">
        <v>1</v>
      </c>
      <c r="G2597">
        <v>7</v>
      </c>
      <c r="H2597">
        <v>2</v>
      </c>
      <c r="I2597">
        <v>1608</v>
      </c>
      <c r="J2597">
        <v>10</v>
      </c>
      <c r="K2597">
        <v>0</v>
      </c>
      <c r="L2597" s="4">
        <v>0.85144424561079701</v>
      </c>
      <c r="M2597" s="4">
        <v>0.14855575438920299</v>
      </c>
      <c r="N2597">
        <v>6</v>
      </c>
    </row>
    <row r="2598" spans="1:14" x14ac:dyDescent="0.35">
      <c r="A2598" s="1">
        <v>3413</v>
      </c>
      <c r="B2598">
        <v>6</v>
      </c>
      <c r="C2598">
        <v>50</v>
      </c>
      <c r="D2598">
        <v>2</v>
      </c>
      <c r="E2598">
        <v>0</v>
      </c>
      <c r="F2598">
        <v>0</v>
      </c>
      <c r="G2598">
        <v>11</v>
      </c>
      <c r="H2598">
        <v>2</v>
      </c>
      <c r="I2598">
        <v>5000</v>
      </c>
      <c r="J2598">
        <v>5</v>
      </c>
      <c r="K2598">
        <v>0</v>
      </c>
      <c r="L2598" s="4">
        <v>0.85170483923416596</v>
      </c>
      <c r="M2598" s="4">
        <v>0.1482951607658341</v>
      </c>
      <c r="N2598">
        <v>6</v>
      </c>
    </row>
    <row r="2599" spans="1:14" x14ac:dyDescent="0.35">
      <c r="A2599" s="1">
        <v>1804</v>
      </c>
      <c r="B2599">
        <v>5</v>
      </c>
      <c r="C2599">
        <v>45</v>
      </c>
      <c r="D2599">
        <v>3</v>
      </c>
      <c r="E2599">
        <v>0</v>
      </c>
      <c r="F2599">
        <v>2</v>
      </c>
      <c r="G2599">
        <v>6</v>
      </c>
      <c r="H2599">
        <v>2</v>
      </c>
      <c r="I2599">
        <v>4000</v>
      </c>
      <c r="J2599">
        <v>5</v>
      </c>
      <c r="K2599">
        <v>0</v>
      </c>
      <c r="L2599" s="4">
        <v>0.85172555106460712</v>
      </c>
      <c r="M2599" s="4">
        <v>0.14827444893539279</v>
      </c>
      <c r="N2599">
        <v>6</v>
      </c>
    </row>
    <row r="2600" spans="1:14" x14ac:dyDescent="0.35">
      <c r="A2600" s="1">
        <v>799</v>
      </c>
      <c r="B2600">
        <v>6</v>
      </c>
      <c r="C2600">
        <v>39</v>
      </c>
      <c r="D2600">
        <v>2</v>
      </c>
      <c r="E2600">
        <v>2</v>
      </c>
      <c r="F2600">
        <v>3</v>
      </c>
      <c r="G2600">
        <v>8</v>
      </c>
      <c r="H2600">
        <v>2</v>
      </c>
      <c r="I2600">
        <v>250.01</v>
      </c>
      <c r="J2600">
        <v>9</v>
      </c>
      <c r="K2600">
        <v>0</v>
      </c>
      <c r="L2600" s="4">
        <v>0.85175025564744766</v>
      </c>
      <c r="M2600" s="4">
        <v>0.14824974435255239</v>
      </c>
      <c r="N2600">
        <v>6</v>
      </c>
    </row>
    <row r="2601" spans="1:14" x14ac:dyDescent="0.35">
      <c r="A2601" s="1">
        <v>178</v>
      </c>
      <c r="B2601">
        <v>6</v>
      </c>
      <c r="C2601">
        <v>50</v>
      </c>
      <c r="D2601">
        <v>5</v>
      </c>
      <c r="E2601">
        <v>0</v>
      </c>
      <c r="F2601">
        <v>1</v>
      </c>
      <c r="G2601">
        <v>7</v>
      </c>
      <c r="H2601">
        <v>0</v>
      </c>
      <c r="I2601">
        <v>6000</v>
      </c>
      <c r="J2601">
        <v>1</v>
      </c>
      <c r="K2601">
        <v>0</v>
      </c>
      <c r="L2601" s="4">
        <v>0.85181602438877368</v>
      </c>
      <c r="M2601" s="4">
        <v>0.14818397561122629</v>
      </c>
      <c r="N2601">
        <v>6</v>
      </c>
    </row>
    <row r="2602" spans="1:14" x14ac:dyDescent="0.35">
      <c r="A2602" s="1">
        <v>2766</v>
      </c>
      <c r="B2602">
        <v>7</v>
      </c>
      <c r="C2602">
        <v>52</v>
      </c>
      <c r="D2602">
        <v>1</v>
      </c>
      <c r="E2602">
        <v>0</v>
      </c>
      <c r="F2602">
        <v>4</v>
      </c>
      <c r="G2602">
        <v>9</v>
      </c>
      <c r="H2602">
        <v>3</v>
      </c>
      <c r="I2602">
        <v>0.01</v>
      </c>
      <c r="J2602">
        <v>8</v>
      </c>
      <c r="K2602">
        <v>0</v>
      </c>
      <c r="L2602" s="4">
        <v>0.85186402277452544</v>
      </c>
      <c r="M2602" s="4">
        <v>0.1481359772254745</v>
      </c>
      <c r="N2602">
        <v>6</v>
      </c>
    </row>
    <row r="2603" spans="1:14" x14ac:dyDescent="0.35">
      <c r="A2603" s="1">
        <v>3411</v>
      </c>
      <c r="B2603">
        <v>8</v>
      </c>
      <c r="C2603">
        <v>53</v>
      </c>
      <c r="D2603">
        <v>1</v>
      </c>
      <c r="E2603">
        <v>1</v>
      </c>
      <c r="F2603">
        <v>1</v>
      </c>
      <c r="G2603">
        <v>12</v>
      </c>
      <c r="H2603">
        <v>2</v>
      </c>
      <c r="I2603">
        <v>3000</v>
      </c>
      <c r="J2603">
        <v>3</v>
      </c>
      <c r="K2603">
        <v>0</v>
      </c>
      <c r="L2603" s="4">
        <v>0.8519532303656866</v>
      </c>
      <c r="M2603" s="4">
        <v>0.1480467696343134</v>
      </c>
      <c r="N2603">
        <v>6</v>
      </c>
    </row>
    <row r="2604" spans="1:14" x14ac:dyDescent="0.35">
      <c r="A2604" s="1">
        <v>2725</v>
      </c>
      <c r="B2604">
        <v>7</v>
      </c>
      <c r="C2604">
        <v>51</v>
      </c>
      <c r="D2604">
        <v>0</v>
      </c>
      <c r="E2604">
        <v>1</v>
      </c>
      <c r="F2604">
        <v>3</v>
      </c>
      <c r="G2604">
        <v>3</v>
      </c>
      <c r="H2604">
        <v>0</v>
      </c>
      <c r="I2604">
        <v>9000</v>
      </c>
      <c r="J2604">
        <v>8</v>
      </c>
      <c r="K2604">
        <v>0</v>
      </c>
      <c r="L2604" s="4">
        <v>0.85200308332035446</v>
      </c>
      <c r="M2604" s="4">
        <v>0.14799691667964551</v>
      </c>
      <c r="N2604">
        <v>6</v>
      </c>
    </row>
    <row r="2605" spans="1:14" x14ac:dyDescent="0.35">
      <c r="A2605" s="1">
        <v>1405</v>
      </c>
      <c r="B2605">
        <v>7</v>
      </c>
      <c r="C2605">
        <v>53</v>
      </c>
      <c r="D2605">
        <v>4</v>
      </c>
      <c r="E2605">
        <v>0</v>
      </c>
      <c r="F2605">
        <v>1</v>
      </c>
      <c r="G2605">
        <v>7</v>
      </c>
      <c r="H2605">
        <v>2</v>
      </c>
      <c r="I2605">
        <v>3000</v>
      </c>
      <c r="J2605">
        <v>2</v>
      </c>
      <c r="K2605">
        <v>0</v>
      </c>
      <c r="L2605" s="4">
        <v>0.85207757296771702</v>
      </c>
      <c r="M2605" s="4">
        <v>0.147922427032283</v>
      </c>
      <c r="N2605">
        <v>6</v>
      </c>
    </row>
    <row r="2606" spans="1:14" x14ac:dyDescent="0.35">
      <c r="A2606" s="1">
        <v>11</v>
      </c>
      <c r="B2606">
        <v>7</v>
      </c>
      <c r="C2606">
        <v>53</v>
      </c>
      <c r="D2606">
        <v>4</v>
      </c>
      <c r="E2606">
        <v>0</v>
      </c>
      <c r="F2606">
        <v>0</v>
      </c>
      <c r="G2606">
        <v>4</v>
      </c>
      <c r="H2606">
        <v>3</v>
      </c>
      <c r="I2606">
        <v>0.01</v>
      </c>
      <c r="J2606">
        <v>5</v>
      </c>
      <c r="K2606">
        <v>0</v>
      </c>
      <c r="L2606" s="4">
        <v>0.85208977701462019</v>
      </c>
      <c r="M2606" s="4">
        <v>0.14791022298537981</v>
      </c>
      <c r="N2606">
        <v>6</v>
      </c>
    </row>
    <row r="2607" spans="1:14" x14ac:dyDescent="0.35">
      <c r="A2607" s="1">
        <v>990</v>
      </c>
      <c r="B2607">
        <v>7</v>
      </c>
      <c r="C2607">
        <v>53</v>
      </c>
      <c r="D2607">
        <v>3</v>
      </c>
      <c r="E2607">
        <v>0</v>
      </c>
      <c r="F2607">
        <v>3</v>
      </c>
      <c r="G2607">
        <v>3</v>
      </c>
      <c r="H2607">
        <v>2</v>
      </c>
      <c r="I2607">
        <v>4000</v>
      </c>
      <c r="J2607">
        <v>6</v>
      </c>
      <c r="K2607">
        <v>0</v>
      </c>
      <c r="L2607" s="4">
        <v>0.85230904189504897</v>
      </c>
      <c r="M2607" s="4">
        <v>0.14769095810495109</v>
      </c>
      <c r="N2607">
        <v>6</v>
      </c>
    </row>
    <row r="2608" spans="1:14" x14ac:dyDescent="0.35">
      <c r="A2608" s="1">
        <v>2429</v>
      </c>
      <c r="B2608">
        <v>8</v>
      </c>
      <c r="C2608">
        <v>56</v>
      </c>
      <c r="D2608">
        <v>3</v>
      </c>
      <c r="E2608">
        <v>0</v>
      </c>
      <c r="F2608">
        <v>4</v>
      </c>
      <c r="G2608">
        <v>9</v>
      </c>
      <c r="H2608">
        <v>2</v>
      </c>
      <c r="I2608">
        <v>2000</v>
      </c>
      <c r="J2608">
        <v>5</v>
      </c>
      <c r="K2608">
        <v>1</v>
      </c>
      <c r="L2608" s="4">
        <v>0.85264527752130792</v>
      </c>
      <c r="M2608" s="4">
        <v>0.14735472247869211</v>
      </c>
      <c r="N2608">
        <v>6</v>
      </c>
    </row>
    <row r="2609" spans="1:14" x14ac:dyDescent="0.35">
      <c r="A2609" s="1">
        <v>4076</v>
      </c>
      <c r="B2609">
        <v>8</v>
      </c>
      <c r="C2609">
        <v>58</v>
      </c>
      <c r="D2609">
        <v>1</v>
      </c>
      <c r="E2609">
        <v>0</v>
      </c>
      <c r="F2609">
        <v>3</v>
      </c>
      <c r="G2609">
        <v>3</v>
      </c>
      <c r="H2609">
        <v>2</v>
      </c>
      <c r="I2609">
        <v>3000</v>
      </c>
      <c r="J2609">
        <v>8</v>
      </c>
      <c r="K2609">
        <v>0</v>
      </c>
      <c r="L2609" s="4">
        <v>0.85276012784064903</v>
      </c>
      <c r="M2609" s="4">
        <v>0.14723987215935089</v>
      </c>
      <c r="N2609">
        <v>6</v>
      </c>
    </row>
    <row r="2610" spans="1:14" x14ac:dyDescent="0.35">
      <c r="A2610" s="1">
        <v>1954</v>
      </c>
      <c r="B2610">
        <v>9</v>
      </c>
      <c r="C2610">
        <v>55</v>
      </c>
      <c r="D2610">
        <v>3</v>
      </c>
      <c r="E2610">
        <v>1</v>
      </c>
      <c r="F2610">
        <v>3</v>
      </c>
      <c r="G2610">
        <v>8</v>
      </c>
      <c r="H2610">
        <v>3</v>
      </c>
      <c r="I2610">
        <v>0.01</v>
      </c>
      <c r="J2610">
        <v>8</v>
      </c>
      <c r="K2610">
        <v>0</v>
      </c>
      <c r="L2610" s="4">
        <v>0.85277714191537402</v>
      </c>
      <c r="M2610" s="4">
        <v>0.14722285808462601</v>
      </c>
      <c r="N2610">
        <v>6</v>
      </c>
    </row>
    <row r="2611" spans="1:14" x14ac:dyDescent="0.35">
      <c r="A2611" s="1">
        <v>2250</v>
      </c>
      <c r="B2611">
        <v>10</v>
      </c>
      <c r="C2611">
        <v>64</v>
      </c>
      <c r="D2611">
        <v>0</v>
      </c>
      <c r="E2611">
        <v>1</v>
      </c>
      <c r="F2611">
        <v>1</v>
      </c>
      <c r="G2611">
        <v>7</v>
      </c>
      <c r="H2611">
        <v>0</v>
      </c>
      <c r="I2611">
        <v>16000</v>
      </c>
      <c r="J2611">
        <v>7</v>
      </c>
      <c r="K2611">
        <v>0</v>
      </c>
      <c r="L2611" s="4">
        <v>0.85278606661546896</v>
      </c>
      <c r="M2611" s="4">
        <v>0.14721393338453101</v>
      </c>
      <c r="N2611">
        <v>6</v>
      </c>
    </row>
    <row r="2612" spans="1:14" x14ac:dyDescent="0.35">
      <c r="A2612" s="1">
        <v>2348</v>
      </c>
      <c r="B2612">
        <v>12</v>
      </c>
      <c r="C2612">
        <v>73</v>
      </c>
      <c r="D2612">
        <v>5</v>
      </c>
      <c r="E2612">
        <v>0</v>
      </c>
      <c r="F2612">
        <v>1</v>
      </c>
      <c r="G2612">
        <v>7</v>
      </c>
      <c r="H2612">
        <v>2</v>
      </c>
      <c r="I2612">
        <v>3141.37</v>
      </c>
      <c r="J2612">
        <v>6</v>
      </c>
      <c r="K2612">
        <v>0</v>
      </c>
      <c r="L2612" s="4">
        <v>0.85281035402220429</v>
      </c>
      <c r="M2612" s="4">
        <v>0.1471896459777958</v>
      </c>
      <c r="N2612">
        <v>6</v>
      </c>
    </row>
    <row r="2613" spans="1:14" x14ac:dyDescent="0.35">
      <c r="A2613" s="1">
        <v>3332</v>
      </c>
      <c r="B2613">
        <v>5</v>
      </c>
      <c r="C2613">
        <v>44</v>
      </c>
      <c r="D2613">
        <v>5</v>
      </c>
      <c r="E2613">
        <v>0</v>
      </c>
      <c r="F2613">
        <v>0</v>
      </c>
      <c r="G2613">
        <v>11</v>
      </c>
      <c r="H2613">
        <v>3</v>
      </c>
      <c r="I2613">
        <v>0.01</v>
      </c>
      <c r="J2613">
        <v>8</v>
      </c>
      <c r="K2613">
        <v>0</v>
      </c>
      <c r="L2613" s="4">
        <v>0.85293764312233145</v>
      </c>
      <c r="M2613" s="4">
        <v>0.1470623568776685</v>
      </c>
      <c r="N2613">
        <v>6</v>
      </c>
    </row>
    <row r="2614" spans="1:14" x14ac:dyDescent="0.35">
      <c r="A2614" s="1">
        <v>4169</v>
      </c>
      <c r="B2614">
        <v>10</v>
      </c>
      <c r="C2614">
        <v>68</v>
      </c>
      <c r="D2614">
        <v>1</v>
      </c>
      <c r="E2614">
        <v>0</v>
      </c>
      <c r="F2614">
        <v>3</v>
      </c>
      <c r="G2614">
        <v>3</v>
      </c>
      <c r="H2614">
        <v>0</v>
      </c>
      <c r="I2614">
        <v>12000</v>
      </c>
      <c r="J2614">
        <v>16</v>
      </c>
      <c r="K2614">
        <v>0</v>
      </c>
      <c r="L2614" s="4">
        <v>0.85294828440335912</v>
      </c>
      <c r="M2614" s="4">
        <v>0.1470517155966409</v>
      </c>
      <c r="N2614">
        <v>6</v>
      </c>
    </row>
    <row r="2615" spans="1:14" x14ac:dyDescent="0.35">
      <c r="A2615" s="1">
        <v>1468</v>
      </c>
      <c r="B2615">
        <v>9</v>
      </c>
      <c r="C2615">
        <v>51</v>
      </c>
      <c r="D2615">
        <v>4</v>
      </c>
      <c r="E2615">
        <v>2</v>
      </c>
      <c r="F2615">
        <v>3</v>
      </c>
      <c r="G2615">
        <v>3</v>
      </c>
      <c r="H2615">
        <v>2</v>
      </c>
      <c r="I2615">
        <v>4884.25</v>
      </c>
      <c r="J2615">
        <v>8</v>
      </c>
      <c r="K2615">
        <v>0</v>
      </c>
      <c r="L2615" s="4">
        <v>0.85299733113573151</v>
      </c>
      <c r="M2615" s="4">
        <v>0.14700266886426849</v>
      </c>
      <c r="N2615">
        <v>6</v>
      </c>
    </row>
    <row r="2616" spans="1:14" x14ac:dyDescent="0.35">
      <c r="A2616" s="1">
        <v>1859</v>
      </c>
      <c r="B2616">
        <v>8</v>
      </c>
      <c r="C2616">
        <v>58</v>
      </c>
      <c r="D2616">
        <v>1</v>
      </c>
      <c r="E2616">
        <v>0</v>
      </c>
      <c r="F2616">
        <v>3</v>
      </c>
      <c r="G2616">
        <v>3</v>
      </c>
      <c r="H2616">
        <v>2</v>
      </c>
      <c r="I2616">
        <v>2500</v>
      </c>
      <c r="J2616">
        <v>7</v>
      </c>
      <c r="K2616">
        <v>0</v>
      </c>
      <c r="L2616" s="4">
        <v>0.85302244087254619</v>
      </c>
      <c r="M2616" s="4">
        <v>0.14697755912745389</v>
      </c>
      <c r="N2616">
        <v>6</v>
      </c>
    </row>
    <row r="2617" spans="1:14" x14ac:dyDescent="0.35">
      <c r="A2617" s="1">
        <v>3717</v>
      </c>
      <c r="B2617">
        <v>9</v>
      </c>
      <c r="C2617">
        <v>63</v>
      </c>
      <c r="D2617">
        <v>2</v>
      </c>
      <c r="E2617">
        <v>0</v>
      </c>
      <c r="F2617">
        <v>0</v>
      </c>
      <c r="G2617">
        <v>4</v>
      </c>
      <c r="H2617">
        <v>2</v>
      </c>
      <c r="I2617">
        <v>3000</v>
      </c>
      <c r="J2617">
        <v>9</v>
      </c>
      <c r="K2617">
        <v>0</v>
      </c>
      <c r="L2617" s="4">
        <v>0.85305928846034074</v>
      </c>
      <c r="M2617" s="4">
        <v>0.14694071153965921</v>
      </c>
      <c r="N2617">
        <v>6</v>
      </c>
    </row>
    <row r="2618" spans="1:14" x14ac:dyDescent="0.35">
      <c r="A2618" s="1">
        <v>4273</v>
      </c>
      <c r="B2618">
        <v>11</v>
      </c>
      <c r="C2618">
        <v>65</v>
      </c>
      <c r="D2618">
        <v>5</v>
      </c>
      <c r="E2618">
        <v>1</v>
      </c>
      <c r="F2618">
        <v>3</v>
      </c>
      <c r="G2618">
        <v>3</v>
      </c>
      <c r="H2618">
        <v>0</v>
      </c>
      <c r="I2618">
        <v>5999.98</v>
      </c>
      <c r="J2618">
        <v>4</v>
      </c>
      <c r="K2618">
        <v>0</v>
      </c>
      <c r="L2618" s="4">
        <v>0.85314087673604755</v>
      </c>
      <c r="M2618" s="4">
        <v>0.14685912326395251</v>
      </c>
      <c r="N2618">
        <v>6</v>
      </c>
    </row>
    <row r="2619" spans="1:14" x14ac:dyDescent="0.35">
      <c r="A2619" s="1">
        <v>2402</v>
      </c>
      <c r="B2619">
        <v>9</v>
      </c>
      <c r="C2619">
        <v>62</v>
      </c>
      <c r="D2619">
        <v>1</v>
      </c>
      <c r="E2619">
        <v>0</v>
      </c>
      <c r="F2619">
        <v>0</v>
      </c>
      <c r="G2619">
        <v>11</v>
      </c>
      <c r="H2619">
        <v>3</v>
      </c>
      <c r="I2619">
        <v>0.01</v>
      </c>
      <c r="J2619">
        <v>9</v>
      </c>
      <c r="K2619">
        <v>1</v>
      </c>
      <c r="L2619" s="4">
        <v>0.85315893569461076</v>
      </c>
      <c r="M2619" s="4">
        <v>0.14684106430538921</v>
      </c>
      <c r="N2619">
        <v>6</v>
      </c>
    </row>
    <row r="2620" spans="1:14" x14ac:dyDescent="0.35">
      <c r="A2620" s="1">
        <v>3074</v>
      </c>
      <c r="B2620">
        <v>8</v>
      </c>
      <c r="C2620">
        <v>60</v>
      </c>
      <c r="D2620">
        <v>0</v>
      </c>
      <c r="E2620">
        <v>0</v>
      </c>
      <c r="F2620">
        <v>3</v>
      </c>
      <c r="G2620">
        <v>3</v>
      </c>
      <c r="H2620">
        <v>0</v>
      </c>
      <c r="I2620">
        <v>8000</v>
      </c>
      <c r="J2620">
        <v>3</v>
      </c>
      <c r="K2620">
        <v>0</v>
      </c>
      <c r="L2620" s="4">
        <v>0.85331062064689689</v>
      </c>
      <c r="M2620" s="4">
        <v>0.14668937935310311</v>
      </c>
      <c r="N2620">
        <v>6</v>
      </c>
    </row>
    <row r="2621" spans="1:14" x14ac:dyDescent="0.35">
      <c r="A2621" s="1">
        <v>906</v>
      </c>
      <c r="B2621">
        <v>6</v>
      </c>
      <c r="C2621">
        <v>51</v>
      </c>
      <c r="D2621">
        <v>2</v>
      </c>
      <c r="E2621">
        <v>0</v>
      </c>
      <c r="F2621">
        <v>3</v>
      </c>
      <c r="G2621">
        <v>3</v>
      </c>
      <c r="H2621">
        <v>0</v>
      </c>
      <c r="I2621">
        <v>6000</v>
      </c>
      <c r="J2621">
        <v>2</v>
      </c>
      <c r="K2621">
        <v>0</v>
      </c>
      <c r="L2621" s="4">
        <v>0.85368353482444359</v>
      </c>
      <c r="M2621" s="4">
        <v>0.14631646517555641</v>
      </c>
      <c r="N2621">
        <v>6</v>
      </c>
    </row>
    <row r="2622" spans="1:14" x14ac:dyDescent="0.35">
      <c r="A2622" s="1">
        <v>2210</v>
      </c>
      <c r="B2622">
        <v>9</v>
      </c>
      <c r="C2622">
        <v>65</v>
      </c>
      <c r="D2622">
        <v>1</v>
      </c>
      <c r="E2622">
        <v>0</v>
      </c>
      <c r="F2622">
        <v>0</v>
      </c>
      <c r="G2622">
        <v>4</v>
      </c>
      <c r="H2622">
        <v>0</v>
      </c>
      <c r="I2622">
        <v>10000</v>
      </c>
      <c r="J2622">
        <v>1</v>
      </c>
      <c r="K2622">
        <v>0</v>
      </c>
      <c r="L2622" s="4">
        <v>0.85368789928612898</v>
      </c>
      <c r="M2622" s="4">
        <v>0.14631210071387099</v>
      </c>
      <c r="N2622">
        <v>6</v>
      </c>
    </row>
    <row r="2623" spans="1:14" x14ac:dyDescent="0.35">
      <c r="A2623" s="1">
        <v>1020</v>
      </c>
      <c r="B2623">
        <v>10</v>
      </c>
      <c r="C2623">
        <v>67</v>
      </c>
      <c r="D2623">
        <v>4</v>
      </c>
      <c r="E2623">
        <v>0</v>
      </c>
      <c r="F2623">
        <v>3</v>
      </c>
      <c r="G2623">
        <v>8</v>
      </c>
      <c r="H2623">
        <v>1</v>
      </c>
      <c r="I2623">
        <v>68158.67</v>
      </c>
      <c r="J2623">
        <v>11</v>
      </c>
      <c r="K2623">
        <v>0</v>
      </c>
      <c r="L2623" s="4">
        <v>0.85371580666202673</v>
      </c>
      <c r="M2623" s="4">
        <v>0.14628419333797321</v>
      </c>
      <c r="N2623">
        <v>6</v>
      </c>
    </row>
    <row r="2624" spans="1:14" x14ac:dyDescent="0.35">
      <c r="A2624" s="1">
        <v>2790</v>
      </c>
      <c r="B2624">
        <v>13</v>
      </c>
      <c r="C2624">
        <v>69</v>
      </c>
      <c r="D2624">
        <v>0</v>
      </c>
      <c r="E2624">
        <v>2</v>
      </c>
      <c r="F2624">
        <v>3</v>
      </c>
      <c r="G2624">
        <v>3</v>
      </c>
      <c r="H2624">
        <v>2</v>
      </c>
      <c r="I2624">
        <v>3000</v>
      </c>
      <c r="J2624">
        <v>8</v>
      </c>
      <c r="K2624">
        <v>0</v>
      </c>
      <c r="L2624" s="4">
        <v>0.85375887691416974</v>
      </c>
      <c r="M2624" s="4">
        <v>0.1462411230858302</v>
      </c>
      <c r="N2624">
        <v>6</v>
      </c>
    </row>
    <row r="2625" spans="1:14" x14ac:dyDescent="0.35">
      <c r="A2625" s="1">
        <v>2587</v>
      </c>
      <c r="B2625">
        <v>7</v>
      </c>
      <c r="C2625">
        <v>51</v>
      </c>
      <c r="D2625">
        <v>2</v>
      </c>
      <c r="E2625">
        <v>1</v>
      </c>
      <c r="F2625">
        <v>1</v>
      </c>
      <c r="G2625">
        <v>5</v>
      </c>
      <c r="H2625">
        <v>0</v>
      </c>
      <c r="I2625">
        <v>6000</v>
      </c>
      <c r="J2625">
        <v>6</v>
      </c>
      <c r="K2625">
        <v>0</v>
      </c>
      <c r="L2625" s="4">
        <v>0.85377697640721772</v>
      </c>
      <c r="M2625" s="4">
        <v>0.1462230235927823</v>
      </c>
      <c r="N2625">
        <v>6</v>
      </c>
    </row>
    <row r="2626" spans="1:14" x14ac:dyDescent="0.35">
      <c r="A2626" s="1">
        <v>2532</v>
      </c>
      <c r="B2626">
        <v>5</v>
      </c>
      <c r="C2626">
        <v>44</v>
      </c>
      <c r="D2626">
        <v>4</v>
      </c>
      <c r="E2626">
        <v>0</v>
      </c>
      <c r="F2626">
        <v>1</v>
      </c>
      <c r="G2626">
        <v>12</v>
      </c>
      <c r="H2626">
        <v>3</v>
      </c>
      <c r="I2626">
        <v>0.01</v>
      </c>
      <c r="J2626">
        <v>8</v>
      </c>
      <c r="K2626">
        <v>0</v>
      </c>
      <c r="L2626" s="4">
        <v>0.8538898526537767</v>
      </c>
      <c r="M2626" s="4">
        <v>0.1461101473462233</v>
      </c>
      <c r="N2626">
        <v>6</v>
      </c>
    </row>
    <row r="2627" spans="1:14" x14ac:dyDescent="0.35">
      <c r="A2627" s="1">
        <v>1384</v>
      </c>
      <c r="B2627">
        <v>6</v>
      </c>
      <c r="C2627">
        <v>39</v>
      </c>
      <c r="D2627">
        <v>2</v>
      </c>
      <c r="E2627">
        <v>2</v>
      </c>
      <c r="F2627">
        <v>3</v>
      </c>
      <c r="G2627">
        <v>3</v>
      </c>
      <c r="H2627">
        <v>3</v>
      </c>
      <c r="I2627">
        <v>0.01</v>
      </c>
      <c r="J2627">
        <v>8</v>
      </c>
      <c r="K2627">
        <v>0</v>
      </c>
      <c r="L2627" s="4">
        <v>0.85404019832004052</v>
      </c>
      <c r="M2627" s="4">
        <v>0.14595980167995951</v>
      </c>
      <c r="N2627">
        <v>6</v>
      </c>
    </row>
    <row r="2628" spans="1:14" x14ac:dyDescent="0.35">
      <c r="A2628" s="1">
        <v>2919</v>
      </c>
      <c r="B2628">
        <v>8</v>
      </c>
      <c r="C2628">
        <v>47</v>
      </c>
      <c r="D2628">
        <v>1</v>
      </c>
      <c r="E2628">
        <v>2</v>
      </c>
      <c r="F2628">
        <v>3</v>
      </c>
      <c r="G2628">
        <v>8</v>
      </c>
      <c r="H2628">
        <v>3</v>
      </c>
      <c r="I2628">
        <v>0.01</v>
      </c>
      <c r="J2628">
        <v>4</v>
      </c>
      <c r="K2628">
        <v>0</v>
      </c>
      <c r="L2628" s="4">
        <v>0.85407030766686654</v>
      </c>
      <c r="M2628" s="4">
        <v>0.14592969233313341</v>
      </c>
      <c r="N2628">
        <v>6</v>
      </c>
    </row>
    <row r="2629" spans="1:14" x14ac:dyDescent="0.35">
      <c r="A2629" s="1">
        <v>1930</v>
      </c>
      <c r="B2629">
        <v>5</v>
      </c>
      <c r="C2629">
        <v>48</v>
      </c>
      <c r="D2629">
        <v>0</v>
      </c>
      <c r="E2629">
        <v>0</v>
      </c>
      <c r="F2629">
        <v>3</v>
      </c>
      <c r="G2629">
        <v>3</v>
      </c>
      <c r="H2629">
        <v>0</v>
      </c>
      <c r="I2629">
        <v>9000</v>
      </c>
      <c r="J2629">
        <v>4</v>
      </c>
      <c r="K2629">
        <v>0</v>
      </c>
      <c r="L2629" s="4">
        <v>0.85408111170522183</v>
      </c>
      <c r="M2629" s="4">
        <v>0.1459188882947782</v>
      </c>
      <c r="N2629">
        <v>6</v>
      </c>
    </row>
    <row r="2630" spans="1:14" x14ac:dyDescent="0.35">
      <c r="A2630" s="1">
        <v>2831</v>
      </c>
      <c r="B2630">
        <v>9</v>
      </c>
      <c r="C2630">
        <v>58</v>
      </c>
      <c r="D2630">
        <v>1</v>
      </c>
      <c r="E2630">
        <v>1</v>
      </c>
      <c r="F2630">
        <v>4</v>
      </c>
      <c r="G2630">
        <v>9</v>
      </c>
      <c r="H2630">
        <v>0</v>
      </c>
      <c r="I2630">
        <v>15000</v>
      </c>
      <c r="J2630">
        <v>4</v>
      </c>
      <c r="K2630">
        <v>0</v>
      </c>
      <c r="L2630" s="4">
        <v>0.85412385993402429</v>
      </c>
      <c r="M2630" s="4">
        <v>0.14587614006597571</v>
      </c>
      <c r="N2630">
        <v>6</v>
      </c>
    </row>
    <row r="2631" spans="1:14" x14ac:dyDescent="0.35">
      <c r="A2631" s="1">
        <v>3212</v>
      </c>
      <c r="B2631">
        <v>10</v>
      </c>
      <c r="C2631">
        <v>67</v>
      </c>
      <c r="D2631">
        <v>1</v>
      </c>
      <c r="E2631">
        <v>0</v>
      </c>
      <c r="F2631">
        <v>0</v>
      </c>
      <c r="G2631">
        <v>2</v>
      </c>
      <c r="H2631">
        <v>3</v>
      </c>
      <c r="I2631">
        <v>0.01</v>
      </c>
      <c r="J2631">
        <v>9</v>
      </c>
      <c r="K2631">
        <v>0</v>
      </c>
      <c r="L2631" s="4">
        <v>0.85412678976030443</v>
      </c>
      <c r="M2631" s="4">
        <v>0.14587321023969549</v>
      </c>
      <c r="N2631">
        <v>6</v>
      </c>
    </row>
    <row r="2632" spans="1:14" x14ac:dyDescent="0.35">
      <c r="A2632" s="1">
        <v>479</v>
      </c>
      <c r="B2632">
        <v>7</v>
      </c>
      <c r="C2632">
        <v>52</v>
      </c>
      <c r="D2632">
        <v>3</v>
      </c>
      <c r="E2632">
        <v>0</v>
      </c>
      <c r="F2632">
        <v>3</v>
      </c>
      <c r="G2632">
        <v>8</v>
      </c>
      <c r="H2632">
        <v>3</v>
      </c>
      <c r="I2632">
        <v>0.01</v>
      </c>
      <c r="J2632">
        <v>8</v>
      </c>
      <c r="K2632">
        <v>0</v>
      </c>
      <c r="L2632" s="4">
        <v>0.85420716651585649</v>
      </c>
      <c r="M2632" s="4">
        <v>0.14579283348414351</v>
      </c>
      <c r="N2632">
        <v>6</v>
      </c>
    </row>
    <row r="2633" spans="1:14" x14ac:dyDescent="0.35">
      <c r="A2633" s="1">
        <v>3669</v>
      </c>
      <c r="B2633">
        <v>9</v>
      </c>
      <c r="C2633">
        <v>58</v>
      </c>
      <c r="D2633">
        <v>3</v>
      </c>
      <c r="E2633">
        <v>1</v>
      </c>
      <c r="F2633">
        <v>3</v>
      </c>
      <c r="G2633">
        <v>3</v>
      </c>
      <c r="H2633">
        <v>0</v>
      </c>
      <c r="I2633">
        <v>9000</v>
      </c>
      <c r="J2633">
        <v>4</v>
      </c>
      <c r="K2633">
        <v>0</v>
      </c>
      <c r="L2633" s="4">
        <v>0.8542373267753115</v>
      </c>
      <c r="M2633" s="4">
        <v>0.1457626732246885</v>
      </c>
      <c r="N2633">
        <v>6</v>
      </c>
    </row>
    <row r="2634" spans="1:14" x14ac:dyDescent="0.35">
      <c r="A2634" s="1">
        <v>848</v>
      </c>
      <c r="B2634">
        <v>6</v>
      </c>
      <c r="C2634">
        <v>49</v>
      </c>
      <c r="D2634">
        <v>5</v>
      </c>
      <c r="E2634">
        <v>0</v>
      </c>
      <c r="F2634">
        <v>0</v>
      </c>
      <c r="G2634">
        <v>11</v>
      </c>
      <c r="H2634">
        <v>2</v>
      </c>
      <c r="I2634">
        <v>4000</v>
      </c>
      <c r="J2634">
        <v>5</v>
      </c>
      <c r="K2634">
        <v>0</v>
      </c>
      <c r="L2634" s="4">
        <v>0.85425615134370303</v>
      </c>
      <c r="M2634" s="4">
        <v>0.145743848656297</v>
      </c>
      <c r="N2634">
        <v>6</v>
      </c>
    </row>
    <row r="2635" spans="1:14" x14ac:dyDescent="0.35">
      <c r="A2635" s="1">
        <v>3303</v>
      </c>
      <c r="B2635">
        <v>8</v>
      </c>
      <c r="C2635">
        <v>52</v>
      </c>
      <c r="D2635">
        <v>5</v>
      </c>
      <c r="E2635">
        <v>1</v>
      </c>
      <c r="F2635">
        <v>0</v>
      </c>
      <c r="G2635">
        <v>4</v>
      </c>
      <c r="H2635">
        <v>3</v>
      </c>
      <c r="I2635">
        <v>0.01</v>
      </c>
      <c r="J2635">
        <v>5</v>
      </c>
      <c r="K2635">
        <v>0</v>
      </c>
      <c r="L2635" s="4">
        <v>0.85433006906095099</v>
      </c>
      <c r="M2635" s="4">
        <v>0.14566993093904901</v>
      </c>
      <c r="N2635">
        <v>6</v>
      </c>
    </row>
    <row r="2636" spans="1:14" x14ac:dyDescent="0.35">
      <c r="A2636" s="1">
        <v>1108</v>
      </c>
      <c r="B2636">
        <v>9</v>
      </c>
      <c r="C2636">
        <v>65</v>
      </c>
      <c r="D2636">
        <v>1</v>
      </c>
      <c r="E2636">
        <v>0</v>
      </c>
      <c r="F2636">
        <v>0</v>
      </c>
      <c r="G2636">
        <v>4</v>
      </c>
      <c r="H2636">
        <v>0</v>
      </c>
      <c r="I2636">
        <v>6000</v>
      </c>
      <c r="J2636">
        <v>2</v>
      </c>
      <c r="K2636">
        <v>1</v>
      </c>
      <c r="L2636" s="4">
        <v>0.85433122162787778</v>
      </c>
      <c r="M2636" s="4">
        <v>0.14566877837212219</v>
      </c>
      <c r="N2636">
        <v>6</v>
      </c>
    </row>
    <row r="2637" spans="1:14" x14ac:dyDescent="0.35">
      <c r="A2637" s="1">
        <v>1499</v>
      </c>
      <c r="B2637">
        <v>9</v>
      </c>
      <c r="C2637">
        <v>61</v>
      </c>
      <c r="D2637">
        <v>2</v>
      </c>
      <c r="E2637">
        <v>0</v>
      </c>
      <c r="F2637">
        <v>3</v>
      </c>
      <c r="G2637">
        <v>3</v>
      </c>
      <c r="H2637">
        <v>3</v>
      </c>
      <c r="I2637">
        <v>0.01</v>
      </c>
      <c r="J2637">
        <v>7</v>
      </c>
      <c r="K2637">
        <v>1</v>
      </c>
      <c r="L2637" s="4">
        <v>0.85441445397449578</v>
      </c>
      <c r="M2637" s="4">
        <v>0.14558554602550419</v>
      </c>
      <c r="N2637">
        <v>6</v>
      </c>
    </row>
    <row r="2638" spans="1:14" x14ac:dyDescent="0.35">
      <c r="A2638" s="1">
        <v>4438</v>
      </c>
      <c r="B2638">
        <v>7</v>
      </c>
      <c r="C2638">
        <v>51</v>
      </c>
      <c r="D2638">
        <v>2</v>
      </c>
      <c r="E2638">
        <v>1</v>
      </c>
      <c r="F2638">
        <v>1</v>
      </c>
      <c r="G2638">
        <v>7</v>
      </c>
      <c r="H2638">
        <v>0</v>
      </c>
      <c r="I2638">
        <v>12000</v>
      </c>
      <c r="J2638">
        <v>2</v>
      </c>
      <c r="K2638">
        <v>0</v>
      </c>
      <c r="L2638" s="4">
        <v>0.85458058082374988</v>
      </c>
      <c r="M2638" s="4">
        <v>0.14541941917625009</v>
      </c>
      <c r="N2638">
        <v>6</v>
      </c>
    </row>
    <row r="2639" spans="1:14" x14ac:dyDescent="0.35">
      <c r="A2639" s="1">
        <v>3932</v>
      </c>
      <c r="B2639">
        <v>10</v>
      </c>
      <c r="C2639">
        <v>56</v>
      </c>
      <c r="D2639">
        <v>2</v>
      </c>
      <c r="E2639">
        <v>2</v>
      </c>
      <c r="F2639">
        <v>3</v>
      </c>
      <c r="G2639">
        <v>3</v>
      </c>
      <c r="H2639">
        <v>2</v>
      </c>
      <c r="I2639">
        <v>1500</v>
      </c>
      <c r="J2639">
        <v>5</v>
      </c>
      <c r="K2639">
        <v>0</v>
      </c>
      <c r="L2639" s="4">
        <v>0.85472616001600121</v>
      </c>
      <c r="M2639" s="4">
        <v>0.1452738399839987</v>
      </c>
      <c r="N2639">
        <v>6</v>
      </c>
    </row>
    <row r="2640" spans="1:14" x14ac:dyDescent="0.35">
      <c r="A2640" s="1">
        <v>3204</v>
      </c>
      <c r="B2640">
        <v>10</v>
      </c>
      <c r="C2640">
        <v>61</v>
      </c>
      <c r="D2640">
        <v>2</v>
      </c>
      <c r="E2640">
        <v>1</v>
      </c>
      <c r="F2640">
        <v>3</v>
      </c>
      <c r="G2640">
        <v>3</v>
      </c>
      <c r="H2640">
        <v>2</v>
      </c>
      <c r="I2640">
        <v>1440.01</v>
      </c>
      <c r="J2640">
        <v>9</v>
      </c>
      <c r="K2640">
        <v>0</v>
      </c>
      <c r="L2640" s="4">
        <v>0.85476952116890548</v>
      </c>
      <c r="M2640" s="4">
        <v>0.14523047883109449</v>
      </c>
      <c r="N2640">
        <v>6</v>
      </c>
    </row>
    <row r="2641" spans="1:14" x14ac:dyDescent="0.35">
      <c r="A2641" s="1">
        <v>2171</v>
      </c>
      <c r="B2641">
        <v>7</v>
      </c>
      <c r="C2641">
        <v>55</v>
      </c>
      <c r="D2641">
        <v>2</v>
      </c>
      <c r="E2641">
        <v>0</v>
      </c>
      <c r="F2641">
        <v>1</v>
      </c>
      <c r="G2641">
        <v>12</v>
      </c>
      <c r="H2641">
        <v>1</v>
      </c>
      <c r="I2641">
        <v>20538.689999999999</v>
      </c>
      <c r="J2641">
        <v>3</v>
      </c>
      <c r="K2641">
        <v>0</v>
      </c>
      <c r="L2641" s="4">
        <v>0.85478363744050978</v>
      </c>
      <c r="M2641" s="4">
        <v>0.1452163625594903</v>
      </c>
      <c r="N2641">
        <v>6</v>
      </c>
    </row>
    <row r="2642" spans="1:14" x14ac:dyDescent="0.35">
      <c r="A2642" s="1">
        <v>2252</v>
      </c>
      <c r="B2642">
        <v>8</v>
      </c>
      <c r="C2642">
        <v>54</v>
      </c>
      <c r="D2642">
        <v>3</v>
      </c>
      <c r="E2642">
        <v>1</v>
      </c>
      <c r="F2642">
        <v>0</v>
      </c>
      <c r="G2642">
        <v>2</v>
      </c>
      <c r="H2642">
        <v>2</v>
      </c>
      <c r="I2642">
        <v>3000</v>
      </c>
      <c r="J2642">
        <v>8</v>
      </c>
      <c r="K2642">
        <v>0</v>
      </c>
      <c r="L2642" s="4">
        <v>0.8548349942771053</v>
      </c>
      <c r="M2642" s="4">
        <v>0.1451650057228947</v>
      </c>
      <c r="N2642">
        <v>6</v>
      </c>
    </row>
    <row r="2643" spans="1:14" x14ac:dyDescent="0.35">
      <c r="A2643" s="1">
        <v>368</v>
      </c>
      <c r="B2643">
        <v>7</v>
      </c>
      <c r="C2643">
        <v>53</v>
      </c>
      <c r="D2643">
        <v>5</v>
      </c>
      <c r="E2643">
        <v>0</v>
      </c>
      <c r="F2643">
        <v>0</v>
      </c>
      <c r="G2643">
        <v>4</v>
      </c>
      <c r="H2643">
        <v>3</v>
      </c>
      <c r="I2643">
        <v>0.01</v>
      </c>
      <c r="J2643">
        <v>8</v>
      </c>
      <c r="K2643">
        <v>0</v>
      </c>
      <c r="L2643" s="4">
        <v>0.85489657035078581</v>
      </c>
      <c r="M2643" s="4">
        <v>0.14510342964921419</v>
      </c>
      <c r="N2643">
        <v>6</v>
      </c>
    </row>
    <row r="2644" spans="1:14" x14ac:dyDescent="0.35">
      <c r="A2644" s="1">
        <v>3026</v>
      </c>
      <c r="B2644">
        <v>5</v>
      </c>
      <c r="C2644">
        <v>42</v>
      </c>
      <c r="D2644">
        <v>4</v>
      </c>
      <c r="E2644">
        <v>1</v>
      </c>
      <c r="F2644">
        <v>0</v>
      </c>
      <c r="G2644">
        <v>11</v>
      </c>
      <c r="H2644">
        <v>0</v>
      </c>
      <c r="I2644">
        <v>6000</v>
      </c>
      <c r="J2644">
        <v>1</v>
      </c>
      <c r="K2644">
        <v>0</v>
      </c>
      <c r="L2644" s="4">
        <v>0.8549480969292157</v>
      </c>
      <c r="M2644" s="4">
        <v>0.1450519030707843</v>
      </c>
      <c r="N2644">
        <v>6</v>
      </c>
    </row>
    <row r="2645" spans="1:14" x14ac:dyDescent="0.35">
      <c r="A2645" s="1">
        <v>1861</v>
      </c>
      <c r="B2645">
        <v>6</v>
      </c>
      <c r="C2645">
        <v>51</v>
      </c>
      <c r="D2645">
        <v>4</v>
      </c>
      <c r="E2645">
        <v>0</v>
      </c>
      <c r="F2645">
        <v>2</v>
      </c>
      <c r="G2645">
        <v>1</v>
      </c>
      <c r="H2645">
        <v>0</v>
      </c>
      <c r="I2645">
        <v>5897.24</v>
      </c>
      <c r="J2645">
        <v>4</v>
      </c>
      <c r="K2645">
        <v>0</v>
      </c>
      <c r="L2645" s="4">
        <v>0.85502699535539772</v>
      </c>
      <c r="M2645" s="4">
        <v>0.14497300464460219</v>
      </c>
      <c r="N2645">
        <v>6</v>
      </c>
    </row>
    <row r="2646" spans="1:14" x14ac:dyDescent="0.35">
      <c r="A2646" s="1">
        <v>3189</v>
      </c>
      <c r="B2646">
        <v>8</v>
      </c>
      <c r="C2646">
        <v>58</v>
      </c>
      <c r="D2646">
        <v>3</v>
      </c>
      <c r="E2646">
        <v>0</v>
      </c>
      <c r="F2646">
        <v>0</v>
      </c>
      <c r="G2646">
        <v>11</v>
      </c>
      <c r="H2646">
        <v>2</v>
      </c>
      <c r="I2646">
        <v>1000</v>
      </c>
      <c r="J2646">
        <v>5</v>
      </c>
      <c r="K2646">
        <v>0</v>
      </c>
      <c r="L2646" s="4">
        <v>0.8550460696696478</v>
      </c>
      <c r="M2646" s="4">
        <v>0.1449539303303522</v>
      </c>
      <c r="N2646">
        <v>6</v>
      </c>
    </row>
    <row r="2647" spans="1:14" x14ac:dyDescent="0.35">
      <c r="A2647" s="1">
        <v>487</v>
      </c>
      <c r="B2647">
        <v>3</v>
      </c>
      <c r="C2647">
        <v>34</v>
      </c>
      <c r="D2647">
        <v>2</v>
      </c>
      <c r="E2647">
        <v>1</v>
      </c>
      <c r="F2647">
        <v>0</v>
      </c>
      <c r="G2647">
        <v>4</v>
      </c>
      <c r="H2647">
        <v>2</v>
      </c>
      <c r="I2647">
        <v>900</v>
      </c>
      <c r="J2647">
        <v>9</v>
      </c>
      <c r="K2647">
        <v>0</v>
      </c>
      <c r="L2647" s="4">
        <v>0.85506858783063622</v>
      </c>
      <c r="M2647" s="4">
        <v>0.14493141216936381</v>
      </c>
      <c r="N2647">
        <v>6</v>
      </c>
    </row>
    <row r="2648" spans="1:14" x14ac:dyDescent="0.35">
      <c r="A2648" s="1">
        <v>3306</v>
      </c>
      <c r="B2648">
        <v>7</v>
      </c>
      <c r="C2648">
        <v>53</v>
      </c>
      <c r="D2648">
        <v>4</v>
      </c>
      <c r="E2648">
        <v>0</v>
      </c>
      <c r="F2648">
        <v>1</v>
      </c>
      <c r="G2648">
        <v>12</v>
      </c>
      <c r="H2648">
        <v>2</v>
      </c>
      <c r="I2648">
        <v>4200</v>
      </c>
      <c r="J2648">
        <v>3</v>
      </c>
      <c r="K2648">
        <v>0</v>
      </c>
      <c r="L2648" s="4">
        <v>0.85510541717307742</v>
      </c>
      <c r="M2648" s="4">
        <v>0.1448945828269225</v>
      </c>
      <c r="N2648">
        <v>6</v>
      </c>
    </row>
    <row r="2649" spans="1:14" x14ac:dyDescent="0.35">
      <c r="A2649" s="1">
        <v>3175</v>
      </c>
      <c r="B2649">
        <v>10</v>
      </c>
      <c r="C2649">
        <v>66</v>
      </c>
      <c r="D2649">
        <v>2</v>
      </c>
      <c r="E2649">
        <v>0</v>
      </c>
      <c r="F2649">
        <v>1</v>
      </c>
      <c r="G2649">
        <v>12</v>
      </c>
      <c r="H2649">
        <v>2</v>
      </c>
      <c r="I2649">
        <v>4000</v>
      </c>
      <c r="J2649">
        <v>2</v>
      </c>
      <c r="K2649">
        <v>0</v>
      </c>
      <c r="L2649" s="4">
        <v>0.85511913862589861</v>
      </c>
      <c r="M2649" s="4">
        <v>0.14488086137410139</v>
      </c>
      <c r="N2649">
        <v>6</v>
      </c>
    </row>
    <row r="2650" spans="1:14" x14ac:dyDescent="0.35">
      <c r="A2650" s="1">
        <v>3936</v>
      </c>
      <c r="B2650">
        <v>4</v>
      </c>
      <c r="C2650">
        <v>41</v>
      </c>
      <c r="D2650">
        <v>5</v>
      </c>
      <c r="E2650">
        <v>0</v>
      </c>
      <c r="F2650">
        <v>0</v>
      </c>
      <c r="G2650">
        <v>2</v>
      </c>
      <c r="H2650">
        <v>3</v>
      </c>
      <c r="I2650">
        <v>0.01</v>
      </c>
      <c r="J2650">
        <v>5</v>
      </c>
      <c r="K2650">
        <v>0</v>
      </c>
      <c r="L2650" s="4">
        <v>0.85513724321463158</v>
      </c>
      <c r="M2650" s="4">
        <v>0.1448627567853685</v>
      </c>
      <c r="N2650">
        <v>6</v>
      </c>
    </row>
    <row r="2651" spans="1:14" x14ac:dyDescent="0.35">
      <c r="A2651" s="1">
        <v>1049</v>
      </c>
      <c r="B2651">
        <v>11</v>
      </c>
      <c r="C2651">
        <v>72</v>
      </c>
      <c r="D2651">
        <v>1</v>
      </c>
      <c r="E2651">
        <v>0</v>
      </c>
      <c r="F2651">
        <v>3</v>
      </c>
      <c r="G2651">
        <v>3</v>
      </c>
      <c r="H2651">
        <v>0</v>
      </c>
      <c r="I2651">
        <v>6053.35</v>
      </c>
      <c r="J2651">
        <v>7</v>
      </c>
      <c r="K2651">
        <v>0</v>
      </c>
      <c r="L2651" s="4">
        <v>0.85520718282346064</v>
      </c>
      <c r="M2651" s="4">
        <v>0.14479281717653941</v>
      </c>
      <c r="N2651">
        <v>6</v>
      </c>
    </row>
    <row r="2652" spans="1:14" x14ac:dyDescent="0.35">
      <c r="A2652" s="1">
        <v>2573</v>
      </c>
      <c r="B2652">
        <v>7</v>
      </c>
      <c r="C2652">
        <v>53</v>
      </c>
      <c r="D2652">
        <v>4</v>
      </c>
      <c r="E2652">
        <v>0</v>
      </c>
      <c r="F2652">
        <v>3</v>
      </c>
      <c r="G2652">
        <v>3</v>
      </c>
      <c r="H2652">
        <v>2</v>
      </c>
      <c r="I2652">
        <v>1000</v>
      </c>
      <c r="J2652">
        <v>12</v>
      </c>
      <c r="K2652">
        <v>0</v>
      </c>
      <c r="L2652" s="4">
        <v>0.85523357697083624</v>
      </c>
      <c r="M2652" s="4">
        <v>0.1447664230291637</v>
      </c>
      <c r="N2652">
        <v>6</v>
      </c>
    </row>
    <row r="2653" spans="1:14" x14ac:dyDescent="0.35">
      <c r="A2653" s="1">
        <v>2288</v>
      </c>
      <c r="B2653">
        <v>5</v>
      </c>
      <c r="C2653">
        <v>44</v>
      </c>
      <c r="D2653">
        <v>4</v>
      </c>
      <c r="E2653">
        <v>0</v>
      </c>
      <c r="F2653">
        <v>3</v>
      </c>
      <c r="G2653">
        <v>3</v>
      </c>
      <c r="H2653">
        <v>3</v>
      </c>
      <c r="I2653">
        <v>0.01</v>
      </c>
      <c r="J2653">
        <v>5</v>
      </c>
      <c r="K2653">
        <v>0</v>
      </c>
      <c r="L2653" s="4">
        <v>0.85529397182382061</v>
      </c>
      <c r="M2653" s="4">
        <v>0.14470602817617939</v>
      </c>
      <c r="N2653">
        <v>6</v>
      </c>
    </row>
    <row r="2654" spans="1:14" x14ac:dyDescent="0.35">
      <c r="A2654" s="1">
        <v>2525</v>
      </c>
      <c r="B2654">
        <v>10</v>
      </c>
      <c r="C2654">
        <v>63</v>
      </c>
      <c r="D2654">
        <v>1</v>
      </c>
      <c r="E2654">
        <v>1</v>
      </c>
      <c r="F2654">
        <v>0</v>
      </c>
      <c r="G2654">
        <v>4</v>
      </c>
      <c r="H2654">
        <v>2</v>
      </c>
      <c r="I2654">
        <v>5000</v>
      </c>
      <c r="J2654">
        <v>12</v>
      </c>
      <c r="K2654">
        <v>0</v>
      </c>
      <c r="L2654" s="4">
        <v>0.85534814983043428</v>
      </c>
      <c r="M2654" s="4">
        <v>0.14465185016956569</v>
      </c>
      <c r="N2654">
        <v>6</v>
      </c>
    </row>
    <row r="2655" spans="1:14" x14ac:dyDescent="0.35">
      <c r="A2655" s="1">
        <v>383</v>
      </c>
      <c r="B2655">
        <v>10</v>
      </c>
      <c r="C2655">
        <v>63</v>
      </c>
      <c r="D2655">
        <v>1</v>
      </c>
      <c r="E2655">
        <v>1</v>
      </c>
      <c r="F2655">
        <v>3</v>
      </c>
      <c r="G2655">
        <v>3</v>
      </c>
      <c r="H2655">
        <v>0</v>
      </c>
      <c r="I2655">
        <v>6000</v>
      </c>
      <c r="J2655">
        <v>4</v>
      </c>
      <c r="K2655">
        <v>0</v>
      </c>
      <c r="L2655" s="4">
        <v>0.85540148956145634</v>
      </c>
      <c r="M2655" s="4">
        <v>0.14459851043854369</v>
      </c>
      <c r="N2655">
        <v>6</v>
      </c>
    </row>
    <row r="2656" spans="1:14" x14ac:dyDescent="0.35">
      <c r="A2656" s="1">
        <v>2214</v>
      </c>
      <c r="B2656">
        <v>8</v>
      </c>
      <c r="C2656">
        <v>58</v>
      </c>
      <c r="D2656">
        <v>0</v>
      </c>
      <c r="E2656">
        <v>0</v>
      </c>
      <c r="F2656">
        <v>3</v>
      </c>
      <c r="G2656">
        <v>3</v>
      </c>
      <c r="H2656">
        <v>3</v>
      </c>
      <c r="I2656">
        <v>0.01</v>
      </c>
      <c r="J2656">
        <v>8</v>
      </c>
      <c r="K2656">
        <v>0</v>
      </c>
      <c r="L2656" s="4">
        <v>0.85556813535040199</v>
      </c>
      <c r="M2656" s="4">
        <v>0.14443186464959801</v>
      </c>
      <c r="N2656">
        <v>6</v>
      </c>
    </row>
    <row r="2657" spans="1:14" x14ac:dyDescent="0.35">
      <c r="A2657" s="1">
        <v>124</v>
      </c>
      <c r="B2657">
        <v>6</v>
      </c>
      <c r="C2657">
        <v>51</v>
      </c>
      <c r="D2657">
        <v>3</v>
      </c>
      <c r="E2657">
        <v>0</v>
      </c>
      <c r="F2657">
        <v>3</v>
      </c>
      <c r="G2657">
        <v>3</v>
      </c>
      <c r="H2657">
        <v>0</v>
      </c>
      <c r="I2657">
        <v>12000</v>
      </c>
      <c r="J2657">
        <v>3</v>
      </c>
      <c r="K2657">
        <v>1</v>
      </c>
      <c r="L2657" s="4">
        <v>0.85559047618508921</v>
      </c>
      <c r="M2657" s="4">
        <v>0.14440952381491071</v>
      </c>
      <c r="N2657">
        <v>6</v>
      </c>
    </row>
    <row r="2658" spans="1:14" x14ac:dyDescent="0.35">
      <c r="A2658" s="1">
        <v>3397</v>
      </c>
      <c r="B2658">
        <v>5</v>
      </c>
      <c r="C2658">
        <v>46</v>
      </c>
      <c r="D2658">
        <v>3</v>
      </c>
      <c r="E2658">
        <v>0</v>
      </c>
      <c r="F2658">
        <v>0</v>
      </c>
      <c r="G2658">
        <v>2</v>
      </c>
      <c r="H2658">
        <v>3</v>
      </c>
      <c r="I2658">
        <v>0.01</v>
      </c>
      <c r="J2658">
        <v>5</v>
      </c>
      <c r="K2658">
        <v>0</v>
      </c>
      <c r="L2658" s="4">
        <v>0.85569959532932605</v>
      </c>
      <c r="M2658" s="4">
        <v>0.14430040467067401</v>
      </c>
      <c r="N2658">
        <v>6</v>
      </c>
    </row>
    <row r="2659" spans="1:14" x14ac:dyDescent="0.35">
      <c r="A2659" s="1">
        <v>221</v>
      </c>
      <c r="B2659">
        <v>9</v>
      </c>
      <c r="C2659">
        <v>62</v>
      </c>
      <c r="D2659">
        <v>2</v>
      </c>
      <c r="E2659">
        <v>0</v>
      </c>
      <c r="F2659">
        <v>3</v>
      </c>
      <c r="G2659">
        <v>3</v>
      </c>
      <c r="H2659">
        <v>2</v>
      </c>
      <c r="I2659">
        <v>4000</v>
      </c>
      <c r="J2659">
        <v>6</v>
      </c>
      <c r="K2659">
        <v>0</v>
      </c>
      <c r="L2659" s="4">
        <v>0.85577771001137171</v>
      </c>
      <c r="M2659" s="4">
        <v>0.14422228998862821</v>
      </c>
      <c r="N2659">
        <v>6</v>
      </c>
    </row>
    <row r="2660" spans="1:14" x14ac:dyDescent="0.35">
      <c r="A2660" s="1">
        <v>1231</v>
      </c>
      <c r="B2660">
        <v>9</v>
      </c>
      <c r="C2660">
        <v>51</v>
      </c>
      <c r="D2660">
        <v>3</v>
      </c>
      <c r="E2660">
        <v>2</v>
      </c>
      <c r="F2660">
        <v>3</v>
      </c>
      <c r="G2660">
        <v>3</v>
      </c>
      <c r="H2660">
        <v>3</v>
      </c>
      <c r="I2660">
        <v>0.01</v>
      </c>
      <c r="J2660">
        <v>9</v>
      </c>
      <c r="K2660">
        <v>0</v>
      </c>
      <c r="L2660" s="4">
        <v>0.85601751840979012</v>
      </c>
      <c r="M2660" s="4">
        <v>0.14398248159020979</v>
      </c>
      <c r="N2660">
        <v>6</v>
      </c>
    </row>
    <row r="2661" spans="1:14" x14ac:dyDescent="0.35">
      <c r="A2661" s="1">
        <v>2910</v>
      </c>
      <c r="B2661">
        <v>5</v>
      </c>
      <c r="C2661">
        <v>41</v>
      </c>
      <c r="D2661">
        <v>0</v>
      </c>
      <c r="E2661">
        <v>1</v>
      </c>
      <c r="F2661">
        <v>3</v>
      </c>
      <c r="G2661">
        <v>3</v>
      </c>
      <c r="H2661">
        <v>3</v>
      </c>
      <c r="I2661">
        <v>0.01</v>
      </c>
      <c r="J2661">
        <v>8</v>
      </c>
      <c r="K2661">
        <v>0</v>
      </c>
      <c r="L2661" s="4">
        <v>0.85602134388880591</v>
      </c>
      <c r="M2661" s="4">
        <v>0.14397865611119409</v>
      </c>
      <c r="N2661">
        <v>6</v>
      </c>
    </row>
    <row r="2662" spans="1:14" x14ac:dyDescent="0.35">
      <c r="A2662" s="1">
        <v>3439</v>
      </c>
      <c r="B2662">
        <v>6</v>
      </c>
      <c r="C2662">
        <v>51</v>
      </c>
      <c r="D2662">
        <v>3</v>
      </c>
      <c r="E2662">
        <v>0</v>
      </c>
      <c r="F2662">
        <v>1</v>
      </c>
      <c r="G2662">
        <v>12</v>
      </c>
      <c r="H2662">
        <v>0</v>
      </c>
      <c r="I2662">
        <v>6000</v>
      </c>
      <c r="J2662">
        <v>2</v>
      </c>
      <c r="K2662">
        <v>0</v>
      </c>
      <c r="L2662" s="4">
        <v>0.85602339133947147</v>
      </c>
      <c r="M2662" s="4">
        <v>0.1439766086605285</v>
      </c>
      <c r="N2662">
        <v>6</v>
      </c>
    </row>
    <row r="2663" spans="1:14" x14ac:dyDescent="0.35">
      <c r="A2663" s="1">
        <v>871</v>
      </c>
      <c r="B2663">
        <v>13</v>
      </c>
      <c r="C2663">
        <v>69</v>
      </c>
      <c r="D2663">
        <v>1</v>
      </c>
      <c r="E2663">
        <v>2</v>
      </c>
      <c r="F2663">
        <v>1</v>
      </c>
      <c r="G2663">
        <v>12</v>
      </c>
      <c r="H2663">
        <v>2</v>
      </c>
      <c r="I2663">
        <v>500.01</v>
      </c>
      <c r="J2663">
        <v>11</v>
      </c>
      <c r="K2663">
        <v>0</v>
      </c>
      <c r="L2663" s="4">
        <v>0.85611903179854365</v>
      </c>
      <c r="M2663" s="4">
        <v>0.14388096820145641</v>
      </c>
      <c r="N2663">
        <v>6</v>
      </c>
    </row>
    <row r="2664" spans="1:14" x14ac:dyDescent="0.35">
      <c r="A2664" s="1">
        <v>4440</v>
      </c>
      <c r="B2664">
        <v>7</v>
      </c>
      <c r="C2664">
        <v>55</v>
      </c>
      <c r="D2664">
        <v>3</v>
      </c>
      <c r="E2664">
        <v>0</v>
      </c>
      <c r="F2664">
        <v>0</v>
      </c>
      <c r="G2664">
        <v>2</v>
      </c>
      <c r="H2664">
        <v>2</v>
      </c>
      <c r="I2664">
        <v>50</v>
      </c>
      <c r="J2664">
        <v>10</v>
      </c>
      <c r="K2664">
        <v>0</v>
      </c>
      <c r="L2664" s="4">
        <v>0.85614513646845791</v>
      </c>
      <c r="M2664" s="4">
        <v>0.14385486353154209</v>
      </c>
      <c r="N2664">
        <v>6</v>
      </c>
    </row>
    <row r="2665" spans="1:14" x14ac:dyDescent="0.35">
      <c r="A2665" s="1">
        <v>1130</v>
      </c>
      <c r="B2665">
        <v>10</v>
      </c>
      <c r="C2665">
        <v>69</v>
      </c>
      <c r="D2665">
        <v>0</v>
      </c>
      <c r="E2665">
        <v>0</v>
      </c>
      <c r="F2665">
        <v>2</v>
      </c>
      <c r="G2665">
        <v>6</v>
      </c>
      <c r="H2665">
        <v>0</v>
      </c>
      <c r="I2665">
        <v>18000</v>
      </c>
      <c r="J2665">
        <v>5</v>
      </c>
      <c r="K2665">
        <v>0</v>
      </c>
      <c r="L2665" s="4">
        <v>0.85622671917638449</v>
      </c>
      <c r="M2665" s="4">
        <v>0.14377328082361551</v>
      </c>
      <c r="N2665">
        <v>6</v>
      </c>
    </row>
    <row r="2666" spans="1:14" x14ac:dyDescent="0.35">
      <c r="A2666" s="1">
        <v>1060</v>
      </c>
      <c r="B2666">
        <v>8</v>
      </c>
      <c r="C2666">
        <v>52</v>
      </c>
      <c r="D2666">
        <v>4</v>
      </c>
      <c r="E2666">
        <v>1</v>
      </c>
      <c r="F2666">
        <v>2</v>
      </c>
      <c r="G2666">
        <v>1</v>
      </c>
      <c r="H2666">
        <v>3</v>
      </c>
      <c r="I2666">
        <v>0.01</v>
      </c>
      <c r="J2666">
        <v>4</v>
      </c>
      <c r="K2666">
        <v>0</v>
      </c>
      <c r="L2666" s="4">
        <v>0.85623168751049616</v>
      </c>
      <c r="M2666" s="4">
        <v>0.14376831248950389</v>
      </c>
      <c r="N2666">
        <v>6</v>
      </c>
    </row>
    <row r="2667" spans="1:14" x14ac:dyDescent="0.35">
      <c r="A2667" s="1">
        <v>167</v>
      </c>
      <c r="B2667">
        <v>8</v>
      </c>
      <c r="C2667">
        <v>58</v>
      </c>
      <c r="D2667">
        <v>2</v>
      </c>
      <c r="E2667">
        <v>0</v>
      </c>
      <c r="F2667">
        <v>3</v>
      </c>
      <c r="G2667">
        <v>3</v>
      </c>
      <c r="H2667">
        <v>2</v>
      </c>
      <c r="I2667">
        <v>3540</v>
      </c>
      <c r="J2667">
        <v>6</v>
      </c>
      <c r="K2667">
        <v>0</v>
      </c>
      <c r="L2667" s="4">
        <v>0.85624151529092929</v>
      </c>
      <c r="M2667" s="4">
        <v>0.14375848470907071</v>
      </c>
      <c r="N2667">
        <v>6</v>
      </c>
    </row>
    <row r="2668" spans="1:14" x14ac:dyDescent="0.35">
      <c r="A2668" s="1">
        <v>3247</v>
      </c>
      <c r="B2668">
        <v>5</v>
      </c>
      <c r="C2668">
        <v>46</v>
      </c>
      <c r="D2668">
        <v>5</v>
      </c>
      <c r="E2668">
        <v>0</v>
      </c>
      <c r="F2668">
        <v>0</v>
      </c>
      <c r="G2668">
        <v>2</v>
      </c>
      <c r="H2668">
        <v>2</v>
      </c>
      <c r="I2668">
        <v>100</v>
      </c>
      <c r="J2668">
        <v>8</v>
      </c>
      <c r="K2668">
        <v>0</v>
      </c>
      <c r="L2668" s="4">
        <v>0.8562638691044141</v>
      </c>
      <c r="M2668" s="4">
        <v>0.1437361308955859</v>
      </c>
      <c r="N2668">
        <v>6</v>
      </c>
    </row>
    <row r="2669" spans="1:14" x14ac:dyDescent="0.35">
      <c r="A2669" s="1">
        <v>724</v>
      </c>
      <c r="B2669">
        <v>8</v>
      </c>
      <c r="C2669">
        <v>59</v>
      </c>
      <c r="D2669">
        <v>2</v>
      </c>
      <c r="E2669">
        <v>0</v>
      </c>
      <c r="F2669">
        <v>1</v>
      </c>
      <c r="G2669">
        <v>5</v>
      </c>
      <c r="H2669">
        <v>2</v>
      </c>
      <c r="I2669">
        <v>5000</v>
      </c>
      <c r="J2669">
        <v>15</v>
      </c>
      <c r="K2669">
        <v>0</v>
      </c>
      <c r="L2669" s="4">
        <v>0.85628891651068428</v>
      </c>
      <c r="M2669" s="4">
        <v>0.14371108348931569</v>
      </c>
      <c r="N2669">
        <v>6</v>
      </c>
    </row>
    <row r="2670" spans="1:14" x14ac:dyDescent="0.35">
      <c r="A2670" s="1">
        <v>3194</v>
      </c>
      <c r="B2670">
        <v>6</v>
      </c>
      <c r="C2670">
        <v>45</v>
      </c>
      <c r="D2670">
        <v>5</v>
      </c>
      <c r="E2670">
        <v>1</v>
      </c>
      <c r="F2670">
        <v>0</v>
      </c>
      <c r="G2670">
        <v>4</v>
      </c>
      <c r="H2670">
        <v>2</v>
      </c>
      <c r="I2670">
        <v>600.01</v>
      </c>
      <c r="J2670">
        <v>9</v>
      </c>
      <c r="K2670">
        <v>0</v>
      </c>
      <c r="L2670" s="4">
        <v>0.85632215240218346</v>
      </c>
      <c r="M2670" s="4">
        <v>0.14367784759781649</v>
      </c>
      <c r="N2670">
        <v>6</v>
      </c>
    </row>
    <row r="2671" spans="1:14" x14ac:dyDescent="0.35">
      <c r="A2671" s="1">
        <v>2063</v>
      </c>
      <c r="B2671">
        <v>7</v>
      </c>
      <c r="C2671">
        <v>55</v>
      </c>
      <c r="D2671">
        <v>1</v>
      </c>
      <c r="E2671">
        <v>0</v>
      </c>
      <c r="F2671">
        <v>2</v>
      </c>
      <c r="G2671">
        <v>1</v>
      </c>
      <c r="H2671">
        <v>2</v>
      </c>
      <c r="I2671">
        <v>2000</v>
      </c>
      <c r="J2671">
        <v>5</v>
      </c>
      <c r="K2671">
        <v>0</v>
      </c>
      <c r="L2671" s="4">
        <v>0.85639600405080862</v>
      </c>
      <c r="M2671" s="4">
        <v>0.1436039959491914</v>
      </c>
      <c r="N2671">
        <v>7</v>
      </c>
    </row>
    <row r="2672" spans="1:14" x14ac:dyDescent="0.35">
      <c r="A2672" s="1">
        <v>220</v>
      </c>
      <c r="B2672">
        <v>11</v>
      </c>
      <c r="C2672">
        <v>68</v>
      </c>
      <c r="D2672">
        <v>3</v>
      </c>
      <c r="E2672">
        <v>0</v>
      </c>
      <c r="F2672">
        <v>4</v>
      </c>
      <c r="G2672">
        <v>9</v>
      </c>
      <c r="H2672">
        <v>3</v>
      </c>
      <c r="I2672">
        <v>0.01</v>
      </c>
      <c r="J2672">
        <v>11</v>
      </c>
      <c r="K2672">
        <v>0</v>
      </c>
      <c r="L2672" s="4">
        <v>0.8564311361310345</v>
      </c>
      <c r="M2672" s="4">
        <v>0.1435688638689655</v>
      </c>
      <c r="N2672">
        <v>7</v>
      </c>
    </row>
    <row r="2673" spans="1:14" x14ac:dyDescent="0.35">
      <c r="A2673" s="1">
        <v>3505</v>
      </c>
      <c r="B2673">
        <v>5</v>
      </c>
      <c r="C2673">
        <v>48</v>
      </c>
      <c r="D2673">
        <v>1</v>
      </c>
      <c r="E2673">
        <v>0</v>
      </c>
      <c r="F2673">
        <v>3</v>
      </c>
      <c r="G2673">
        <v>3</v>
      </c>
      <c r="H2673">
        <v>0</v>
      </c>
      <c r="I2673">
        <v>6035.46</v>
      </c>
      <c r="J2673">
        <v>12</v>
      </c>
      <c r="K2673">
        <v>0</v>
      </c>
      <c r="L2673" s="4">
        <v>0.8566541260543914</v>
      </c>
      <c r="M2673" s="4">
        <v>0.1433458739456086</v>
      </c>
      <c r="N2673">
        <v>7</v>
      </c>
    </row>
    <row r="2674" spans="1:14" x14ac:dyDescent="0.35">
      <c r="A2674" s="1">
        <v>3155</v>
      </c>
      <c r="B2674">
        <v>9</v>
      </c>
      <c r="C2674">
        <v>64</v>
      </c>
      <c r="D2674">
        <v>1</v>
      </c>
      <c r="E2674">
        <v>0</v>
      </c>
      <c r="F2674">
        <v>0</v>
      </c>
      <c r="G2674">
        <v>2</v>
      </c>
      <c r="H2674">
        <v>2</v>
      </c>
      <c r="I2674">
        <v>300</v>
      </c>
      <c r="J2674">
        <v>7</v>
      </c>
      <c r="K2674">
        <v>1</v>
      </c>
      <c r="L2674" s="4">
        <v>0.85675708872075707</v>
      </c>
      <c r="M2674" s="4">
        <v>0.14324291127924299</v>
      </c>
      <c r="N2674">
        <v>7</v>
      </c>
    </row>
    <row r="2675" spans="1:14" x14ac:dyDescent="0.35">
      <c r="A2675" s="1">
        <v>2383</v>
      </c>
      <c r="B2675">
        <v>7</v>
      </c>
      <c r="C2675">
        <v>55</v>
      </c>
      <c r="D2675">
        <v>3</v>
      </c>
      <c r="E2675">
        <v>0</v>
      </c>
      <c r="F2675">
        <v>0</v>
      </c>
      <c r="G2675">
        <v>4</v>
      </c>
      <c r="H2675">
        <v>2</v>
      </c>
      <c r="I2675">
        <v>2740</v>
      </c>
      <c r="J2675">
        <v>11</v>
      </c>
      <c r="K2675">
        <v>0</v>
      </c>
      <c r="L2675" s="4">
        <v>0.85680396968253492</v>
      </c>
      <c r="M2675" s="4">
        <v>0.14319603031746511</v>
      </c>
      <c r="N2675">
        <v>7</v>
      </c>
    </row>
    <row r="2676" spans="1:14" x14ac:dyDescent="0.35">
      <c r="A2676" s="1">
        <v>2577</v>
      </c>
      <c r="B2676">
        <v>5</v>
      </c>
      <c r="C2676">
        <v>48</v>
      </c>
      <c r="D2676">
        <v>1</v>
      </c>
      <c r="E2676">
        <v>0</v>
      </c>
      <c r="F2676">
        <v>3</v>
      </c>
      <c r="G2676">
        <v>3</v>
      </c>
      <c r="H2676">
        <v>0</v>
      </c>
      <c r="I2676">
        <v>10928.65</v>
      </c>
      <c r="J2676">
        <v>4</v>
      </c>
      <c r="K2676">
        <v>0</v>
      </c>
      <c r="L2676" s="4">
        <v>0.85694814330032609</v>
      </c>
      <c r="M2676" s="4">
        <v>0.14305185669967391</v>
      </c>
      <c r="N2676">
        <v>7</v>
      </c>
    </row>
    <row r="2677" spans="1:14" x14ac:dyDescent="0.35">
      <c r="A2677" s="1">
        <v>250</v>
      </c>
      <c r="B2677">
        <v>7</v>
      </c>
      <c r="C2677">
        <v>51</v>
      </c>
      <c r="D2677">
        <v>1</v>
      </c>
      <c r="E2677">
        <v>1</v>
      </c>
      <c r="F2677">
        <v>3</v>
      </c>
      <c r="G2677">
        <v>3</v>
      </c>
      <c r="H2677">
        <v>0</v>
      </c>
      <c r="I2677">
        <v>6000</v>
      </c>
      <c r="J2677">
        <v>1</v>
      </c>
      <c r="K2677">
        <v>0</v>
      </c>
      <c r="L2677" s="4">
        <v>0.85699228373680869</v>
      </c>
      <c r="M2677" s="4">
        <v>0.14300771626319131</v>
      </c>
      <c r="N2677">
        <v>7</v>
      </c>
    </row>
    <row r="2678" spans="1:14" x14ac:dyDescent="0.35">
      <c r="A2678" s="1">
        <v>1921</v>
      </c>
      <c r="B2678">
        <v>10</v>
      </c>
      <c r="C2678">
        <v>64</v>
      </c>
      <c r="D2678">
        <v>1</v>
      </c>
      <c r="E2678">
        <v>1</v>
      </c>
      <c r="F2678">
        <v>2</v>
      </c>
      <c r="G2678">
        <v>1</v>
      </c>
      <c r="H2678">
        <v>0</v>
      </c>
      <c r="I2678">
        <v>5100</v>
      </c>
      <c r="J2678">
        <v>11</v>
      </c>
      <c r="K2678">
        <v>0</v>
      </c>
      <c r="L2678" s="4">
        <v>0.85702957196624574</v>
      </c>
      <c r="M2678" s="4">
        <v>0.14297042803375429</v>
      </c>
      <c r="N2678">
        <v>7</v>
      </c>
    </row>
    <row r="2679" spans="1:14" x14ac:dyDescent="0.35">
      <c r="A2679" s="1">
        <v>1356</v>
      </c>
      <c r="B2679">
        <v>5</v>
      </c>
      <c r="C2679">
        <v>46</v>
      </c>
      <c r="D2679">
        <v>3</v>
      </c>
      <c r="E2679">
        <v>0</v>
      </c>
      <c r="F2679">
        <v>0</v>
      </c>
      <c r="G2679">
        <v>4</v>
      </c>
      <c r="H2679">
        <v>3</v>
      </c>
      <c r="I2679">
        <v>0.01</v>
      </c>
      <c r="J2679">
        <v>5</v>
      </c>
      <c r="K2679">
        <v>0</v>
      </c>
      <c r="L2679" s="4">
        <v>0.85704995963754449</v>
      </c>
      <c r="M2679" s="4">
        <v>0.14295004036245551</v>
      </c>
      <c r="N2679">
        <v>7</v>
      </c>
    </row>
    <row r="2680" spans="1:14" x14ac:dyDescent="0.35">
      <c r="A2680" s="1">
        <v>908</v>
      </c>
      <c r="B2680">
        <v>10</v>
      </c>
      <c r="C2680">
        <v>69</v>
      </c>
      <c r="D2680">
        <v>2</v>
      </c>
      <c r="E2680">
        <v>0</v>
      </c>
      <c r="F2680">
        <v>2</v>
      </c>
      <c r="G2680">
        <v>0</v>
      </c>
      <c r="H2680">
        <v>0</v>
      </c>
      <c r="I2680">
        <v>10000</v>
      </c>
      <c r="J2680">
        <v>25</v>
      </c>
      <c r="K2680">
        <v>0</v>
      </c>
      <c r="L2680" s="4">
        <v>0.85706876734413662</v>
      </c>
      <c r="M2680" s="4">
        <v>0.1429312326558633</v>
      </c>
      <c r="N2680">
        <v>7</v>
      </c>
    </row>
    <row r="2681" spans="1:14" x14ac:dyDescent="0.35">
      <c r="A2681" s="1">
        <v>1459</v>
      </c>
      <c r="B2681">
        <v>8</v>
      </c>
      <c r="C2681">
        <v>56</v>
      </c>
      <c r="D2681">
        <v>4</v>
      </c>
      <c r="E2681">
        <v>0</v>
      </c>
      <c r="F2681">
        <v>3</v>
      </c>
      <c r="G2681">
        <v>8</v>
      </c>
      <c r="H2681">
        <v>3</v>
      </c>
      <c r="I2681">
        <v>0.01</v>
      </c>
      <c r="J2681">
        <v>8</v>
      </c>
      <c r="K2681">
        <v>0</v>
      </c>
      <c r="L2681" s="4">
        <v>0.85708264401836265</v>
      </c>
      <c r="M2681" s="4">
        <v>0.1429173559816373</v>
      </c>
      <c r="N2681">
        <v>7</v>
      </c>
    </row>
    <row r="2682" spans="1:14" x14ac:dyDescent="0.35">
      <c r="A2682" s="1">
        <v>3464</v>
      </c>
      <c r="B2682">
        <v>8</v>
      </c>
      <c r="C2682">
        <v>59</v>
      </c>
      <c r="D2682">
        <v>3</v>
      </c>
      <c r="E2682">
        <v>0</v>
      </c>
      <c r="F2682">
        <v>0</v>
      </c>
      <c r="G2682">
        <v>4</v>
      </c>
      <c r="H2682">
        <v>2</v>
      </c>
      <c r="I2682">
        <v>3000</v>
      </c>
      <c r="J2682">
        <v>6</v>
      </c>
      <c r="K2682">
        <v>0</v>
      </c>
      <c r="L2682" s="4">
        <v>0.85716976807603718</v>
      </c>
      <c r="M2682" s="4">
        <v>0.14283023192396291</v>
      </c>
      <c r="N2682">
        <v>7</v>
      </c>
    </row>
    <row r="2683" spans="1:14" x14ac:dyDescent="0.35">
      <c r="A2683" s="1">
        <v>1151</v>
      </c>
      <c r="B2683">
        <v>8</v>
      </c>
      <c r="C2683">
        <v>57</v>
      </c>
      <c r="D2683">
        <v>4</v>
      </c>
      <c r="E2683">
        <v>0</v>
      </c>
      <c r="F2683">
        <v>1</v>
      </c>
      <c r="G2683">
        <v>7</v>
      </c>
      <c r="H2683">
        <v>3</v>
      </c>
      <c r="I2683">
        <v>0.01</v>
      </c>
      <c r="J2683">
        <v>5</v>
      </c>
      <c r="K2683">
        <v>0</v>
      </c>
      <c r="L2683" s="4">
        <v>0.85728952045940576</v>
      </c>
      <c r="M2683" s="4">
        <v>0.14271047954059421</v>
      </c>
      <c r="N2683">
        <v>7</v>
      </c>
    </row>
    <row r="2684" spans="1:14" x14ac:dyDescent="0.35">
      <c r="A2684" s="1">
        <v>1595</v>
      </c>
      <c r="B2684">
        <v>8</v>
      </c>
      <c r="C2684">
        <v>62</v>
      </c>
      <c r="D2684">
        <v>1</v>
      </c>
      <c r="E2684">
        <v>0</v>
      </c>
      <c r="F2684">
        <v>0</v>
      </c>
      <c r="G2684">
        <v>2</v>
      </c>
      <c r="H2684">
        <v>0</v>
      </c>
      <c r="I2684">
        <v>18000</v>
      </c>
      <c r="J2684">
        <v>8</v>
      </c>
      <c r="K2684">
        <v>0</v>
      </c>
      <c r="L2684" s="4">
        <v>0.85743590267668957</v>
      </c>
      <c r="M2684" s="4">
        <v>0.14256409732331041</v>
      </c>
      <c r="N2684">
        <v>7</v>
      </c>
    </row>
    <row r="2685" spans="1:14" x14ac:dyDescent="0.35">
      <c r="A2685" s="1">
        <v>3241</v>
      </c>
      <c r="B2685">
        <v>10</v>
      </c>
      <c r="C2685">
        <v>69</v>
      </c>
      <c r="D2685">
        <v>0</v>
      </c>
      <c r="E2685">
        <v>0</v>
      </c>
      <c r="F2685">
        <v>3</v>
      </c>
      <c r="G2685">
        <v>3</v>
      </c>
      <c r="H2685">
        <v>0</v>
      </c>
      <c r="I2685">
        <v>10000</v>
      </c>
      <c r="J2685">
        <v>16</v>
      </c>
      <c r="K2685">
        <v>0</v>
      </c>
      <c r="L2685" s="4">
        <v>0.85754019954503291</v>
      </c>
      <c r="M2685" s="4">
        <v>0.14245980045496701</v>
      </c>
      <c r="N2685">
        <v>7</v>
      </c>
    </row>
    <row r="2686" spans="1:14" x14ac:dyDescent="0.35">
      <c r="A2686" s="1">
        <v>3051</v>
      </c>
      <c r="B2686">
        <v>8</v>
      </c>
      <c r="C2686">
        <v>54</v>
      </c>
      <c r="D2686">
        <v>3</v>
      </c>
      <c r="E2686">
        <v>1</v>
      </c>
      <c r="F2686">
        <v>0</v>
      </c>
      <c r="G2686">
        <v>4</v>
      </c>
      <c r="H2686">
        <v>2</v>
      </c>
      <c r="I2686">
        <v>1420</v>
      </c>
      <c r="J2686">
        <v>1</v>
      </c>
      <c r="K2686">
        <v>0</v>
      </c>
      <c r="L2686" s="4">
        <v>0.85760729012081272</v>
      </c>
      <c r="M2686" s="4">
        <v>0.1423927098791872</v>
      </c>
      <c r="N2686">
        <v>7</v>
      </c>
    </row>
    <row r="2687" spans="1:14" x14ac:dyDescent="0.35">
      <c r="A2687" s="1">
        <v>3935</v>
      </c>
      <c r="B2687">
        <v>10</v>
      </c>
      <c r="C2687">
        <v>69</v>
      </c>
      <c r="D2687">
        <v>0</v>
      </c>
      <c r="E2687">
        <v>0</v>
      </c>
      <c r="F2687">
        <v>3</v>
      </c>
      <c r="G2687">
        <v>3</v>
      </c>
      <c r="H2687">
        <v>0</v>
      </c>
      <c r="I2687">
        <v>15088.81</v>
      </c>
      <c r="J2687">
        <v>8</v>
      </c>
      <c r="K2687">
        <v>1</v>
      </c>
      <c r="L2687" s="4">
        <v>0.85779425725287739</v>
      </c>
      <c r="M2687" s="4">
        <v>0.14220574274712269</v>
      </c>
      <c r="N2687">
        <v>7</v>
      </c>
    </row>
    <row r="2688" spans="1:14" x14ac:dyDescent="0.35">
      <c r="A2688" s="1">
        <v>754</v>
      </c>
      <c r="B2688">
        <v>4</v>
      </c>
      <c r="C2688">
        <v>37</v>
      </c>
      <c r="D2688">
        <v>2</v>
      </c>
      <c r="E2688">
        <v>1</v>
      </c>
      <c r="F2688">
        <v>3</v>
      </c>
      <c r="G2688">
        <v>3</v>
      </c>
      <c r="H2688">
        <v>2</v>
      </c>
      <c r="I2688">
        <v>600</v>
      </c>
      <c r="J2688">
        <v>5</v>
      </c>
      <c r="K2688">
        <v>0</v>
      </c>
      <c r="L2688" s="4">
        <v>0.85779970189997345</v>
      </c>
      <c r="M2688" s="4">
        <v>0.1422002981000266</v>
      </c>
      <c r="N2688">
        <v>7</v>
      </c>
    </row>
    <row r="2689" spans="1:14" x14ac:dyDescent="0.35">
      <c r="A2689" s="1">
        <v>1600</v>
      </c>
      <c r="B2689">
        <v>9</v>
      </c>
      <c r="C2689">
        <v>61</v>
      </c>
      <c r="D2689">
        <v>3</v>
      </c>
      <c r="E2689">
        <v>0</v>
      </c>
      <c r="F2689">
        <v>3</v>
      </c>
      <c r="G2689">
        <v>3</v>
      </c>
      <c r="H2689">
        <v>3</v>
      </c>
      <c r="I2689">
        <v>0.01</v>
      </c>
      <c r="J2689">
        <v>6</v>
      </c>
      <c r="K2689">
        <v>0</v>
      </c>
      <c r="L2689" s="4">
        <v>0.85781263691087251</v>
      </c>
      <c r="M2689" s="4">
        <v>0.14218736308912749</v>
      </c>
      <c r="N2689">
        <v>7</v>
      </c>
    </row>
    <row r="2690" spans="1:14" x14ac:dyDescent="0.35">
      <c r="A2690" s="1">
        <v>1268</v>
      </c>
      <c r="B2690">
        <v>5</v>
      </c>
      <c r="C2690">
        <v>47</v>
      </c>
      <c r="D2690">
        <v>3</v>
      </c>
      <c r="E2690">
        <v>0</v>
      </c>
      <c r="F2690">
        <v>0</v>
      </c>
      <c r="G2690">
        <v>2</v>
      </c>
      <c r="H2690">
        <v>2</v>
      </c>
      <c r="I2690">
        <v>250</v>
      </c>
      <c r="J2690">
        <v>3</v>
      </c>
      <c r="K2690">
        <v>0</v>
      </c>
      <c r="L2690" s="4">
        <v>0.85794816599067603</v>
      </c>
      <c r="M2690" s="4">
        <v>0.142051834009324</v>
      </c>
      <c r="N2690">
        <v>7</v>
      </c>
    </row>
    <row r="2691" spans="1:14" x14ac:dyDescent="0.35">
      <c r="A2691" s="1">
        <v>1725</v>
      </c>
      <c r="B2691">
        <v>9</v>
      </c>
      <c r="C2691">
        <v>65</v>
      </c>
      <c r="D2691">
        <v>2</v>
      </c>
      <c r="E2691">
        <v>0</v>
      </c>
      <c r="F2691">
        <v>0</v>
      </c>
      <c r="G2691">
        <v>10</v>
      </c>
      <c r="H2691">
        <v>0</v>
      </c>
      <c r="I2691">
        <v>6000</v>
      </c>
      <c r="J2691">
        <v>25</v>
      </c>
      <c r="K2691">
        <v>0</v>
      </c>
      <c r="L2691" s="4">
        <v>0.85798651549305083</v>
      </c>
      <c r="M2691" s="4">
        <v>0.14201348450694909</v>
      </c>
      <c r="N2691">
        <v>7</v>
      </c>
    </row>
    <row r="2692" spans="1:14" x14ac:dyDescent="0.35">
      <c r="A2692" s="1">
        <v>755</v>
      </c>
      <c r="B2692">
        <v>8</v>
      </c>
      <c r="C2692">
        <v>48</v>
      </c>
      <c r="D2692">
        <v>4</v>
      </c>
      <c r="E2692">
        <v>2</v>
      </c>
      <c r="F2692">
        <v>0</v>
      </c>
      <c r="G2692">
        <v>4</v>
      </c>
      <c r="H2692">
        <v>3</v>
      </c>
      <c r="I2692">
        <v>0.01</v>
      </c>
      <c r="J2692">
        <v>4</v>
      </c>
      <c r="K2692">
        <v>0</v>
      </c>
      <c r="L2692" s="4">
        <v>0.85799520118688644</v>
      </c>
      <c r="M2692" s="4">
        <v>0.14200479881311359</v>
      </c>
      <c r="N2692">
        <v>7</v>
      </c>
    </row>
    <row r="2693" spans="1:14" x14ac:dyDescent="0.35">
      <c r="A2693" s="1">
        <v>2830</v>
      </c>
      <c r="B2693">
        <v>2</v>
      </c>
      <c r="C2693">
        <v>35</v>
      </c>
      <c r="D2693">
        <v>3</v>
      </c>
      <c r="E2693">
        <v>0</v>
      </c>
      <c r="F2693">
        <v>0</v>
      </c>
      <c r="G2693">
        <v>2</v>
      </c>
      <c r="H2693">
        <v>2</v>
      </c>
      <c r="I2693">
        <v>1400</v>
      </c>
      <c r="J2693">
        <v>8</v>
      </c>
      <c r="K2693">
        <v>0</v>
      </c>
      <c r="L2693" s="4">
        <v>0.85804405140555917</v>
      </c>
      <c r="M2693" s="4">
        <v>0.1419559485944408</v>
      </c>
      <c r="N2693">
        <v>7</v>
      </c>
    </row>
    <row r="2694" spans="1:14" x14ac:dyDescent="0.35">
      <c r="A2694" s="1">
        <v>2113</v>
      </c>
      <c r="B2694">
        <v>5</v>
      </c>
      <c r="C2694">
        <v>40</v>
      </c>
      <c r="D2694">
        <v>3</v>
      </c>
      <c r="E2694">
        <v>1</v>
      </c>
      <c r="F2694">
        <v>3</v>
      </c>
      <c r="G2694">
        <v>3</v>
      </c>
      <c r="H2694">
        <v>3</v>
      </c>
      <c r="I2694">
        <v>0.01</v>
      </c>
      <c r="J2694">
        <v>9</v>
      </c>
      <c r="K2694">
        <v>0</v>
      </c>
      <c r="L2694" s="4">
        <v>0.8581585509421894</v>
      </c>
      <c r="M2694" s="4">
        <v>0.1418414490578106</v>
      </c>
      <c r="N2694">
        <v>7</v>
      </c>
    </row>
    <row r="2695" spans="1:14" x14ac:dyDescent="0.35">
      <c r="A2695" s="1">
        <v>1716</v>
      </c>
      <c r="B2695">
        <v>8</v>
      </c>
      <c r="C2695">
        <v>57</v>
      </c>
      <c r="D2695">
        <v>5</v>
      </c>
      <c r="E2695">
        <v>0</v>
      </c>
      <c r="F2695">
        <v>3</v>
      </c>
      <c r="G2695">
        <v>3</v>
      </c>
      <c r="H2695">
        <v>2</v>
      </c>
      <c r="I2695">
        <v>3000</v>
      </c>
      <c r="J2695">
        <v>9</v>
      </c>
      <c r="K2695">
        <v>1</v>
      </c>
      <c r="L2695" s="4">
        <v>0.85816919956366844</v>
      </c>
      <c r="M2695" s="4">
        <v>0.14183080043633159</v>
      </c>
      <c r="N2695">
        <v>7</v>
      </c>
    </row>
    <row r="2696" spans="1:14" x14ac:dyDescent="0.35">
      <c r="A2696" s="1">
        <v>3849</v>
      </c>
      <c r="B2696">
        <v>7</v>
      </c>
      <c r="C2696">
        <v>56</v>
      </c>
      <c r="D2696">
        <v>3</v>
      </c>
      <c r="E2696">
        <v>0</v>
      </c>
      <c r="F2696">
        <v>0</v>
      </c>
      <c r="G2696">
        <v>11</v>
      </c>
      <c r="H2696">
        <v>0</v>
      </c>
      <c r="I2696">
        <v>6025</v>
      </c>
      <c r="J2696">
        <v>6</v>
      </c>
      <c r="K2696">
        <v>0</v>
      </c>
      <c r="L2696" s="4">
        <v>0.85823461531223355</v>
      </c>
      <c r="M2696" s="4">
        <v>0.14176538468776639</v>
      </c>
      <c r="N2696">
        <v>7</v>
      </c>
    </row>
    <row r="2697" spans="1:14" x14ac:dyDescent="0.35">
      <c r="A2697" s="1">
        <v>429</v>
      </c>
      <c r="B2697">
        <v>6</v>
      </c>
      <c r="C2697">
        <v>49</v>
      </c>
      <c r="D2697">
        <v>3</v>
      </c>
      <c r="E2697">
        <v>0</v>
      </c>
      <c r="F2697">
        <v>3</v>
      </c>
      <c r="G2697">
        <v>3</v>
      </c>
      <c r="H2697">
        <v>3</v>
      </c>
      <c r="I2697">
        <v>0.01</v>
      </c>
      <c r="J2697">
        <v>10</v>
      </c>
      <c r="K2697">
        <v>0</v>
      </c>
      <c r="L2697" s="4">
        <v>0.85829069458669216</v>
      </c>
      <c r="M2697" s="4">
        <v>0.14170930541330781</v>
      </c>
      <c r="N2697">
        <v>7</v>
      </c>
    </row>
    <row r="2698" spans="1:14" x14ac:dyDescent="0.35">
      <c r="A2698" s="1">
        <v>1163</v>
      </c>
      <c r="B2698">
        <v>9</v>
      </c>
      <c r="C2698">
        <v>62</v>
      </c>
      <c r="D2698">
        <v>4</v>
      </c>
      <c r="E2698">
        <v>0</v>
      </c>
      <c r="F2698">
        <v>0</v>
      </c>
      <c r="G2698">
        <v>4</v>
      </c>
      <c r="H2698">
        <v>3</v>
      </c>
      <c r="I2698">
        <v>0.01</v>
      </c>
      <c r="J2698">
        <v>8</v>
      </c>
      <c r="K2698">
        <v>0</v>
      </c>
      <c r="L2698" s="4">
        <v>0.85831457014613699</v>
      </c>
      <c r="M2698" s="4">
        <v>0.14168542985386301</v>
      </c>
      <c r="N2698">
        <v>7</v>
      </c>
    </row>
    <row r="2699" spans="1:14" x14ac:dyDescent="0.35">
      <c r="A2699" s="1">
        <v>3760</v>
      </c>
      <c r="B2699">
        <v>8</v>
      </c>
      <c r="C2699">
        <v>51</v>
      </c>
      <c r="D2699">
        <v>6</v>
      </c>
      <c r="E2699">
        <v>1</v>
      </c>
      <c r="F2699">
        <v>3</v>
      </c>
      <c r="G2699">
        <v>8</v>
      </c>
      <c r="H2699">
        <v>2</v>
      </c>
      <c r="I2699">
        <v>420</v>
      </c>
      <c r="J2699">
        <v>1</v>
      </c>
      <c r="K2699">
        <v>0</v>
      </c>
      <c r="L2699" s="4">
        <v>0.85848788941813359</v>
      </c>
      <c r="M2699" s="4">
        <v>0.14151211058186641</v>
      </c>
      <c r="N2699">
        <v>7</v>
      </c>
    </row>
    <row r="2700" spans="1:14" x14ac:dyDescent="0.35">
      <c r="A2700" s="1">
        <v>2522</v>
      </c>
      <c r="B2700">
        <v>7</v>
      </c>
      <c r="C2700">
        <v>51</v>
      </c>
      <c r="D2700">
        <v>1</v>
      </c>
      <c r="E2700">
        <v>1</v>
      </c>
      <c r="F2700">
        <v>0</v>
      </c>
      <c r="G2700">
        <v>4</v>
      </c>
      <c r="H2700">
        <v>2</v>
      </c>
      <c r="I2700">
        <v>1073.25</v>
      </c>
      <c r="J2700">
        <v>4</v>
      </c>
      <c r="K2700">
        <v>0</v>
      </c>
      <c r="L2700" s="4">
        <v>0.85849568005271371</v>
      </c>
      <c r="M2700" s="4">
        <v>0.14150431994728621</v>
      </c>
      <c r="N2700">
        <v>7</v>
      </c>
    </row>
    <row r="2701" spans="1:14" x14ac:dyDescent="0.35">
      <c r="A2701" s="1">
        <v>731</v>
      </c>
      <c r="B2701">
        <v>6</v>
      </c>
      <c r="C2701">
        <v>50</v>
      </c>
      <c r="D2701">
        <v>1</v>
      </c>
      <c r="E2701">
        <v>0</v>
      </c>
      <c r="F2701">
        <v>2</v>
      </c>
      <c r="G2701">
        <v>6</v>
      </c>
      <c r="H2701">
        <v>3</v>
      </c>
      <c r="I2701">
        <v>0.01</v>
      </c>
      <c r="J2701">
        <v>5</v>
      </c>
      <c r="K2701">
        <v>0</v>
      </c>
      <c r="L2701" s="4">
        <v>0.85853834436206966</v>
      </c>
      <c r="M2701" s="4">
        <v>0.14146165563793031</v>
      </c>
      <c r="N2701">
        <v>7</v>
      </c>
    </row>
    <row r="2702" spans="1:14" x14ac:dyDescent="0.35">
      <c r="A2702" s="1">
        <v>943</v>
      </c>
      <c r="B2702">
        <v>11</v>
      </c>
      <c r="C2702">
        <v>66</v>
      </c>
      <c r="D2702">
        <v>2</v>
      </c>
      <c r="E2702">
        <v>1</v>
      </c>
      <c r="F2702">
        <v>3</v>
      </c>
      <c r="G2702">
        <v>3</v>
      </c>
      <c r="H2702">
        <v>2</v>
      </c>
      <c r="I2702">
        <v>1000</v>
      </c>
      <c r="J2702">
        <v>30</v>
      </c>
      <c r="K2702">
        <v>0</v>
      </c>
      <c r="L2702" s="4">
        <v>0.85856042091870011</v>
      </c>
      <c r="M2702" s="4">
        <v>0.14143957908129981</v>
      </c>
      <c r="N2702">
        <v>7</v>
      </c>
    </row>
    <row r="2703" spans="1:14" x14ac:dyDescent="0.35">
      <c r="A2703" s="1">
        <v>366</v>
      </c>
      <c r="B2703">
        <v>8</v>
      </c>
      <c r="C2703">
        <v>59</v>
      </c>
      <c r="D2703">
        <v>0</v>
      </c>
      <c r="E2703">
        <v>0</v>
      </c>
      <c r="F2703">
        <v>3</v>
      </c>
      <c r="G2703">
        <v>3</v>
      </c>
      <c r="H2703">
        <v>2</v>
      </c>
      <c r="I2703">
        <v>100</v>
      </c>
      <c r="J2703">
        <v>1</v>
      </c>
      <c r="K2703">
        <v>0</v>
      </c>
      <c r="L2703" s="4">
        <v>0.85862962165854029</v>
      </c>
      <c r="M2703" s="4">
        <v>0.14137037834145971</v>
      </c>
      <c r="N2703">
        <v>7</v>
      </c>
    </row>
    <row r="2704" spans="1:14" x14ac:dyDescent="0.35">
      <c r="A2704" s="1">
        <v>1687</v>
      </c>
      <c r="B2704">
        <v>5</v>
      </c>
      <c r="C2704">
        <v>46</v>
      </c>
      <c r="D2704">
        <v>5</v>
      </c>
      <c r="E2704">
        <v>0</v>
      </c>
      <c r="F2704">
        <v>3</v>
      </c>
      <c r="G2704">
        <v>8</v>
      </c>
      <c r="H2704">
        <v>1</v>
      </c>
      <c r="I2704">
        <v>26000</v>
      </c>
      <c r="J2704">
        <v>18</v>
      </c>
      <c r="K2704">
        <v>0</v>
      </c>
      <c r="L2704" s="4">
        <v>0.85866150280469489</v>
      </c>
      <c r="M2704" s="4">
        <v>0.14133849719530511</v>
      </c>
      <c r="N2704">
        <v>7</v>
      </c>
    </row>
    <row r="2705" spans="1:14" x14ac:dyDescent="0.35">
      <c r="A2705" s="1">
        <v>4362</v>
      </c>
      <c r="B2705">
        <v>8</v>
      </c>
      <c r="C2705">
        <v>59</v>
      </c>
      <c r="D2705">
        <v>3</v>
      </c>
      <c r="E2705">
        <v>0</v>
      </c>
      <c r="F2705">
        <v>3</v>
      </c>
      <c r="G2705">
        <v>8</v>
      </c>
      <c r="H2705">
        <v>0</v>
      </c>
      <c r="I2705">
        <v>7500</v>
      </c>
      <c r="J2705">
        <v>5</v>
      </c>
      <c r="K2705">
        <v>0</v>
      </c>
      <c r="L2705" s="4">
        <v>0.85878353024662113</v>
      </c>
      <c r="M2705" s="4">
        <v>0.1412164697533789</v>
      </c>
      <c r="N2705">
        <v>7</v>
      </c>
    </row>
    <row r="2706" spans="1:14" x14ac:dyDescent="0.35">
      <c r="A2706" s="1">
        <v>1126</v>
      </c>
      <c r="B2706">
        <v>7</v>
      </c>
      <c r="C2706">
        <v>55</v>
      </c>
      <c r="D2706">
        <v>3</v>
      </c>
      <c r="E2706">
        <v>0</v>
      </c>
      <c r="F2706">
        <v>0</v>
      </c>
      <c r="G2706">
        <v>4</v>
      </c>
      <c r="H2706">
        <v>2</v>
      </c>
      <c r="I2706">
        <v>500</v>
      </c>
      <c r="J2706">
        <v>1</v>
      </c>
      <c r="K2706">
        <v>0</v>
      </c>
      <c r="L2706" s="4">
        <v>0.85881160014541447</v>
      </c>
      <c r="M2706" s="4">
        <v>0.14118839985458559</v>
      </c>
      <c r="N2706">
        <v>7</v>
      </c>
    </row>
    <row r="2707" spans="1:14" x14ac:dyDescent="0.35">
      <c r="A2707" s="1">
        <v>3214</v>
      </c>
      <c r="B2707">
        <v>2</v>
      </c>
      <c r="C2707">
        <v>35</v>
      </c>
      <c r="D2707">
        <v>1</v>
      </c>
      <c r="E2707">
        <v>0</v>
      </c>
      <c r="F2707">
        <v>0</v>
      </c>
      <c r="G2707">
        <v>4</v>
      </c>
      <c r="H2707">
        <v>3</v>
      </c>
      <c r="I2707">
        <v>0.01</v>
      </c>
      <c r="J2707">
        <v>5</v>
      </c>
      <c r="K2707">
        <v>0</v>
      </c>
      <c r="L2707" s="4">
        <v>0.85907578584342259</v>
      </c>
      <c r="M2707" s="4">
        <v>0.14092421415657741</v>
      </c>
      <c r="N2707">
        <v>7</v>
      </c>
    </row>
    <row r="2708" spans="1:14" x14ac:dyDescent="0.35">
      <c r="A2708" s="1">
        <v>1446</v>
      </c>
      <c r="B2708">
        <v>8</v>
      </c>
      <c r="C2708">
        <v>62</v>
      </c>
      <c r="D2708">
        <v>1</v>
      </c>
      <c r="E2708">
        <v>0</v>
      </c>
      <c r="F2708">
        <v>0</v>
      </c>
      <c r="G2708">
        <v>4</v>
      </c>
      <c r="H2708">
        <v>0</v>
      </c>
      <c r="I2708">
        <v>6967.9</v>
      </c>
      <c r="J2708">
        <v>19</v>
      </c>
      <c r="K2708">
        <v>0</v>
      </c>
      <c r="L2708" s="4">
        <v>0.85921355773516317</v>
      </c>
      <c r="M2708" s="4">
        <v>0.14078644226483689</v>
      </c>
      <c r="N2708">
        <v>7</v>
      </c>
    </row>
    <row r="2709" spans="1:14" x14ac:dyDescent="0.35">
      <c r="A2709" s="1">
        <v>750</v>
      </c>
      <c r="B2709">
        <v>10</v>
      </c>
      <c r="C2709">
        <v>66</v>
      </c>
      <c r="D2709">
        <v>3</v>
      </c>
      <c r="E2709">
        <v>0</v>
      </c>
      <c r="F2709">
        <v>3</v>
      </c>
      <c r="G2709">
        <v>3</v>
      </c>
      <c r="H2709">
        <v>2</v>
      </c>
      <c r="I2709">
        <v>4000</v>
      </c>
      <c r="J2709">
        <v>2</v>
      </c>
      <c r="K2709">
        <v>0</v>
      </c>
      <c r="L2709" s="4">
        <v>0.85925014426027713</v>
      </c>
      <c r="M2709" s="4">
        <v>0.14074985573972279</v>
      </c>
      <c r="N2709">
        <v>7</v>
      </c>
    </row>
    <row r="2710" spans="1:14" x14ac:dyDescent="0.35">
      <c r="A2710" s="1">
        <v>4345</v>
      </c>
      <c r="B2710">
        <v>8</v>
      </c>
      <c r="C2710">
        <v>60</v>
      </c>
      <c r="D2710">
        <v>1</v>
      </c>
      <c r="E2710">
        <v>0</v>
      </c>
      <c r="F2710">
        <v>3</v>
      </c>
      <c r="G2710">
        <v>8</v>
      </c>
      <c r="H2710">
        <v>0</v>
      </c>
      <c r="I2710">
        <v>12000</v>
      </c>
      <c r="J2710">
        <v>2</v>
      </c>
      <c r="K2710">
        <v>0</v>
      </c>
      <c r="L2710" s="4">
        <v>0.85928888089375044</v>
      </c>
      <c r="M2710" s="4">
        <v>0.1407111191062495</v>
      </c>
      <c r="N2710">
        <v>7</v>
      </c>
    </row>
    <row r="2711" spans="1:14" x14ac:dyDescent="0.35">
      <c r="A2711" s="1">
        <v>3053</v>
      </c>
      <c r="B2711">
        <v>8</v>
      </c>
      <c r="C2711">
        <v>59</v>
      </c>
      <c r="D2711">
        <v>1</v>
      </c>
      <c r="E2711">
        <v>0</v>
      </c>
      <c r="F2711">
        <v>3</v>
      </c>
      <c r="G2711">
        <v>3</v>
      </c>
      <c r="H2711">
        <v>2</v>
      </c>
      <c r="I2711">
        <v>5000</v>
      </c>
      <c r="J2711">
        <v>9</v>
      </c>
      <c r="K2711">
        <v>0</v>
      </c>
      <c r="L2711" s="4">
        <v>0.85961323160938008</v>
      </c>
      <c r="M2711" s="4">
        <v>0.14038676839061989</v>
      </c>
      <c r="N2711">
        <v>7</v>
      </c>
    </row>
    <row r="2712" spans="1:14" x14ac:dyDescent="0.35">
      <c r="A2712" s="1">
        <v>3065</v>
      </c>
      <c r="B2712">
        <v>8</v>
      </c>
      <c r="C2712">
        <v>59</v>
      </c>
      <c r="D2712">
        <v>1</v>
      </c>
      <c r="E2712">
        <v>0</v>
      </c>
      <c r="F2712">
        <v>1</v>
      </c>
      <c r="G2712">
        <v>12</v>
      </c>
      <c r="H2712">
        <v>2</v>
      </c>
      <c r="I2712">
        <v>300</v>
      </c>
      <c r="J2712">
        <v>9</v>
      </c>
      <c r="K2712">
        <v>0</v>
      </c>
      <c r="L2712" s="4">
        <v>0.85962873959548991</v>
      </c>
      <c r="M2712" s="4">
        <v>0.14037126040451009</v>
      </c>
      <c r="N2712">
        <v>7</v>
      </c>
    </row>
    <row r="2713" spans="1:14" x14ac:dyDescent="0.35">
      <c r="A2713" s="1">
        <v>1620</v>
      </c>
      <c r="B2713">
        <v>7</v>
      </c>
      <c r="C2713">
        <v>51</v>
      </c>
      <c r="D2713">
        <v>2</v>
      </c>
      <c r="E2713">
        <v>1</v>
      </c>
      <c r="F2713">
        <v>3</v>
      </c>
      <c r="G2713">
        <v>3</v>
      </c>
      <c r="H2713">
        <v>0</v>
      </c>
      <c r="I2713">
        <v>6053.34</v>
      </c>
      <c r="J2713">
        <v>4</v>
      </c>
      <c r="K2713">
        <v>0</v>
      </c>
      <c r="L2713" s="4">
        <v>0.85971099600135337</v>
      </c>
      <c r="M2713" s="4">
        <v>0.14028900399864661</v>
      </c>
      <c r="N2713">
        <v>7</v>
      </c>
    </row>
    <row r="2714" spans="1:14" x14ac:dyDescent="0.35">
      <c r="A2714" s="1">
        <v>3635</v>
      </c>
      <c r="B2714">
        <v>6</v>
      </c>
      <c r="C2714">
        <v>51</v>
      </c>
      <c r="D2714">
        <v>2</v>
      </c>
      <c r="E2714">
        <v>0</v>
      </c>
      <c r="F2714">
        <v>1</v>
      </c>
      <c r="G2714">
        <v>7</v>
      </c>
      <c r="H2714">
        <v>2</v>
      </c>
      <c r="I2714">
        <v>2200</v>
      </c>
      <c r="J2714">
        <v>9</v>
      </c>
      <c r="K2714">
        <v>0</v>
      </c>
      <c r="L2714" s="4">
        <v>0.85985029728460494</v>
      </c>
      <c r="M2714" s="4">
        <v>0.14014970271539501</v>
      </c>
      <c r="N2714">
        <v>7</v>
      </c>
    </row>
    <row r="2715" spans="1:14" x14ac:dyDescent="0.35">
      <c r="A2715" s="1">
        <v>2015</v>
      </c>
      <c r="B2715">
        <v>6</v>
      </c>
      <c r="C2715">
        <v>46</v>
      </c>
      <c r="D2715">
        <v>4</v>
      </c>
      <c r="E2715">
        <v>1</v>
      </c>
      <c r="F2715">
        <v>0</v>
      </c>
      <c r="G2715">
        <v>4</v>
      </c>
      <c r="H2715">
        <v>2</v>
      </c>
      <c r="I2715">
        <v>3300</v>
      </c>
      <c r="J2715">
        <v>9</v>
      </c>
      <c r="K2715">
        <v>0</v>
      </c>
      <c r="L2715" s="4">
        <v>0.85991616271917748</v>
      </c>
      <c r="M2715" s="4">
        <v>0.14008383728082249</v>
      </c>
      <c r="N2715">
        <v>7</v>
      </c>
    </row>
    <row r="2716" spans="1:14" x14ac:dyDescent="0.35">
      <c r="A2716" s="1">
        <v>59</v>
      </c>
      <c r="B2716">
        <v>7</v>
      </c>
      <c r="C2716">
        <v>54</v>
      </c>
      <c r="D2716">
        <v>3</v>
      </c>
      <c r="E2716">
        <v>0</v>
      </c>
      <c r="F2716">
        <v>1</v>
      </c>
      <c r="G2716">
        <v>5</v>
      </c>
      <c r="H2716">
        <v>3</v>
      </c>
      <c r="I2716">
        <v>0.01</v>
      </c>
      <c r="J2716">
        <v>8</v>
      </c>
      <c r="K2716">
        <v>0</v>
      </c>
      <c r="L2716" s="4">
        <v>0.85996707280784324</v>
      </c>
      <c r="M2716" s="4">
        <v>0.14003292719215671</v>
      </c>
      <c r="N2716">
        <v>7</v>
      </c>
    </row>
    <row r="2717" spans="1:14" x14ac:dyDescent="0.35">
      <c r="A2717" s="1">
        <v>2052</v>
      </c>
      <c r="B2717">
        <v>10</v>
      </c>
      <c r="C2717">
        <v>69</v>
      </c>
      <c r="D2717">
        <v>0</v>
      </c>
      <c r="E2717">
        <v>0</v>
      </c>
      <c r="F2717">
        <v>3</v>
      </c>
      <c r="G2717">
        <v>3</v>
      </c>
      <c r="H2717">
        <v>0</v>
      </c>
      <c r="I2717">
        <v>7500</v>
      </c>
      <c r="J2717">
        <v>3</v>
      </c>
      <c r="K2717">
        <v>1</v>
      </c>
      <c r="L2717" s="4">
        <v>0.86005442682442845</v>
      </c>
      <c r="M2717" s="4">
        <v>0.13994557317557149</v>
      </c>
      <c r="N2717">
        <v>7</v>
      </c>
    </row>
    <row r="2718" spans="1:14" x14ac:dyDescent="0.35">
      <c r="A2718" s="1">
        <v>1746</v>
      </c>
      <c r="B2718">
        <v>8</v>
      </c>
      <c r="C2718">
        <v>58</v>
      </c>
      <c r="D2718">
        <v>3</v>
      </c>
      <c r="E2718">
        <v>0</v>
      </c>
      <c r="F2718">
        <v>3</v>
      </c>
      <c r="G2718">
        <v>3</v>
      </c>
      <c r="H2718">
        <v>2</v>
      </c>
      <c r="I2718">
        <v>1000</v>
      </c>
      <c r="J2718">
        <v>5</v>
      </c>
      <c r="K2718">
        <v>0</v>
      </c>
      <c r="L2718" s="4">
        <v>0.86009724274635801</v>
      </c>
      <c r="M2718" s="4">
        <v>0.1399027572536419</v>
      </c>
      <c r="N2718">
        <v>7</v>
      </c>
    </row>
    <row r="2719" spans="1:14" x14ac:dyDescent="0.35">
      <c r="A2719" s="1">
        <v>2080</v>
      </c>
      <c r="B2719">
        <v>4</v>
      </c>
      <c r="C2719">
        <v>45</v>
      </c>
      <c r="D2719">
        <v>3</v>
      </c>
      <c r="E2719">
        <v>0</v>
      </c>
      <c r="F2719">
        <v>0</v>
      </c>
      <c r="G2719">
        <v>2</v>
      </c>
      <c r="H2719">
        <v>0</v>
      </c>
      <c r="I2719">
        <v>11000</v>
      </c>
      <c r="J2719">
        <v>2</v>
      </c>
      <c r="K2719">
        <v>0</v>
      </c>
      <c r="L2719" s="4">
        <v>0.86028535852671351</v>
      </c>
      <c r="M2719" s="4">
        <v>0.13971464147328649</v>
      </c>
      <c r="N2719">
        <v>7</v>
      </c>
    </row>
    <row r="2720" spans="1:14" x14ac:dyDescent="0.35">
      <c r="A2720" s="1">
        <v>779</v>
      </c>
      <c r="B2720">
        <v>5</v>
      </c>
      <c r="C2720">
        <v>43</v>
      </c>
      <c r="D2720">
        <v>2</v>
      </c>
      <c r="E2720">
        <v>1</v>
      </c>
      <c r="F2720">
        <v>3</v>
      </c>
      <c r="G2720">
        <v>3</v>
      </c>
      <c r="H2720">
        <v>0</v>
      </c>
      <c r="I2720">
        <v>6000</v>
      </c>
      <c r="J2720">
        <v>5</v>
      </c>
      <c r="K2720">
        <v>0</v>
      </c>
      <c r="L2720" s="4">
        <v>0.86029424718749503</v>
      </c>
      <c r="M2720" s="4">
        <v>0.139705752812505</v>
      </c>
      <c r="N2720">
        <v>7</v>
      </c>
    </row>
    <row r="2721" spans="1:14" x14ac:dyDescent="0.35">
      <c r="A2721" s="1">
        <v>201</v>
      </c>
      <c r="B2721">
        <v>10</v>
      </c>
      <c r="C2721">
        <v>62</v>
      </c>
      <c r="D2721">
        <v>1</v>
      </c>
      <c r="E2721">
        <v>1</v>
      </c>
      <c r="F2721">
        <v>0</v>
      </c>
      <c r="G2721">
        <v>11</v>
      </c>
      <c r="H2721">
        <v>3</v>
      </c>
      <c r="I2721">
        <v>0.01</v>
      </c>
      <c r="J2721">
        <v>4</v>
      </c>
      <c r="K2721">
        <v>1</v>
      </c>
      <c r="L2721" s="4">
        <v>0.86029945636315219</v>
      </c>
      <c r="M2721" s="4">
        <v>0.13970054363684781</v>
      </c>
      <c r="N2721">
        <v>7</v>
      </c>
    </row>
    <row r="2722" spans="1:14" x14ac:dyDescent="0.35">
      <c r="A2722" s="1">
        <v>4399</v>
      </c>
      <c r="B2722">
        <v>7</v>
      </c>
      <c r="C2722">
        <v>56</v>
      </c>
      <c r="D2722">
        <v>2</v>
      </c>
      <c r="E2722">
        <v>0</v>
      </c>
      <c r="F2722">
        <v>0</v>
      </c>
      <c r="G2722">
        <v>2</v>
      </c>
      <c r="H2722">
        <v>2</v>
      </c>
      <c r="I2722">
        <v>1000</v>
      </c>
      <c r="J2722">
        <v>8</v>
      </c>
      <c r="K2722">
        <v>0</v>
      </c>
      <c r="L2722" s="4">
        <v>0.86039151710240636</v>
      </c>
      <c r="M2722" s="4">
        <v>0.1396084828975937</v>
      </c>
      <c r="N2722">
        <v>7</v>
      </c>
    </row>
    <row r="2723" spans="1:14" x14ac:dyDescent="0.35">
      <c r="A2723" s="1">
        <v>1817</v>
      </c>
      <c r="B2723">
        <v>9</v>
      </c>
      <c r="C2723">
        <v>62</v>
      </c>
      <c r="D2723">
        <v>3</v>
      </c>
      <c r="E2723">
        <v>0</v>
      </c>
      <c r="F2723">
        <v>1</v>
      </c>
      <c r="G2723">
        <v>7</v>
      </c>
      <c r="H2723">
        <v>3</v>
      </c>
      <c r="I2723">
        <v>0.01</v>
      </c>
      <c r="J2723">
        <v>9</v>
      </c>
      <c r="K2723">
        <v>0</v>
      </c>
      <c r="L2723" s="4">
        <v>0.86040608647193428</v>
      </c>
      <c r="M2723" s="4">
        <v>0.13959391352806569</v>
      </c>
      <c r="N2723">
        <v>7</v>
      </c>
    </row>
    <row r="2724" spans="1:14" x14ac:dyDescent="0.35">
      <c r="A2724" s="1">
        <v>997</v>
      </c>
      <c r="B2724">
        <v>7</v>
      </c>
      <c r="C2724">
        <v>55</v>
      </c>
      <c r="D2724">
        <v>1</v>
      </c>
      <c r="E2724">
        <v>0</v>
      </c>
      <c r="F2724">
        <v>3</v>
      </c>
      <c r="G2724">
        <v>3</v>
      </c>
      <c r="H2724">
        <v>2</v>
      </c>
      <c r="I2724">
        <v>3000.01</v>
      </c>
      <c r="J2724">
        <v>8</v>
      </c>
      <c r="K2724">
        <v>0</v>
      </c>
      <c r="L2724" s="4">
        <v>0.86051939321498183</v>
      </c>
      <c r="M2724" s="4">
        <v>0.13948060678501811</v>
      </c>
      <c r="N2724">
        <v>7</v>
      </c>
    </row>
    <row r="2725" spans="1:14" x14ac:dyDescent="0.35">
      <c r="A2725" s="1">
        <v>2646</v>
      </c>
      <c r="B2725">
        <v>11</v>
      </c>
      <c r="C2725">
        <v>65</v>
      </c>
      <c r="D2725">
        <v>3</v>
      </c>
      <c r="E2725">
        <v>1</v>
      </c>
      <c r="F2725">
        <v>1</v>
      </c>
      <c r="G2725">
        <v>12</v>
      </c>
      <c r="H2725">
        <v>3</v>
      </c>
      <c r="I2725">
        <v>0.01</v>
      </c>
      <c r="J2725">
        <v>20</v>
      </c>
      <c r="K2725">
        <v>0</v>
      </c>
      <c r="L2725" s="4">
        <v>0.86063117076802742</v>
      </c>
      <c r="M2725" s="4">
        <v>0.13936882923197261</v>
      </c>
      <c r="N2725">
        <v>7</v>
      </c>
    </row>
    <row r="2726" spans="1:14" x14ac:dyDescent="0.35">
      <c r="A2726" s="1">
        <v>437</v>
      </c>
      <c r="B2726">
        <v>7</v>
      </c>
      <c r="C2726">
        <v>50</v>
      </c>
      <c r="D2726">
        <v>3</v>
      </c>
      <c r="E2726">
        <v>1</v>
      </c>
      <c r="F2726">
        <v>0</v>
      </c>
      <c r="G2726">
        <v>11</v>
      </c>
      <c r="H2726">
        <v>2</v>
      </c>
      <c r="I2726">
        <v>3000</v>
      </c>
      <c r="J2726">
        <v>11</v>
      </c>
      <c r="K2726">
        <v>0</v>
      </c>
      <c r="L2726" s="4">
        <v>0.86075908663750222</v>
      </c>
      <c r="M2726" s="4">
        <v>0.1392409133624978</v>
      </c>
      <c r="N2726">
        <v>7</v>
      </c>
    </row>
    <row r="2727" spans="1:14" x14ac:dyDescent="0.35">
      <c r="A2727" s="1">
        <v>242</v>
      </c>
      <c r="B2727">
        <v>11</v>
      </c>
      <c r="C2727">
        <v>70</v>
      </c>
      <c r="D2727">
        <v>2</v>
      </c>
      <c r="E2727">
        <v>0</v>
      </c>
      <c r="F2727">
        <v>3</v>
      </c>
      <c r="G2727">
        <v>3</v>
      </c>
      <c r="H2727">
        <v>3</v>
      </c>
      <c r="I2727">
        <v>0.01</v>
      </c>
      <c r="J2727">
        <v>8</v>
      </c>
      <c r="K2727">
        <v>0</v>
      </c>
      <c r="L2727" s="4">
        <v>0.8608655480268127</v>
      </c>
      <c r="M2727" s="4">
        <v>0.1391344519731873</v>
      </c>
      <c r="N2727">
        <v>7</v>
      </c>
    </row>
    <row r="2728" spans="1:14" x14ac:dyDescent="0.35">
      <c r="A2728" s="1">
        <v>3790</v>
      </c>
      <c r="B2728">
        <v>11</v>
      </c>
      <c r="C2728">
        <v>71</v>
      </c>
      <c r="D2728">
        <v>2</v>
      </c>
      <c r="E2728">
        <v>0</v>
      </c>
      <c r="F2728">
        <v>2</v>
      </c>
      <c r="G2728">
        <v>6</v>
      </c>
      <c r="H2728">
        <v>2</v>
      </c>
      <c r="I2728">
        <v>960</v>
      </c>
      <c r="J2728">
        <v>10</v>
      </c>
      <c r="K2728">
        <v>0</v>
      </c>
      <c r="L2728" s="4">
        <v>0.8608762070494872</v>
      </c>
      <c r="M2728" s="4">
        <v>0.1391237929505128</v>
      </c>
      <c r="N2728">
        <v>7</v>
      </c>
    </row>
    <row r="2729" spans="1:14" x14ac:dyDescent="0.35">
      <c r="A2729" s="1">
        <v>3497</v>
      </c>
      <c r="B2729">
        <v>8</v>
      </c>
      <c r="C2729">
        <v>52</v>
      </c>
      <c r="D2729">
        <v>4</v>
      </c>
      <c r="E2729">
        <v>1</v>
      </c>
      <c r="F2729">
        <v>3</v>
      </c>
      <c r="G2729">
        <v>3</v>
      </c>
      <c r="H2729">
        <v>3</v>
      </c>
      <c r="I2729">
        <v>0.01</v>
      </c>
      <c r="J2729">
        <v>4</v>
      </c>
      <c r="K2729">
        <v>0</v>
      </c>
      <c r="L2729" s="4">
        <v>0.8610144782266298</v>
      </c>
      <c r="M2729" s="4">
        <v>0.1389855217733702</v>
      </c>
      <c r="N2729">
        <v>7</v>
      </c>
    </row>
    <row r="2730" spans="1:14" x14ac:dyDescent="0.35">
      <c r="A2730" s="1">
        <v>1550</v>
      </c>
      <c r="B2730">
        <v>10</v>
      </c>
      <c r="C2730">
        <v>64</v>
      </c>
      <c r="D2730">
        <v>4</v>
      </c>
      <c r="E2730">
        <v>1</v>
      </c>
      <c r="F2730">
        <v>0</v>
      </c>
      <c r="G2730">
        <v>2</v>
      </c>
      <c r="H2730">
        <v>0</v>
      </c>
      <c r="I2730">
        <v>6000</v>
      </c>
      <c r="J2730">
        <v>5</v>
      </c>
      <c r="K2730">
        <v>0</v>
      </c>
      <c r="L2730" s="4">
        <v>0.86112223591885684</v>
      </c>
      <c r="M2730" s="4">
        <v>0.13887776408114319</v>
      </c>
      <c r="N2730">
        <v>7</v>
      </c>
    </row>
    <row r="2731" spans="1:14" x14ac:dyDescent="0.35">
      <c r="A2731" s="1">
        <v>1158</v>
      </c>
      <c r="B2731">
        <v>6</v>
      </c>
      <c r="C2731">
        <v>45</v>
      </c>
      <c r="D2731">
        <v>5</v>
      </c>
      <c r="E2731">
        <v>1</v>
      </c>
      <c r="F2731">
        <v>0</v>
      </c>
      <c r="G2731">
        <v>2</v>
      </c>
      <c r="H2731">
        <v>3</v>
      </c>
      <c r="I2731">
        <v>0.01</v>
      </c>
      <c r="J2731">
        <v>4</v>
      </c>
      <c r="K2731">
        <v>0</v>
      </c>
      <c r="L2731" s="4">
        <v>0.86122448062075618</v>
      </c>
      <c r="M2731" s="4">
        <v>0.13877551937924379</v>
      </c>
      <c r="N2731">
        <v>7</v>
      </c>
    </row>
    <row r="2732" spans="1:14" x14ac:dyDescent="0.35">
      <c r="A2732" s="1">
        <v>4386</v>
      </c>
      <c r="B2732">
        <v>9</v>
      </c>
      <c r="C2732">
        <v>63</v>
      </c>
      <c r="D2732">
        <v>5</v>
      </c>
      <c r="E2732">
        <v>0</v>
      </c>
      <c r="F2732">
        <v>0</v>
      </c>
      <c r="G2732">
        <v>2</v>
      </c>
      <c r="H2732">
        <v>2</v>
      </c>
      <c r="I2732">
        <v>1250</v>
      </c>
      <c r="J2732">
        <v>12</v>
      </c>
      <c r="K2732">
        <v>0</v>
      </c>
      <c r="L2732" s="4">
        <v>0.86124782484540263</v>
      </c>
      <c r="M2732" s="4">
        <v>0.1387521751545974</v>
      </c>
      <c r="N2732">
        <v>7</v>
      </c>
    </row>
    <row r="2733" spans="1:14" x14ac:dyDescent="0.35">
      <c r="A2733" s="1">
        <v>2323</v>
      </c>
      <c r="B2733">
        <v>9</v>
      </c>
      <c r="C2733">
        <v>64</v>
      </c>
      <c r="D2733">
        <v>2</v>
      </c>
      <c r="E2733">
        <v>0</v>
      </c>
      <c r="F2733">
        <v>3</v>
      </c>
      <c r="G2733">
        <v>3</v>
      </c>
      <c r="H2733">
        <v>1</v>
      </c>
      <c r="I2733">
        <v>24078.34</v>
      </c>
      <c r="J2733">
        <v>4</v>
      </c>
      <c r="K2733">
        <v>0</v>
      </c>
      <c r="L2733" s="4">
        <v>0.86142899302166276</v>
      </c>
      <c r="M2733" s="4">
        <v>0.13857100697833721</v>
      </c>
      <c r="N2733">
        <v>7</v>
      </c>
    </row>
    <row r="2734" spans="1:14" x14ac:dyDescent="0.35">
      <c r="A2734" s="1">
        <v>3706</v>
      </c>
      <c r="B2734">
        <v>10</v>
      </c>
      <c r="C2734">
        <v>62</v>
      </c>
      <c r="D2734">
        <v>5</v>
      </c>
      <c r="E2734">
        <v>1</v>
      </c>
      <c r="F2734">
        <v>0</v>
      </c>
      <c r="G2734">
        <v>2</v>
      </c>
      <c r="H2734">
        <v>2</v>
      </c>
      <c r="I2734">
        <v>2038.76</v>
      </c>
      <c r="J2734">
        <v>3</v>
      </c>
      <c r="K2734">
        <v>0</v>
      </c>
      <c r="L2734" s="4">
        <v>0.86147234241163995</v>
      </c>
      <c r="M2734" s="4">
        <v>0.13852765758836011</v>
      </c>
      <c r="N2734">
        <v>7</v>
      </c>
    </row>
    <row r="2735" spans="1:14" x14ac:dyDescent="0.35">
      <c r="A2735" s="1">
        <v>3300</v>
      </c>
      <c r="B2735">
        <v>9</v>
      </c>
      <c r="C2735">
        <v>55</v>
      </c>
      <c r="D2735">
        <v>1</v>
      </c>
      <c r="E2735">
        <v>2</v>
      </c>
      <c r="F2735">
        <v>3</v>
      </c>
      <c r="G2735">
        <v>3</v>
      </c>
      <c r="H2735">
        <v>0</v>
      </c>
      <c r="I2735">
        <v>9800</v>
      </c>
      <c r="J2735">
        <v>5</v>
      </c>
      <c r="K2735">
        <v>0</v>
      </c>
      <c r="L2735" s="4">
        <v>0.86152385224761963</v>
      </c>
      <c r="M2735" s="4">
        <v>0.13847614775238029</v>
      </c>
      <c r="N2735">
        <v>7</v>
      </c>
    </row>
    <row r="2736" spans="1:14" x14ac:dyDescent="0.35">
      <c r="A2736" s="1">
        <v>3324</v>
      </c>
      <c r="B2736">
        <v>11</v>
      </c>
      <c r="C2736">
        <v>69</v>
      </c>
      <c r="D2736">
        <v>1</v>
      </c>
      <c r="E2736">
        <v>1</v>
      </c>
      <c r="F2736">
        <v>0</v>
      </c>
      <c r="G2736">
        <v>11</v>
      </c>
      <c r="H2736">
        <v>0</v>
      </c>
      <c r="I2736">
        <v>12000</v>
      </c>
      <c r="J2736">
        <v>16</v>
      </c>
      <c r="K2736">
        <v>1</v>
      </c>
      <c r="L2736" s="4">
        <v>0.86158159264859235</v>
      </c>
      <c r="M2736" s="4">
        <v>0.1384184073514077</v>
      </c>
      <c r="N2736">
        <v>7</v>
      </c>
    </row>
    <row r="2737" spans="1:14" x14ac:dyDescent="0.35">
      <c r="A2737" s="1">
        <v>3522</v>
      </c>
      <c r="B2737">
        <v>6</v>
      </c>
      <c r="C2737">
        <v>51</v>
      </c>
      <c r="D2737">
        <v>1</v>
      </c>
      <c r="E2737">
        <v>0</v>
      </c>
      <c r="F2737">
        <v>3</v>
      </c>
      <c r="G2737">
        <v>3</v>
      </c>
      <c r="H2737">
        <v>2</v>
      </c>
      <c r="I2737">
        <v>4000</v>
      </c>
      <c r="J2737">
        <v>2</v>
      </c>
      <c r="K2737">
        <v>0</v>
      </c>
      <c r="L2737" s="4">
        <v>0.86161053762945827</v>
      </c>
      <c r="M2737" s="4">
        <v>0.1383894623705417</v>
      </c>
      <c r="N2737">
        <v>7</v>
      </c>
    </row>
    <row r="2738" spans="1:14" x14ac:dyDescent="0.35">
      <c r="A2738" s="1">
        <v>2955</v>
      </c>
      <c r="B2738">
        <v>7</v>
      </c>
      <c r="C2738">
        <v>56</v>
      </c>
      <c r="D2738">
        <v>3</v>
      </c>
      <c r="E2738">
        <v>0</v>
      </c>
      <c r="F2738">
        <v>3</v>
      </c>
      <c r="G2738">
        <v>3</v>
      </c>
      <c r="H2738">
        <v>0</v>
      </c>
      <c r="I2738">
        <v>12053.37</v>
      </c>
      <c r="J2738">
        <v>8</v>
      </c>
      <c r="K2738">
        <v>0</v>
      </c>
      <c r="L2738" s="4">
        <v>0.8617354253368501</v>
      </c>
      <c r="M2738" s="4">
        <v>0.1382645746631499</v>
      </c>
      <c r="N2738">
        <v>7</v>
      </c>
    </row>
    <row r="2739" spans="1:14" x14ac:dyDescent="0.35">
      <c r="A2739" s="1">
        <v>926</v>
      </c>
      <c r="B2739">
        <v>5</v>
      </c>
      <c r="C2739">
        <v>44</v>
      </c>
      <c r="D2739">
        <v>5</v>
      </c>
      <c r="E2739">
        <v>0</v>
      </c>
      <c r="F2739">
        <v>3</v>
      </c>
      <c r="G2739">
        <v>8</v>
      </c>
      <c r="H2739">
        <v>3</v>
      </c>
      <c r="I2739">
        <v>0.01</v>
      </c>
      <c r="J2739">
        <v>5</v>
      </c>
      <c r="K2739">
        <v>0</v>
      </c>
      <c r="L2739" s="4">
        <v>0.86182017080766671</v>
      </c>
      <c r="M2739" s="4">
        <v>0.13817982919233329</v>
      </c>
      <c r="N2739">
        <v>7</v>
      </c>
    </row>
    <row r="2740" spans="1:14" x14ac:dyDescent="0.35">
      <c r="A2740" s="1">
        <v>3307</v>
      </c>
      <c r="B2740">
        <v>10</v>
      </c>
      <c r="C2740">
        <v>63</v>
      </c>
      <c r="D2740">
        <v>0</v>
      </c>
      <c r="E2740">
        <v>1</v>
      </c>
      <c r="F2740">
        <v>1</v>
      </c>
      <c r="G2740">
        <v>12</v>
      </c>
      <c r="H2740">
        <v>2</v>
      </c>
      <c r="I2740">
        <v>3000</v>
      </c>
      <c r="J2740">
        <v>7</v>
      </c>
      <c r="K2740">
        <v>0</v>
      </c>
      <c r="L2740" s="4">
        <v>0.86210260571265196</v>
      </c>
      <c r="M2740" s="4">
        <v>0.13789739428734801</v>
      </c>
      <c r="N2740">
        <v>7</v>
      </c>
    </row>
    <row r="2741" spans="1:14" x14ac:dyDescent="0.35">
      <c r="A2741" s="1">
        <v>4266</v>
      </c>
      <c r="B2741">
        <v>6</v>
      </c>
      <c r="C2741">
        <v>51</v>
      </c>
      <c r="D2741">
        <v>3</v>
      </c>
      <c r="E2741">
        <v>0</v>
      </c>
      <c r="F2741">
        <v>0</v>
      </c>
      <c r="G2741">
        <v>2</v>
      </c>
      <c r="H2741">
        <v>3</v>
      </c>
      <c r="I2741">
        <v>0.01</v>
      </c>
      <c r="J2741">
        <v>8</v>
      </c>
      <c r="K2741">
        <v>0</v>
      </c>
      <c r="L2741" s="4">
        <v>0.86215661404829658</v>
      </c>
      <c r="M2741" s="4">
        <v>0.13784338595170351</v>
      </c>
      <c r="N2741">
        <v>7</v>
      </c>
    </row>
    <row r="2742" spans="1:14" x14ac:dyDescent="0.35">
      <c r="A2742" s="1">
        <v>2208</v>
      </c>
      <c r="B2742">
        <v>4</v>
      </c>
      <c r="C2742">
        <v>38</v>
      </c>
      <c r="D2742">
        <v>5</v>
      </c>
      <c r="E2742">
        <v>1</v>
      </c>
      <c r="F2742">
        <v>3</v>
      </c>
      <c r="G2742">
        <v>3</v>
      </c>
      <c r="H2742">
        <v>0</v>
      </c>
      <c r="I2742">
        <v>9107.64</v>
      </c>
      <c r="J2742">
        <v>5</v>
      </c>
      <c r="K2742">
        <v>0</v>
      </c>
      <c r="L2742" s="4">
        <v>0.86229508313702097</v>
      </c>
      <c r="M2742" s="4">
        <v>0.137704916862979</v>
      </c>
      <c r="N2742">
        <v>7</v>
      </c>
    </row>
    <row r="2743" spans="1:14" x14ac:dyDescent="0.35">
      <c r="A2743" s="1">
        <v>1855</v>
      </c>
      <c r="B2743">
        <v>7</v>
      </c>
      <c r="C2743">
        <v>54</v>
      </c>
      <c r="D2743">
        <v>2</v>
      </c>
      <c r="E2743">
        <v>0</v>
      </c>
      <c r="F2743">
        <v>3</v>
      </c>
      <c r="G2743">
        <v>3</v>
      </c>
      <c r="H2743">
        <v>3</v>
      </c>
      <c r="I2743">
        <v>0.01</v>
      </c>
      <c r="J2743">
        <v>8</v>
      </c>
      <c r="K2743">
        <v>0</v>
      </c>
      <c r="L2743" s="4">
        <v>0.86230697115235588</v>
      </c>
      <c r="M2743" s="4">
        <v>0.13769302884764409</v>
      </c>
      <c r="N2743">
        <v>7</v>
      </c>
    </row>
    <row r="2744" spans="1:14" x14ac:dyDescent="0.35">
      <c r="A2744" s="1">
        <v>330</v>
      </c>
      <c r="B2744">
        <v>7</v>
      </c>
      <c r="C2744">
        <v>51</v>
      </c>
      <c r="D2744">
        <v>2</v>
      </c>
      <c r="E2744">
        <v>1</v>
      </c>
      <c r="F2744">
        <v>3</v>
      </c>
      <c r="G2744">
        <v>8</v>
      </c>
      <c r="H2744">
        <v>0</v>
      </c>
      <c r="I2744">
        <v>12000</v>
      </c>
      <c r="J2744">
        <v>1</v>
      </c>
      <c r="K2744">
        <v>0</v>
      </c>
      <c r="L2744" s="4">
        <v>0.8623103036449713</v>
      </c>
      <c r="M2744" s="4">
        <v>0.1376896963550287</v>
      </c>
      <c r="N2744">
        <v>7</v>
      </c>
    </row>
    <row r="2745" spans="1:14" x14ac:dyDescent="0.35">
      <c r="A2745" s="1">
        <v>2911</v>
      </c>
      <c r="B2745">
        <v>7</v>
      </c>
      <c r="C2745">
        <v>53</v>
      </c>
      <c r="D2745">
        <v>5</v>
      </c>
      <c r="E2745">
        <v>0</v>
      </c>
      <c r="F2745">
        <v>3</v>
      </c>
      <c r="G2745">
        <v>8</v>
      </c>
      <c r="H2745">
        <v>2</v>
      </c>
      <c r="I2745">
        <v>5000</v>
      </c>
      <c r="J2745">
        <v>3</v>
      </c>
      <c r="K2745">
        <v>0</v>
      </c>
      <c r="L2745" s="4">
        <v>0.86237093498129191</v>
      </c>
      <c r="M2745" s="4">
        <v>0.13762906501870811</v>
      </c>
      <c r="N2745">
        <v>7</v>
      </c>
    </row>
    <row r="2746" spans="1:14" x14ac:dyDescent="0.35">
      <c r="A2746" s="1">
        <v>3021</v>
      </c>
      <c r="B2746">
        <v>6</v>
      </c>
      <c r="C2746">
        <v>51</v>
      </c>
      <c r="D2746">
        <v>5</v>
      </c>
      <c r="E2746">
        <v>0</v>
      </c>
      <c r="F2746">
        <v>0</v>
      </c>
      <c r="G2746">
        <v>2</v>
      </c>
      <c r="H2746">
        <v>2</v>
      </c>
      <c r="I2746">
        <v>3700</v>
      </c>
      <c r="J2746">
        <v>8</v>
      </c>
      <c r="K2746">
        <v>0</v>
      </c>
      <c r="L2746" s="4">
        <v>0.86246910925281051</v>
      </c>
      <c r="M2746" s="4">
        <v>0.13753089074718941</v>
      </c>
      <c r="N2746">
        <v>7</v>
      </c>
    </row>
    <row r="2747" spans="1:14" x14ac:dyDescent="0.35">
      <c r="A2747" s="1">
        <v>1042</v>
      </c>
      <c r="B2747">
        <v>10</v>
      </c>
      <c r="C2747">
        <v>69</v>
      </c>
      <c r="D2747">
        <v>1</v>
      </c>
      <c r="E2747">
        <v>0</v>
      </c>
      <c r="F2747">
        <v>3</v>
      </c>
      <c r="G2747">
        <v>3</v>
      </c>
      <c r="H2747">
        <v>0</v>
      </c>
      <c r="I2747">
        <v>6100</v>
      </c>
      <c r="J2747">
        <v>9</v>
      </c>
      <c r="K2747">
        <v>0</v>
      </c>
      <c r="L2747" s="4">
        <v>0.86254490612721602</v>
      </c>
      <c r="M2747" s="4">
        <v>0.13745509387278401</v>
      </c>
      <c r="N2747">
        <v>7</v>
      </c>
    </row>
    <row r="2748" spans="1:14" x14ac:dyDescent="0.35">
      <c r="A2748" s="1">
        <v>2213</v>
      </c>
      <c r="B2748">
        <v>8</v>
      </c>
      <c r="C2748">
        <v>58</v>
      </c>
      <c r="D2748">
        <v>2</v>
      </c>
      <c r="E2748">
        <v>0</v>
      </c>
      <c r="F2748">
        <v>3</v>
      </c>
      <c r="G2748">
        <v>3</v>
      </c>
      <c r="H2748">
        <v>3</v>
      </c>
      <c r="I2748">
        <v>0.01</v>
      </c>
      <c r="J2748">
        <v>4</v>
      </c>
      <c r="K2748">
        <v>0</v>
      </c>
      <c r="L2748" s="4">
        <v>0.86255831568642538</v>
      </c>
      <c r="M2748" s="4">
        <v>0.13744168431357459</v>
      </c>
      <c r="N2748">
        <v>7</v>
      </c>
    </row>
    <row r="2749" spans="1:14" x14ac:dyDescent="0.35">
      <c r="A2749" s="1">
        <v>3651</v>
      </c>
      <c r="B2749">
        <v>6</v>
      </c>
      <c r="C2749">
        <v>51</v>
      </c>
      <c r="D2749">
        <v>3</v>
      </c>
      <c r="E2749">
        <v>0</v>
      </c>
      <c r="F2749">
        <v>0</v>
      </c>
      <c r="G2749">
        <v>2</v>
      </c>
      <c r="H2749">
        <v>3</v>
      </c>
      <c r="I2749">
        <v>0.01</v>
      </c>
      <c r="J2749">
        <v>5</v>
      </c>
      <c r="K2749">
        <v>0</v>
      </c>
      <c r="L2749" s="4">
        <v>0.86261413437676882</v>
      </c>
      <c r="M2749" s="4">
        <v>0.13738586562323121</v>
      </c>
      <c r="N2749">
        <v>7</v>
      </c>
    </row>
    <row r="2750" spans="1:14" x14ac:dyDescent="0.35">
      <c r="A2750" s="1">
        <v>3219</v>
      </c>
      <c r="B2750">
        <v>6</v>
      </c>
      <c r="C2750">
        <v>52</v>
      </c>
      <c r="D2750">
        <v>1</v>
      </c>
      <c r="E2750">
        <v>0</v>
      </c>
      <c r="F2750">
        <v>1</v>
      </c>
      <c r="G2750">
        <v>5</v>
      </c>
      <c r="H2750">
        <v>2</v>
      </c>
      <c r="I2750">
        <v>1200</v>
      </c>
      <c r="J2750">
        <v>10</v>
      </c>
      <c r="K2750">
        <v>0</v>
      </c>
      <c r="L2750" s="4">
        <v>0.86262498759926054</v>
      </c>
      <c r="M2750" s="4">
        <v>0.13737501240073949</v>
      </c>
      <c r="N2750">
        <v>7</v>
      </c>
    </row>
    <row r="2751" spans="1:14" x14ac:dyDescent="0.35">
      <c r="A2751" s="1">
        <v>3856</v>
      </c>
      <c r="B2751">
        <v>7</v>
      </c>
      <c r="C2751">
        <v>45</v>
      </c>
      <c r="D2751">
        <v>2</v>
      </c>
      <c r="E2751">
        <v>2</v>
      </c>
      <c r="F2751">
        <v>3</v>
      </c>
      <c r="G2751">
        <v>3</v>
      </c>
      <c r="H2751">
        <v>2</v>
      </c>
      <c r="I2751">
        <v>1000</v>
      </c>
      <c r="J2751">
        <v>8</v>
      </c>
      <c r="K2751">
        <v>0</v>
      </c>
      <c r="L2751" s="4">
        <v>0.86275343382570446</v>
      </c>
      <c r="M2751" s="4">
        <v>0.13724656617429551</v>
      </c>
      <c r="N2751">
        <v>7</v>
      </c>
    </row>
    <row r="2752" spans="1:14" x14ac:dyDescent="0.35">
      <c r="A2752" s="1">
        <v>275</v>
      </c>
      <c r="B2752">
        <v>8</v>
      </c>
      <c r="C2752">
        <v>56</v>
      </c>
      <c r="D2752">
        <v>3</v>
      </c>
      <c r="E2752">
        <v>1</v>
      </c>
      <c r="F2752">
        <v>1</v>
      </c>
      <c r="G2752">
        <v>5</v>
      </c>
      <c r="H2752">
        <v>0</v>
      </c>
      <c r="I2752">
        <v>6000</v>
      </c>
      <c r="J2752">
        <v>13</v>
      </c>
      <c r="K2752">
        <v>0</v>
      </c>
      <c r="L2752" s="4">
        <v>0.86282991136479259</v>
      </c>
      <c r="M2752" s="4">
        <v>0.13717008863520741</v>
      </c>
      <c r="N2752">
        <v>7</v>
      </c>
    </row>
    <row r="2753" spans="1:14" x14ac:dyDescent="0.35">
      <c r="A2753" s="1">
        <v>3192</v>
      </c>
      <c r="B2753">
        <v>9</v>
      </c>
      <c r="C2753">
        <v>65</v>
      </c>
      <c r="D2753">
        <v>1</v>
      </c>
      <c r="E2753">
        <v>0</v>
      </c>
      <c r="F2753">
        <v>3</v>
      </c>
      <c r="G2753">
        <v>3</v>
      </c>
      <c r="H2753">
        <v>0</v>
      </c>
      <c r="I2753">
        <v>10000</v>
      </c>
      <c r="J2753">
        <v>4</v>
      </c>
      <c r="K2753">
        <v>0</v>
      </c>
      <c r="L2753" s="4">
        <v>0.86291950835731279</v>
      </c>
      <c r="M2753" s="4">
        <v>0.13708049164268721</v>
      </c>
      <c r="N2753">
        <v>7</v>
      </c>
    </row>
    <row r="2754" spans="1:14" x14ac:dyDescent="0.35">
      <c r="A2754" s="1">
        <v>2306</v>
      </c>
      <c r="B2754">
        <v>8</v>
      </c>
      <c r="C2754">
        <v>60</v>
      </c>
      <c r="D2754">
        <v>3</v>
      </c>
      <c r="E2754">
        <v>0</v>
      </c>
      <c r="F2754">
        <v>3</v>
      </c>
      <c r="G2754">
        <v>3</v>
      </c>
      <c r="H2754">
        <v>0</v>
      </c>
      <c r="I2754">
        <v>6000</v>
      </c>
      <c r="J2754">
        <v>5</v>
      </c>
      <c r="K2754">
        <v>0</v>
      </c>
      <c r="L2754" s="4">
        <v>0.86299200250621033</v>
      </c>
      <c r="M2754" s="4">
        <v>0.13700799749378961</v>
      </c>
      <c r="N2754">
        <v>7</v>
      </c>
    </row>
    <row r="2755" spans="1:14" x14ac:dyDescent="0.35">
      <c r="A2755" s="1">
        <v>282</v>
      </c>
      <c r="B2755">
        <v>12</v>
      </c>
      <c r="C2755">
        <v>66</v>
      </c>
      <c r="D2755">
        <v>4</v>
      </c>
      <c r="E2755">
        <v>2</v>
      </c>
      <c r="F2755">
        <v>3</v>
      </c>
      <c r="G2755">
        <v>3</v>
      </c>
      <c r="H2755">
        <v>0</v>
      </c>
      <c r="I2755">
        <v>6052.66</v>
      </c>
      <c r="J2755">
        <v>7</v>
      </c>
      <c r="K2755">
        <v>0</v>
      </c>
      <c r="L2755" s="4">
        <v>0.86308359553883562</v>
      </c>
      <c r="M2755" s="4">
        <v>0.1369164044611644</v>
      </c>
      <c r="N2755">
        <v>7</v>
      </c>
    </row>
    <row r="2756" spans="1:14" x14ac:dyDescent="0.35">
      <c r="A2756" s="1">
        <v>1967</v>
      </c>
      <c r="B2756">
        <v>7</v>
      </c>
      <c r="C2756">
        <v>57</v>
      </c>
      <c r="D2756">
        <v>2</v>
      </c>
      <c r="E2756">
        <v>0</v>
      </c>
      <c r="F2756">
        <v>1</v>
      </c>
      <c r="G2756">
        <v>7</v>
      </c>
      <c r="H2756">
        <v>0</v>
      </c>
      <c r="I2756">
        <v>5800</v>
      </c>
      <c r="J2756">
        <v>6</v>
      </c>
      <c r="K2756">
        <v>0</v>
      </c>
      <c r="L2756" s="4">
        <v>0.86311474051108017</v>
      </c>
      <c r="M2756" s="4">
        <v>0.1368852594889198</v>
      </c>
      <c r="N2756">
        <v>7</v>
      </c>
    </row>
    <row r="2757" spans="1:14" x14ac:dyDescent="0.35">
      <c r="A2757" s="1">
        <v>654</v>
      </c>
      <c r="B2757">
        <v>6</v>
      </c>
      <c r="C2757">
        <v>50</v>
      </c>
      <c r="D2757">
        <v>2</v>
      </c>
      <c r="E2757">
        <v>0</v>
      </c>
      <c r="F2757">
        <v>3</v>
      </c>
      <c r="G2757">
        <v>3</v>
      </c>
      <c r="H2757">
        <v>3</v>
      </c>
      <c r="I2757">
        <v>0.01</v>
      </c>
      <c r="J2757">
        <v>5</v>
      </c>
      <c r="K2757">
        <v>0</v>
      </c>
      <c r="L2757" s="4">
        <v>0.86312146043703364</v>
      </c>
      <c r="M2757" s="4">
        <v>0.13687853956296631</v>
      </c>
      <c r="N2757">
        <v>7</v>
      </c>
    </row>
    <row r="2758" spans="1:14" x14ac:dyDescent="0.35">
      <c r="A2758" s="1">
        <v>2929</v>
      </c>
      <c r="B2758">
        <v>8</v>
      </c>
      <c r="C2758">
        <v>59</v>
      </c>
      <c r="D2758">
        <v>3</v>
      </c>
      <c r="E2758">
        <v>0</v>
      </c>
      <c r="F2758">
        <v>0</v>
      </c>
      <c r="G2758">
        <v>4</v>
      </c>
      <c r="H2758">
        <v>3</v>
      </c>
      <c r="I2758">
        <v>0.01</v>
      </c>
      <c r="J2758">
        <v>5</v>
      </c>
      <c r="K2758">
        <v>0</v>
      </c>
      <c r="L2758" s="4">
        <v>0.86319799095571992</v>
      </c>
      <c r="M2758" s="4">
        <v>0.13680200904428011</v>
      </c>
      <c r="N2758">
        <v>7</v>
      </c>
    </row>
    <row r="2759" spans="1:14" x14ac:dyDescent="0.35">
      <c r="A2759" s="1">
        <v>4042</v>
      </c>
      <c r="B2759">
        <v>9</v>
      </c>
      <c r="C2759">
        <v>65</v>
      </c>
      <c r="D2759">
        <v>1</v>
      </c>
      <c r="E2759">
        <v>0</v>
      </c>
      <c r="F2759">
        <v>3</v>
      </c>
      <c r="G2759">
        <v>3</v>
      </c>
      <c r="H2759">
        <v>0</v>
      </c>
      <c r="I2759">
        <v>6053.35</v>
      </c>
      <c r="J2759">
        <v>7</v>
      </c>
      <c r="K2759">
        <v>0</v>
      </c>
      <c r="L2759" s="4">
        <v>0.86321541583770767</v>
      </c>
      <c r="M2759" s="4">
        <v>0.13678458416229239</v>
      </c>
      <c r="N2759">
        <v>7</v>
      </c>
    </row>
    <row r="2760" spans="1:14" x14ac:dyDescent="0.35">
      <c r="A2760" s="1">
        <v>2056</v>
      </c>
      <c r="B2760">
        <v>6</v>
      </c>
      <c r="C2760">
        <v>51</v>
      </c>
      <c r="D2760">
        <v>5</v>
      </c>
      <c r="E2760">
        <v>0</v>
      </c>
      <c r="F2760">
        <v>3</v>
      </c>
      <c r="G2760">
        <v>3</v>
      </c>
      <c r="H2760">
        <v>0</v>
      </c>
      <c r="I2760">
        <v>6000</v>
      </c>
      <c r="J2760">
        <v>2</v>
      </c>
      <c r="K2760">
        <v>0</v>
      </c>
      <c r="L2760" s="4">
        <v>0.86326726139634635</v>
      </c>
      <c r="M2760" s="4">
        <v>0.1367327386036537</v>
      </c>
      <c r="N2760">
        <v>7</v>
      </c>
    </row>
    <row r="2761" spans="1:14" x14ac:dyDescent="0.35">
      <c r="A2761" s="1">
        <v>1955</v>
      </c>
      <c r="B2761">
        <v>7</v>
      </c>
      <c r="C2761">
        <v>58</v>
      </c>
      <c r="D2761">
        <v>2</v>
      </c>
      <c r="E2761">
        <v>0</v>
      </c>
      <c r="F2761">
        <v>0</v>
      </c>
      <c r="G2761">
        <v>2</v>
      </c>
      <c r="H2761">
        <v>0</v>
      </c>
      <c r="I2761">
        <v>10000</v>
      </c>
      <c r="J2761">
        <v>3</v>
      </c>
      <c r="K2761">
        <v>1</v>
      </c>
      <c r="L2761" s="4">
        <v>0.86327883443714237</v>
      </c>
      <c r="M2761" s="4">
        <v>0.13672116556285771</v>
      </c>
      <c r="N2761">
        <v>7</v>
      </c>
    </row>
    <row r="2762" spans="1:14" x14ac:dyDescent="0.35">
      <c r="A2762" s="1">
        <v>3254</v>
      </c>
      <c r="B2762">
        <v>12</v>
      </c>
      <c r="C2762">
        <v>76</v>
      </c>
      <c r="D2762">
        <v>4</v>
      </c>
      <c r="E2762">
        <v>0</v>
      </c>
      <c r="F2762">
        <v>1</v>
      </c>
      <c r="G2762">
        <v>7</v>
      </c>
      <c r="H2762">
        <v>1</v>
      </c>
      <c r="I2762">
        <v>20395.07</v>
      </c>
      <c r="J2762">
        <v>3</v>
      </c>
      <c r="K2762">
        <v>0</v>
      </c>
      <c r="L2762" s="4">
        <v>0.86331228119804815</v>
      </c>
      <c r="M2762" s="4">
        <v>0.13668771880195191</v>
      </c>
      <c r="N2762">
        <v>7</v>
      </c>
    </row>
    <row r="2763" spans="1:14" x14ac:dyDescent="0.35">
      <c r="A2763" s="1">
        <v>1632</v>
      </c>
      <c r="B2763">
        <v>6</v>
      </c>
      <c r="C2763">
        <v>51</v>
      </c>
      <c r="D2763">
        <v>0</v>
      </c>
      <c r="E2763">
        <v>0</v>
      </c>
      <c r="F2763">
        <v>3</v>
      </c>
      <c r="G2763">
        <v>3</v>
      </c>
      <c r="H2763">
        <v>3</v>
      </c>
      <c r="I2763">
        <v>0.01</v>
      </c>
      <c r="J2763">
        <v>8</v>
      </c>
      <c r="K2763">
        <v>0</v>
      </c>
      <c r="L2763" s="4">
        <v>0.86355958973755065</v>
      </c>
      <c r="M2763" s="4">
        <v>0.13644041026244941</v>
      </c>
      <c r="N2763">
        <v>7</v>
      </c>
    </row>
    <row r="2764" spans="1:14" x14ac:dyDescent="0.35">
      <c r="A2764" s="1">
        <v>745</v>
      </c>
      <c r="B2764">
        <v>7</v>
      </c>
      <c r="C2764">
        <v>56</v>
      </c>
      <c r="D2764">
        <v>1</v>
      </c>
      <c r="E2764">
        <v>0</v>
      </c>
      <c r="F2764">
        <v>1</v>
      </c>
      <c r="G2764">
        <v>7</v>
      </c>
      <c r="H2764">
        <v>2</v>
      </c>
      <c r="I2764">
        <v>1000</v>
      </c>
      <c r="J2764">
        <v>10</v>
      </c>
      <c r="K2764">
        <v>0</v>
      </c>
      <c r="L2764" s="4">
        <v>0.86360318189648688</v>
      </c>
      <c r="M2764" s="4">
        <v>0.13639681810351309</v>
      </c>
      <c r="N2764">
        <v>7</v>
      </c>
    </row>
    <row r="2765" spans="1:14" x14ac:dyDescent="0.35">
      <c r="A2765" s="1">
        <v>1124</v>
      </c>
      <c r="B2765">
        <v>6</v>
      </c>
      <c r="C2765">
        <v>49</v>
      </c>
      <c r="D2765">
        <v>5</v>
      </c>
      <c r="E2765">
        <v>0</v>
      </c>
      <c r="F2765">
        <v>3</v>
      </c>
      <c r="G2765">
        <v>8</v>
      </c>
      <c r="H2765">
        <v>2</v>
      </c>
      <c r="I2765">
        <v>1000</v>
      </c>
      <c r="J2765">
        <v>2</v>
      </c>
      <c r="K2765">
        <v>0</v>
      </c>
      <c r="L2765" s="4">
        <v>0.86364206872361793</v>
      </c>
      <c r="M2765" s="4">
        <v>0.1363579312763821</v>
      </c>
      <c r="N2765">
        <v>7</v>
      </c>
    </row>
    <row r="2766" spans="1:14" x14ac:dyDescent="0.35">
      <c r="A2766" s="1">
        <v>2155</v>
      </c>
      <c r="B2766">
        <v>5</v>
      </c>
      <c r="C2766">
        <v>36</v>
      </c>
      <c r="D2766">
        <v>3</v>
      </c>
      <c r="E2766">
        <v>2</v>
      </c>
      <c r="F2766">
        <v>1</v>
      </c>
      <c r="G2766">
        <v>12</v>
      </c>
      <c r="H2766">
        <v>3</v>
      </c>
      <c r="I2766">
        <v>0.01</v>
      </c>
      <c r="J2766">
        <v>10</v>
      </c>
      <c r="K2766">
        <v>0</v>
      </c>
      <c r="L2766" s="4">
        <v>0.86367212393979387</v>
      </c>
      <c r="M2766" s="4">
        <v>0.13632787606020619</v>
      </c>
      <c r="N2766">
        <v>7</v>
      </c>
    </row>
    <row r="2767" spans="1:14" x14ac:dyDescent="0.35">
      <c r="A2767" s="1">
        <v>2659</v>
      </c>
      <c r="B2767">
        <v>11</v>
      </c>
      <c r="C2767">
        <v>72</v>
      </c>
      <c r="D2767">
        <v>0</v>
      </c>
      <c r="E2767">
        <v>0</v>
      </c>
      <c r="F2767">
        <v>3</v>
      </c>
      <c r="G2767">
        <v>3</v>
      </c>
      <c r="H2767">
        <v>2</v>
      </c>
      <c r="I2767">
        <v>3027.83</v>
      </c>
      <c r="J2767">
        <v>4</v>
      </c>
      <c r="K2767">
        <v>1</v>
      </c>
      <c r="L2767" s="4">
        <v>0.86371448192310241</v>
      </c>
      <c r="M2767" s="4">
        <v>0.13628551807689759</v>
      </c>
      <c r="N2767">
        <v>7</v>
      </c>
    </row>
    <row r="2768" spans="1:14" x14ac:dyDescent="0.35">
      <c r="A2768" s="1">
        <v>4163</v>
      </c>
      <c r="B2768">
        <v>6</v>
      </c>
      <c r="C2768">
        <v>46</v>
      </c>
      <c r="D2768">
        <v>2</v>
      </c>
      <c r="E2768">
        <v>1</v>
      </c>
      <c r="F2768">
        <v>3</v>
      </c>
      <c r="G2768">
        <v>3</v>
      </c>
      <c r="H2768">
        <v>2</v>
      </c>
      <c r="I2768">
        <v>1100</v>
      </c>
      <c r="J2768">
        <v>8</v>
      </c>
      <c r="K2768">
        <v>0</v>
      </c>
      <c r="L2768" s="4">
        <v>0.86372780168933794</v>
      </c>
      <c r="M2768" s="4">
        <v>0.13627219831066209</v>
      </c>
      <c r="N2768">
        <v>7</v>
      </c>
    </row>
    <row r="2769" spans="1:14" x14ac:dyDescent="0.35">
      <c r="A2769" s="1">
        <v>2454</v>
      </c>
      <c r="B2769">
        <v>7</v>
      </c>
      <c r="C2769">
        <v>50</v>
      </c>
      <c r="D2769">
        <v>5</v>
      </c>
      <c r="E2769">
        <v>1</v>
      </c>
      <c r="F2769">
        <v>0</v>
      </c>
      <c r="G2769">
        <v>4</v>
      </c>
      <c r="H2769">
        <v>2</v>
      </c>
      <c r="I2769">
        <v>4198</v>
      </c>
      <c r="J2769">
        <v>1</v>
      </c>
      <c r="K2769">
        <v>0</v>
      </c>
      <c r="L2769" s="4">
        <v>0.86374013710667841</v>
      </c>
      <c r="M2769" s="4">
        <v>0.13625986289332159</v>
      </c>
      <c r="N2769">
        <v>7</v>
      </c>
    </row>
    <row r="2770" spans="1:14" x14ac:dyDescent="0.35">
      <c r="A2770" s="1">
        <v>2622</v>
      </c>
      <c r="B2770">
        <v>8</v>
      </c>
      <c r="C2770">
        <v>48</v>
      </c>
      <c r="D2770">
        <v>3</v>
      </c>
      <c r="E2770">
        <v>2</v>
      </c>
      <c r="F2770">
        <v>3</v>
      </c>
      <c r="G2770">
        <v>3</v>
      </c>
      <c r="H2770">
        <v>3</v>
      </c>
      <c r="I2770">
        <v>0.01</v>
      </c>
      <c r="J2770">
        <v>8</v>
      </c>
      <c r="K2770">
        <v>0</v>
      </c>
      <c r="L2770" s="4">
        <v>0.86378385028425408</v>
      </c>
      <c r="M2770" s="4">
        <v>0.13621614971574589</v>
      </c>
      <c r="N2770">
        <v>7</v>
      </c>
    </row>
    <row r="2771" spans="1:14" x14ac:dyDescent="0.35">
      <c r="A2771" s="1">
        <v>3070</v>
      </c>
      <c r="B2771">
        <v>13</v>
      </c>
      <c r="C2771">
        <v>77</v>
      </c>
      <c r="D2771">
        <v>0</v>
      </c>
      <c r="E2771">
        <v>1</v>
      </c>
      <c r="F2771">
        <v>3</v>
      </c>
      <c r="G2771">
        <v>3</v>
      </c>
      <c r="H2771">
        <v>0</v>
      </c>
      <c r="I2771">
        <v>12158.67</v>
      </c>
      <c r="J2771">
        <v>7</v>
      </c>
      <c r="K2771">
        <v>0</v>
      </c>
      <c r="L2771" s="4">
        <v>0.86398745793823528</v>
      </c>
      <c r="M2771" s="4">
        <v>0.13601254206176469</v>
      </c>
      <c r="N2771">
        <v>7</v>
      </c>
    </row>
    <row r="2772" spans="1:14" x14ac:dyDescent="0.35">
      <c r="A2772" s="1">
        <v>1982</v>
      </c>
      <c r="B2772">
        <v>6</v>
      </c>
      <c r="C2772">
        <v>51</v>
      </c>
      <c r="D2772">
        <v>3</v>
      </c>
      <c r="E2772">
        <v>0</v>
      </c>
      <c r="F2772">
        <v>0</v>
      </c>
      <c r="G2772">
        <v>4</v>
      </c>
      <c r="H2772">
        <v>3</v>
      </c>
      <c r="I2772">
        <v>0.01</v>
      </c>
      <c r="J2772">
        <v>4</v>
      </c>
      <c r="K2772">
        <v>0</v>
      </c>
      <c r="L2772" s="4">
        <v>0.86406109641934692</v>
      </c>
      <c r="M2772" s="4">
        <v>0.13593890358065311</v>
      </c>
      <c r="N2772">
        <v>7</v>
      </c>
    </row>
    <row r="2773" spans="1:14" x14ac:dyDescent="0.35">
      <c r="A2773" s="1">
        <v>2887</v>
      </c>
      <c r="B2773">
        <v>8</v>
      </c>
      <c r="C2773">
        <v>58</v>
      </c>
      <c r="D2773">
        <v>3</v>
      </c>
      <c r="E2773">
        <v>0</v>
      </c>
      <c r="F2773">
        <v>1</v>
      </c>
      <c r="G2773">
        <v>12</v>
      </c>
      <c r="H2773">
        <v>3</v>
      </c>
      <c r="I2773">
        <v>0.01</v>
      </c>
      <c r="J2773">
        <v>8</v>
      </c>
      <c r="K2773">
        <v>0</v>
      </c>
      <c r="L2773" s="4">
        <v>0.86417651963741049</v>
      </c>
      <c r="M2773" s="4">
        <v>0.13582348036258951</v>
      </c>
      <c r="N2773">
        <v>7</v>
      </c>
    </row>
    <row r="2774" spans="1:14" x14ac:dyDescent="0.35">
      <c r="A2774" s="1">
        <v>1577</v>
      </c>
      <c r="B2774">
        <v>6</v>
      </c>
      <c r="C2774">
        <v>51</v>
      </c>
      <c r="D2774">
        <v>2</v>
      </c>
      <c r="E2774">
        <v>0</v>
      </c>
      <c r="F2774">
        <v>3</v>
      </c>
      <c r="G2774">
        <v>3</v>
      </c>
      <c r="H2774">
        <v>2</v>
      </c>
      <c r="I2774">
        <v>3000</v>
      </c>
      <c r="J2774">
        <v>5</v>
      </c>
      <c r="K2774">
        <v>0</v>
      </c>
      <c r="L2774" s="4">
        <v>0.86445434679012045</v>
      </c>
      <c r="M2774" s="4">
        <v>0.1355456532098796</v>
      </c>
      <c r="N2774">
        <v>7</v>
      </c>
    </row>
    <row r="2775" spans="1:14" x14ac:dyDescent="0.35">
      <c r="A2775" s="1">
        <v>980</v>
      </c>
      <c r="B2775">
        <v>5</v>
      </c>
      <c r="C2775">
        <v>50</v>
      </c>
      <c r="D2775">
        <v>0</v>
      </c>
      <c r="E2775">
        <v>0</v>
      </c>
      <c r="F2775">
        <v>2</v>
      </c>
      <c r="G2775">
        <v>1</v>
      </c>
      <c r="H2775">
        <v>0</v>
      </c>
      <c r="I2775">
        <v>8112.07</v>
      </c>
      <c r="J2775">
        <v>1</v>
      </c>
      <c r="K2775">
        <v>0</v>
      </c>
      <c r="L2775" s="4">
        <v>0.86450293251899435</v>
      </c>
      <c r="M2775" s="4">
        <v>0.1354970674810056</v>
      </c>
      <c r="N2775">
        <v>7</v>
      </c>
    </row>
    <row r="2776" spans="1:14" x14ac:dyDescent="0.35">
      <c r="A2776" s="1">
        <v>3068</v>
      </c>
      <c r="B2776">
        <v>6</v>
      </c>
      <c r="C2776">
        <v>48</v>
      </c>
      <c r="D2776">
        <v>1</v>
      </c>
      <c r="E2776">
        <v>1</v>
      </c>
      <c r="F2776">
        <v>0</v>
      </c>
      <c r="G2776">
        <v>2</v>
      </c>
      <c r="H2776">
        <v>2</v>
      </c>
      <c r="I2776">
        <v>2000</v>
      </c>
      <c r="J2776">
        <v>4</v>
      </c>
      <c r="K2776">
        <v>0</v>
      </c>
      <c r="L2776" s="4">
        <v>0.86454625766334348</v>
      </c>
      <c r="M2776" s="4">
        <v>0.13545374233665661</v>
      </c>
      <c r="N2776">
        <v>7</v>
      </c>
    </row>
    <row r="2777" spans="1:14" x14ac:dyDescent="0.35">
      <c r="A2777" s="1">
        <v>2085</v>
      </c>
      <c r="B2777">
        <v>6</v>
      </c>
      <c r="C2777">
        <v>51</v>
      </c>
      <c r="D2777">
        <v>1</v>
      </c>
      <c r="E2777">
        <v>0</v>
      </c>
      <c r="F2777">
        <v>3</v>
      </c>
      <c r="G2777">
        <v>8</v>
      </c>
      <c r="H2777">
        <v>2</v>
      </c>
      <c r="I2777">
        <v>4000</v>
      </c>
      <c r="J2777">
        <v>3</v>
      </c>
      <c r="K2777">
        <v>0</v>
      </c>
      <c r="L2777" s="4">
        <v>0.8647006518948811</v>
      </c>
      <c r="M2777" s="4">
        <v>0.1352993481051189</v>
      </c>
      <c r="N2777">
        <v>7</v>
      </c>
    </row>
    <row r="2778" spans="1:14" x14ac:dyDescent="0.35">
      <c r="A2778" s="1">
        <v>582</v>
      </c>
      <c r="B2778">
        <v>8</v>
      </c>
      <c r="C2778">
        <v>50</v>
      </c>
      <c r="D2778">
        <v>2</v>
      </c>
      <c r="E2778">
        <v>2</v>
      </c>
      <c r="F2778">
        <v>0</v>
      </c>
      <c r="G2778">
        <v>2</v>
      </c>
      <c r="H2778">
        <v>3</v>
      </c>
      <c r="I2778">
        <v>0.01</v>
      </c>
      <c r="J2778">
        <v>4</v>
      </c>
      <c r="K2778">
        <v>0</v>
      </c>
      <c r="L2778" s="4">
        <v>0.86477169128094578</v>
      </c>
      <c r="M2778" s="4">
        <v>0.1352283087190542</v>
      </c>
      <c r="N2778">
        <v>7</v>
      </c>
    </row>
    <row r="2779" spans="1:14" x14ac:dyDescent="0.35">
      <c r="A2779" s="1">
        <v>3753</v>
      </c>
      <c r="B2779">
        <v>8</v>
      </c>
      <c r="C2779">
        <v>60</v>
      </c>
      <c r="D2779">
        <v>2</v>
      </c>
      <c r="E2779">
        <v>0</v>
      </c>
      <c r="F2779">
        <v>0</v>
      </c>
      <c r="G2779">
        <v>10</v>
      </c>
      <c r="H2779">
        <v>2</v>
      </c>
      <c r="I2779">
        <v>3000</v>
      </c>
      <c r="J2779">
        <v>8</v>
      </c>
      <c r="K2779">
        <v>0</v>
      </c>
      <c r="L2779" s="4">
        <v>0.86485539773493925</v>
      </c>
      <c r="M2779" s="4">
        <v>0.13514460226506081</v>
      </c>
      <c r="N2779">
        <v>7</v>
      </c>
    </row>
    <row r="2780" spans="1:14" x14ac:dyDescent="0.35">
      <c r="A2780" s="1">
        <v>1858</v>
      </c>
      <c r="B2780">
        <v>12</v>
      </c>
      <c r="C2780">
        <v>75</v>
      </c>
      <c r="D2780">
        <v>3</v>
      </c>
      <c r="E2780">
        <v>0</v>
      </c>
      <c r="F2780">
        <v>3</v>
      </c>
      <c r="G2780">
        <v>3</v>
      </c>
      <c r="H2780">
        <v>2</v>
      </c>
      <c r="I2780">
        <v>5000</v>
      </c>
      <c r="J2780">
        <v>6</v>
      </c>
      <c r="K2780">
        <v>0</v>
      </c>
      <c r="L2780" s="4">
        <v>0.86488315336890276</v>
      </c>
      <c r="M2780" s="4">
        <v>0.13511684663109719</v>
      </c>
      <c r="N2780">
        <v>7</v>
      </c>
    </row>
    <row r="2781" spans="1:14" x14ac:dyDescent="0.35">
      <c r="A2781" s="1">
        <v>1801</v>
      </c>
      <c r="B2781">
        <v>6</v>
      </c>
      <c r="C2781">
        <v>52</v>
      </c>
      <c r="D2781">
        <v>1</v>
      </c>
      <c r="E2781">
        <v>0</v>
      </c>
      <c r="F2781">
        <v>1</v>
      </c>
      <c r="G2781">
        <v>7</v>
      </c>
      <c r="H2781">
        <v>2</v>
      </c>
      <c r="I2781">
        <v>2400</v>
      </c>
      <c r="J2781">
        <v>2</v>
      </c>
      <c r="K2781">
        <v>0</v>
      </c>
      <c r="L2781" s="4">
        <v>0.86489915859145583</v>
      </c>
      <c r="M2781" s="4">
        <v>0.1351008414085442</v>
      </c>
      <c r="N2781">
        <v>7</v>
      </c>
    </row>
    <row r="2782" spans="1:14" x14ac:dyDescent="0.35">
      <c r="A2782" s="1">
        <v>922</v>
      </c>
      <c r="B2782">
        <v>8</v>
      </c>
      <c r="C2782">
        <v>55</v>
      </c>
      <c r="D2782">
        <v>2</v>
      </c>
      <c r="E2782">
        <v>1</v>
      </c>
      <c r="F2782">
        <v>0</v>
      </c>
      <c r="G2782">
        <v>10</v>
      </c>
      <c r="H2782">
        <v>2</v>
      </c>
      <c r="I2782">
        <v>3000</v>
      </c>
      <c r="J2782">
        <v>3</v>
      </c>
      <c r="K2782">
        <v>0</v>
      </c>
      <c r="L2782" s="4">
        <v>0.86497602742933832</v>
      </c>
      <c r="M2782" s="4">
        <v>0.1350239725706617</v>
      </c>
      <c r="N2782">
        <v>7</v>
      </c>
    </row>
    <row r="2783" spans="1:14" x14ac:dyDescent="0.35">
      <c r="A2783" s="1">
        <v>3153</v>
      </c>
      <c r="B2783">
        <v>9</v>
      </c>
      <c r="C2783">
        <v>65</v>
      </c>
      <c r="D2783">
        <v>2</v>
      </c>
      <c r="E2783">
        <v>0</v>
      </c>
      <c r="F2783">
        <v>3</v>
      </c>
      <c r="G2783">
        <v>3</v>
      </c>
      <c r="H2783">
        <v>0</v>
      </c>
      <c r="I2783">
        <v>15000</v>
      </c>
      <c r="J2783">
        <v>4</v>
      </c>
      <c r="K2783">
        <v>0</v>
      </c>
      <c r="L2783" s="4">
        <v>0.86506359047650894</v>
      </c>
      <c r="M2783" s="4">
        <v>0.13493640952349109</v>
      </c>
      <c r="N2783">
        <v>7</v>
      </c>
    </row>
    <row r="2784" spans="1:14" x14ac:dyDescent="0.35">
      <c r="A2784" s="1">
        <v>1228</v>
      </c>
      <c r="B2784">
        <v>9</v>
      </c>
      <c r="C2784">
        <v>63</v>
      </c>
      <c r="D2784">
        <v>5</v>
      </c>
      <c r="E2784">
        <v>0</v>
      </c>
      <c r="F2784">
        <v>0</v>
      </c>
      <c r="G2784">
        <v>11</v>
      </c>
      <c r="H2784">
        <v>2</v>
      </c>
      <c r="I2784">
        <v>500</v>
      </c>
      <c r="J2784">
        <v>26</v>
      </c>
      <c r="K2784">
        <v>0</v>
      </c>
      <c r="L2784" s="4">
        <v>0.86510048946199469</v>
      </c>
      <c r="M2784" s="4">
        <v>0.13489951053800539</v>
      </c>
      <c r="N2784">
        <v>7</v>
      </c>
    </row>
    <row r="2785" spans="1:14" x14ac:dyDescent="0.35">
      <c r="A2785" s="1">
        <v>4427</v>
      </c>
      <c r="B2785">
        <v>6</v>
      </c>
      <c r="C2785">
        <v>52</v>
      </c>
      <c r="D2785">
        <v>4</v>
      </c>
      <c r="E2785">
        <v>0</v>
      </c>
      <c r="F2785">
        <v>3</v>
      </c>
      <c r="G2785">
        <v>3</v>
      </c>
      <c r="H2785">
        <v>0</v>
      </c>
      <c r="I2785">
        <v>12000</v>
      </c>
      <c r="J2785">
        <v>8</v>
      </c>
      <c r="K2785">
        <v>0</v>
      </c>
      <c r="L2785" s="4">
        <v>0.86520244233963006</v>
      </c>
      <c r="M2785" s="4">
        <v>0.13479755766036991</v>
      </c>
      <c r="N2785">
        <v>7</v>
      </c>
    </row>
    <row r="2786" spans="1:14" x14ac:dyDescent="0.35">
      <c r="A2786" s="1">
        <v>3636</v>
      </c>
      <c r="B2786">
        <v>7</v>
      </c>
      <c r="C2786">
        <v>49</v>
      </c>
      <c r="D2786">
        <v>5</v>
      </c>
      <c r="E2786">
        <v>1</v>
      </c>
      <c r="F2786">
        <v>1</v>
      </c>
      <c r="G2786">
        <v>12</v>
      </c>
      <c r="H2786">
        <v>2</v>
      </c>
      <c r="I2786">
        <v>420</v>
      </c>
      <c r="J2786">
        <v>5</v>
      </c>
      <c r="K2786">
        <v>0</v>
      </c>
      <c r="L2786" s="4">
        <v>0.86527618820426</v>
      </c>
      <c r="M2786" s="4">
        <v>0.13472381179574</v>
      </c>
      <c r="N2786">
        <v>7</v>
      </c>
    </row>
    <row r="2787" spans="1:14" x14ac:dyDescent="0.35">
      <c r="A2787" s="1">
        <v>4352</v>
      </c>
      <c r="B2787">
        <v>10</v>
      </c>
      <c r="C2787">
        <v>68</v>
      </c>
      <c r="D2787">
        <v>4</v>
      </c>
      <c r="E2787">
        <v>0</v>
      </c>
      <c r="F2787">
        <v>0</v>
      </c>
      <c r="G2787">
        <v>2</v>
      </c>
      <c r="H2787">
        <v>2</v>
      </c>
      <c r="I2787">
        <v>4000</v>
      </c>
      <c r="J2787">
        <v>5</v>
      </c>
      <c r="K2787">
        <v>1</v>
      </c>
      <c r="L2787" s="4">
        <v>0.86542589814909987</v>
      </c>
      <c r="M2787" s="4">
        <v>0.1345741018509001</v>
      </c>
      <c r="N2787">
        <v>7</v>
      </c>
    </row>
    <row r="2788" spans="1:14" x14ac:dyDescent="0.35">
      <c r="A2788" s="1">
        <v>4316</v>
      </c>
      <c r="B2788">
        <v>7</v>
      </c>
      <c r="C2788">
        <v>51</v>
      </c>
      <c r="D2788">
        <v>3</v>
      </c>
      <c r="E2788">
        <v>1</v>
      </c>
      <c r="F2788">
        <v>3</v>
      </c>
      <c r="G2788">
        <v>8</v>
      </c>
      <c r="H2788">
        <v>0</v>
      </c>
      <c r="I2788">
        <v>6477.84</v>
      </c>
      <c r="J2788">
        <v>7</v>
      </c>
      <c r="K2788">
        <v>0</v>
      </c>
      <c r="L2788" s="4">
        <v>0.86554179527881558</v>
      </c>
      <c r="M2788" s="4">
        <v>0.13445820472118439</v>
      </c>
      <c r="N2788">
        <v>7</v>
      </c>
    </row>
    <row r="2789" spans="1:14" x14ac:dyDescent="0.35">
      <c r="A2789" s="1">
        <v>1293</v>
      </c>
      <c r="B2789">
        <v>7</v>
      </c>
      <c r="C2789">
        <v>48</v>
      </c>
      <c r="D2789">
        <v>0</v>
      </c>
      <c r="E2789">
        <v>2</v>
      </c>
      <c r="F2789">
        <v>3</v>
      </c>
      <c r="G2789">
        <v>3</v>
      </c>
      <c r="H2789">
        <v>0</v>
      </c>
      <c r="I2789">
        <v>15000</v>
      </c>
      <c r="J2789">
        <v>3</v>
      </c>
      <c r="K2789">
        <v>0</v>
      </c>
      <c r="L2789" s="4">
        <v>0.86554280287585106</v>
      </c>
      <c r="M2789" s="4">
        <v>0.13445719712414889</v>
      </c>
      <c r="N2789">
        <v>7</v>
      </c>
    </row>
    <row r="2790" spans="1:14" x14ac:dyDescent="0.35">
      <c r="A2790" s="1">
        <v>967</v>
      </c>
      <c r="B2790">
        <v>8</v>
      </c>
      <c r="C2790">
        <v>61</v>
      </c>
      <c r="D2790">
        <v>3</v>
      </c>
      <c r="E2790">
        <v>0</v>
      </c>
      <c r="F2790">
        <v>2</v>
      </c>
      <c r="G2790">
        <v>1</v>
      </c>
      <c r="H2790">
        <v>0</v>
      </c>
      <c r="I2790">
        <v>6053.34</v>
      </c>
      <c r="J2790">
        <v>4</v>
      </c>
      <c r="K2790">
        <v>0</v>
      </c>
      <c r="L2790" s="4">
        <v>0.86556890579778301</v>
      </c>
      <c r="M2790" s="4">
        <v>0.13443109420221699</v>
      </c>
      <c r="N2790">
        <v>7</v>
      </c>
    </row>
    <row r="2791" spans="1:14" x14ac:dyDescent="0.35">
      <c r="A2791" s="1">
        <v>18</v>
      </c>
      <c r="B2791">
        <v>5</v>
      </c>
      <c r="C2791">
        <v>45</v>
      </c>
      <c r="D2791">
        <v>5</v>
      </c>
      <c r="E2791">
        <v>0</v>
      </c>
      <c r="F2791">
        <v>3</v>
      </c>
      <c r="G2791">
        <v>3</v>
      </c>
      <c r="H2791">
        <v>3</v>
      </c>
      <c r="I2791">
        <v>0.01</v>
      </c>
      <c r="J2791">
        <v>5</v>
      </c>
      <c r="K2791">
        <v>0</v>
      </c>
      <c r="L2791" s="4">
        <v>0.8656714768828313</v>
      </c>
      <c r="M2791" s="4">
        <v>0.1343285231171687</v>
      </c>
      <c r="N2791">
        <v>7</v>
      </c>
    </row>
    <row r="2792" spans="1:14" x14ac:dyDescent="0.35">
      <c r="A2792" s="1">
        <v>2637</v>
      </c>
      <c r="B2792">
        <v>8</v>
      </c>
      <c r="C2792">
        <v>57</v>
      </c>
      <c r="D2792">
        <v>1</v>
      </c>
      <c r="E2792">
        <v>1</v>
      </c>
      <c r="F2792">
        <v>2</v>
      </c>
      <c r="G2792">
        <v>1</v>
      </c>
      <c r="H2792">
        <v>0</v>
      </c>
      <c r="I2792">
        <v>6000.01</v>
      </c>
      <c r="J2792">
        <v>5</v>
      </c>
      <c r="K2792">
        <v>0</v>
      </c>
      <c r="L2792" s="4">
        <v>0.86568251219182968</v>
      </c>
      <c r="M2792" s="4">
        <v>0.13431748780817029</v>
      </c>
      <c r="N2792">
        <v>7</v>
      </c>
    </row>
    <row r="2793" spans="1:14" x14ac:dyDescent="0.35">
      <c r="A2793" s="1">
        <v>1811</v>
      </c>
      <c r="B2793">
        <v>6</v>
      </c>
      <c r="C2793">
        <v>53</v>
      </c>
      <c r="D2793">
        <v>2</v>
      </c>
      <c r="E2793">
        <v>0</v>
      </c>
      <c r="F2793">
        <v>3</v>
      </c>
      <c r="G2793">
        <v>3</v>
      </c>
      <c r="H2793">
        <v>0</v>
      </c>
      <c r="I2793">
        <v>18000</v>
      </c>
      <c r="J2793">
        <v>3</v>
      </c>
      <c r="K2793">
        <v>0</v>
      </c>
      <c r="L2793" s="4">
        <v>0.86570623357229226</v>
      </c>
      <c r="M2793" s="4">
        <v>0.13429376642770771</v>
      </c>
      <c r="N2793">
        <v>7</v>
      </c>
    </row>
    <row r="2794" spans="1:14" x14ac:dyDescent="0.35">
      <c r="A2794" s="1">
        <v>2278</v>
      </c>
      <c r="B2794">
        <v>8</v>
      </c>
      <c r="C2794">
        <v>59</v>
      </c>
      <c r="D2794">
        <v>4</v>
      </c>
      <c r="E2794">
        <v>0</v>
      </c>
      <c r="F2794">
        <v>0</v>
      </c>
      <c r="G2794">
        <v>4</v>
      </c>
      <c r="H2794">
        <v>3</v>
      </c>
      <c r="I2794">
        <v>0.01</v>
      </c>
      <c r="J2794">
        <v>8</v>
      </c>
      <c r="K2794">
        <v>0</v>
      </c>
      <c r="L2794" s="4">
        <v>0.86582718331959307</v>
      </c>
      <c r="M2794" s="4">
        <v>0.1341728166804069</v>
      </c>
      <c r="N2794">
        <v>7</v>
      </c>
    </row>
    <row r="2795" spans="1:14" x14ac:dyDescent="0.35">
      <c r="A2795" s="1">
        <v>3429</v>
      </c>
      <c r="B2795">
        <v>7</v>
      </c>
      <c r="C2795">
        <v>54</v>
      </c>
      <c r="D2795">
        <v>3</v>
      </c>
      <c r="E2795">
        <v>0</v>
      </c>
      <c r="F2795">
        <v>3</v>
      </c>
      <c r="G2795">
        <v>3</v>
      </c>
      <c r="H2795">
        <v>3</v>
      </c>
      <c r="I2795">
        <v>0.01</v>
      </c>
      <c r="J2795">
        <v>5</v>
      </c>
      <c r="K2795">
        <v>0</v>
      </c>
      <c r="L2795" s="4">
        <v>0.86584873263467688</v>
      </c>
      <c r="M2795" s="4">
        <v>0.1341512673653231</v>
      </c>
      <c r="N2795">
        <v>7</v>
      </c>
    </row>
    <row r="2796" spans="1:14" x14ac:dyDescent="0.35">
      <c r="A2796" s="1">
        <v>3512</v>
      </c>
      <c r="B2796">
        <v>7</v>
      </c>
      <c r="C2796">
        <v>55</v>
      </c>
      <c r="D2796">
        <v>2</v>
      </c>
      <c r="E2796">
        <v>0</v>
      </c>
      <c r="F2796">
        <v>1</v>
      </c>
      <c r="G2796">
        <v>7</v>
      </c>
      <c r="H2796">
        <v>3</v>
      </c>
      <c r="I2796">
        <v>0.01</v>
      </c>
      <c r="J2796">
        <v>4</v>
      </c>
      <c r="K2796">
        <v>1</v>
      </c>
      <c r="L2796" s="4">
        <v>0.86587946350758438</v>
      </c>
      <c r="M2796" s="4">
        <v>0.1341205364924157</v>
      </c>
      <c r="N2796">
        <v>7</v>
      </c>
    </row>
    <row r="2797" spans="1:14" x14ac:dyDescent="0.35">
      <c r="A2797" s="1">
        <v>1487</v>
      </c>
      <c r="B2797">
        <v>6</v>
      </c>
      <c r="C2797">
        <v>54</v>
      </c>
      <c r="D2797">
        <v>1</v>
      </c>
      <c r="E2797">
        <v>0</v>
      </c>
      <c r="F2797">
        <v>0</v>
      </c>
      <c r="G2797">
        <v>11</v>
      </c>
      <c r="H2797">
        <v>0</v>
      </c>
      <c r="I2797">
        <v>9500</v>
      </c>
      <c r="J2797">
        <v>6</v>
      </c>
      <c r="K2797">
        <v>0</v>
      </c>
      <c r="L2797" s="4">
        <v>0.86597955829236262</v>
      </c>
      <c r="M2797" s="4">
        <v>0.13402044170763741</v>
      </c>
      <c r="N2797">
        <v>7</v>
      </c>
    </row>
    <row r="2798" spans="1:14" x14ac:dyDescent="0.35">
      <c r="A2798" s="1">
        <v>3145</v>
      </c>
      <c r="B2798">
        <v>10</v>
      </c>
      <c r="C2798">
        <v>68</v>
      </c>
      <c r="D2798">
        <v>2</v>
      </c>
      <c r="E2798">
        <v>0</v>
      </c>
      <c r="F2798">
        <v>0</v>
      </c>
      <c r="G2798">
        <v>4</v>
      </c>
      <c r="H2798">
        <v>3</v>
      </c>
      <c r="I2798">
        <v>0.01</v>
      </c>
      <c r="J2798">
        <v>8</v>
      </c>
      <c r="K2798">
        <v>1</v>
      </c>
      <c r="L2798" s="4">
        <v>0.86600426540967312</v>
      </c>
      <c r="M2798" s="4">
        <v>0.13399573459032679</v>
      </c>
      <c r="N2798">
        <v>7</v>
      </c>
    </row>
    <row r="2799" spans="1:14" x14ac:dyDescent="0.35">
      <c r="A2799" s="1">
        <v>1662</v>
      </c>
      <c r="B2799">
        <v>6</v>
      </c>
      <c r="C2799">
        <v>51</v>
      </c>
      <c r="D2799">
        <v>2</v>
      </c>
      <c r="E2799">
        <v>0</v>
      </c>
      <c r="F2799">
        <v>1</v>
      </c>
      <c r="G2799">
        <v>7</v>
      </c>
      <c r="H2799">
        <v>3</v>
      </c>
      <c r="I2799">
        <v>0.01</v>
      </c>
      <c r="J2799">
        <v>5</v>
      </c>
      <c r="K2799">
        <v>0</v>
      </c>
      <c r="L2799" s="4">
        <v>0.86608101970970708</v>
      </c>
      <c r="M2799" s="4">
        <v>0.13391898029029289</v>
      </c>
      <c r="N2799">
        <v>7</v>
      </c>
    </row>
    <row r="2800" spans="1:14" x14ac:dyDescent="0.35">
      <c r="A2800" s="1">
        <v>1029</v>
      </c>
      <c r="B2800">
        <v>9</v>
      </c>
      <c r="C2800">
        <v>54</v>
      </c>
      <c r="D2800">
        <v>1</v>
      </c>
      <c r="E2800">
        <v>2</v>
      </c>
      <c r="F2800">
        <v>3</v>
      </c>
      <c r="G2800">
        <v>3</v>
      </c>
      <c r="H2800">
        <v>2</v>
      </c>
      <c r="I2800">
        <v>2700</v>
      </c>
      <c r="J2800">
        <v>5</v>
      </c>
      <c r="K2800">
        <v>0</v>
      </c>
      <c r="L2800" s="4">
        <v>0.86614481385334663</v>
      </c>
      <c r="M2800" s="4">
        <v>0.13385518614665329</v>
      </c>
      <c r="N2800">
        <v>7</v>
      </c>
    </row>
    <row r="2801" spans="1:14" x14ac:dyDescent="0.35">
      <c r="A2801" s="1">
        <v>1055</v>
      </c>
      <c r="B2801">
        <v>9</v>
      </c>
      <c r="C2801">
        <v>53</v>
      </c>
      <c r="D2801">
        <v>5</v>
      </c>
      <c r="E2801">
        <v>2</v>
      </c>
      <c r="F2801">
        <v>1</v>
      </c>
      <c r="G2801">
        <v>7</v>
      </c>
      <c r="H2801">
        <v>2</v>
      </c>
      <c r="I2801">
        <v>4000</v>
      </c>
      <c r="J2801">
        <v>11</v>
      </c>
      <c r="K2801">
        <v>0</v>
      </c>
      <c r="L2801" s="4">
        <v>0.86618419444509342</v>
      </c>
      <c r="M2801" s="4">
        <v>0.13381580555490649</v>
      </c>
      <c r="N2801">
        <v>7</v>
      </c>
    </row>
    <row r="2802" spans="1:14" x14ac:dyDescent="0.35">
      <c r="A2802" s="1">
        <v>216</v>
      </c>
      <c r="B2802">
        <v>9</v>
      </c>
      <c r="C2802">
        <v>53</v>
      </c>
      <c r="D2802">
        <v>3</v>
      </c>
      <c r="E2802">
        <v>2</v>
      </c>
      <c r="F2802">
        <v>0</v>
      </c>
      <c r="G2802">
        <v>11</v>
      </c>
      <c r="H2802">
        <v>3</v>
      </c>
      <c r="I2802">
        <v>0.01</v>
      </c>
      <c r="J2802">
        <v>4</v>
      </c>
      <c r="K2802">
        <v>0</v>
      </c>
      <c r="L2802" s="4">
        <v>0.86622822316489079</v>
      </c>
      <c r="M2802" s="4">
        <v>0.13377177683510921</v>
      </c>
      <c r="N2802">
        <v>7</v>
      </c>
    </row>
    <row r="2803" spans="1:14" x14ac:dyDescent="0.35">
      <c r="A2803" s="1">
        <v>2393</v>
      </c>
      <c r="B2803">
        <v>7</v>
      </c>
      <c r="C2803">
        <v>56</v>
      </c>
      <c r="D2803">
        <v>2</v>
      </c>
      <c r="E2803">
        <v>0</v>
      </c>
      <c r="F2803">
        <v>0</v>
      </c>
      <c r="G2803">
        <v>2</v>
      </c>
      <c r="H2803">
        <v>3</v>
      </c>
      <c r="I2803">
        <v>0.01</v>
      </c>
      <c r="J2803">
        <v>5</v>
      </c>
      <c r="K2803">
        <v>0</v>
      </c>
      <c r="L2803" s="4">
        <v>0.8662293975599189</v>
      </c>
      <c r="M2803" s="4">
        <v>0.1337706024400811</v>
      </c>
      <c r="N2803">
        <v>7</v>
      </c>
    </row>
    <row r="2804" spans="1:14" x14ac:dyDescent="0.35">
      <c r="A2804" s="1">
        <v>2697</v>
      </c>
      <c r="B2804">
        <v>6</v>
      </c>
      <c r="C2804">
        <v>51</v>
      </c>
      <c r="D2804">
        <v>2</v>
      </c>
      <c r="E2804">
        <v>0</v>
      </c>
      <c r="F2804">
        <v>1</v>
      </c>
      <c r="G2804">
        <v>7</v>
      </c>
      <c r="H2804">
        <v>3</v>
      </c>
      <c r="I2804">
        <v>0.01</v>
      </c>
      <c r="J2804">
        <v>4</v>
      </c>
      <c r="K2804">
        <v>0</v>
      </c>
      <c r="L2804" s="4">
        <v>0.8662299969230467</v>
      </c>
      <c r="M2804" s="4">
        <v>0.1337700030769533</v>
      </c>
      <c r="N2804">
        <v>7</v>
      </c>
    </row>
    <row r="2805" spans="1:14" x14ac:dyDescent="0.35">
      <c r="A2805" s="1">
        <v>2495</v>
      </c>
      <c r="B2805">
        <v>5</v>
      </c>
      <c r="C2805">
        <v>49</v>
      </c>
      <c r="D2805">
        <v>1</v>
      </c>
      <c r="E2805">
        <v>0</v>
      </c>
      <c r="F2805">
        <v>0</v>
      </c>
      <c r="G2805">
        <v>4</v>
      </c>
      <c r="H2805">
        <v>2</v>
      </c>
      <c r="I2805">
        <v>1800</v>
      </c>
      <c r="J2805">
        <v>8</v>
      </c>
      <c r="K2805">
        <v>0</v>
      </c>
      <c r="L2805" s="4">
        <v>0.86624408393434527</v>
      </c>
      <c r="M2805" s="4">
        <v>0.13375591606565479</v>
      </c>
      <c r="N2805">
        <v>7</v>
      </c>
    </row>
    <row r="2806" spans="1:14" x14ac:dyDescent="0.35">
      <c r="A2806" s="1">
        <v>620</v>
      </c>
      <c r="B2806">
        <v>12</v>
      </c>
      <c r="C2806">
        <v>68</v>
      </c>
      <c r="D2806">
        <v>1</v>
      </c>
      <c r="E2806">
        <v>2</v>
      </c>
      <c r="F2806">
        <v>3</v>
      </c>
      <c r="G2806">
        <v>3</v>
      </c>
      <c r="H2806">
        <v>0</v>
      </c>
      <c r="I2806">
        <v>15000</v>
      </c>
      <c r="J2806">
        <v>4</v>
      </c>
      <c r="K2806">
        <v>0</v>
      </c>
      <c r="L2806" s="4">
        <v>0.86669179295198429</v>
      </c>
      <c r="M2806" s="4">
        <v>0.13330820704801569</v>
      </c>
      <c r="N2806">
        <v>7</v>
      </c>
    </row>
    <row r="2807" spans="1:14" x14ac:dyDescent="0.35">
      <c r="A2807" s="1">
        <v>3716</v>
      </c>
      <c r="B2807">
        <v>8</v>
      </c>
      <c r="C2807">
        <v>49</v>
      </c>
      <c r="D2807">
        <v>3</v>
      </c>
      <c r="E2807">
        <v>2</v>
      </c>
      <c r="F2807">
        <v>1</v>
      </c>
      <c r="G2807">
        <v>7</v>
      </c>
      <c r="H2807">
        <v>3</v>
      </c>
      <c r="I2807">
        <v>0.01</v>
      </c>
      <c r="J2807">
        <v>8</v>
      </c>
      <c r="K2807">
        <v>0</v>
      </c>
      <c r="L2807" s="4">
        <v>0.86673129887254929</v>
      </c>
      <c r="M2807" s="4">
        <v>0.13326870112745079</v>
      </c>
      <c r="N2807">
        <v>7</v>
      </c>
    </row>
    <row r="2808" spans="1:14" x14ac:dyDescent="0.35">
      <c r="A2808" s="1">
        <v>3705</v>
      </c>
      <c r="B2808">
        <v>8</v>
      </c>
      <c r="C2808">
        <v>61</v>
      </c>
      <c r="D2808">
        <v>0</v>
      </c>
      <c r="E2808">
        <v>0</v>
      </c>
      <c r="F2808">
        <v>1</v>
      </c>
      <c r="G2808">
        <v>5</v>
      </c>
      <c r="H2808">
        <v>2</v>
      </c>
      <c r="I2808">
        <v>3000</v>
      </c>
      <c r="J2808">
        <v>2</v>
      </c>
      <c r="K2808">
        <v>1</v>
      </c>
      <c r="L2808" s="4">
        <v>0.86674421645919852</v>
      </c>
      <c r="M2808" s="4">
        <v>0.13325578354080139</v>
      </c>
      <c r="N2808">
        <v>7</v>
      </c>
    </row>
    <row r="2809" spans="1:14" x14ac:dyDescent="0.35">
      <c r="A2809" s="1">
        <v>2715</v>
      </c>
      <c r="B2809">
        <v>8</v>
      </c>
      <c r="C2809">
        <v>57</v>
      </c>
      <c r="D2809">
        <v>0</v>
      </c>
      <c r="E2809">
        <v>1</v>
      </c>
      <c r="F2809">
        <v>3</v>
      </c>
      <c r="G2809">
        <v>3</v>
      </c>
      <c r="H2809">
        <v>0</v>
      </c>
      <c r="I2809">
        <v>10000</v>
      </c>
      <c r="J2809">
        <v>3</v>
      </c>
      <c r="K2809">
        <v>0</v>
      </c>
      <c r="L2809" s="4">
        <v>0.86675169826506504</v>
      </c>
      <c r="M2809" s="4">
        <v>0.13324830173493499</v>
      </c>
      <c r="N2809">
        <v>7</v>
      </c>
    </row>
    <row r="2810" spans="1:14" x14ac:dyDescent="0.35">
      <c r="A2810" s="1">
        <v>1481</v>
      </c>
      <c r="B2810">
        <v>8</v>
      </c>
      <c r="C2810">
        <v>51</v>
      </c>
      <c r="D2810">
        <v>2</v>
      </c>
      <c r="E2810">
        <v>2</v>
      </c>
      <c r="F2810">
        <v>3</v>
      </c>
      <c r="G2810">
        <v>8</v>
      </c>
      <c r="H2810">
        <v>0</v>
      </c>
      <c r="I2810">
        <v>18633.509999999998</v>
      </c>
      <c r="J2810">
        <v>3</v>
      </c>
      <c r="K2810">
        <v>0</v>
      </c>
      <c r="L2810" s="4">
        <v>0.86681810400163073</v>
      </c>
      <c r="M2810" s="4">
        <v>0.13318189599836919</v>
      </c>
      <c r="N2810">
        <v>7</v>
      </c>
    </row>
    <row r="2811" spans="1:14" x14ac:dyDescent="0.35">
      <c r="A2811" s="1">
        <v>1323</v>
      </c>
      <c r="B2811">
        <v>7</v>
      </c>
      <c r="C2811">
        <v>53</v>
      </c>
      <c r="D2811">
        <v>1</v>
      </c>
      <c r="E2811">
        <v>1</v>
      </c>
      <c r="F2811">
        <v>1</v>
      </c>
      <c r="G2811">
        <v>7</v>
      </c>
      <c r="H2811">
        <v>0</v>
      </c>
      <c r="I2811">
        <v>6000</v>
      </c>
      <c r="J2811">
        <v>2</v>
      </c>
      <c r="K2811">
        <v>0</v>
      </c>
      <c r="L2811" s="4">
        <v>0.86700127096228408</v>
      </c>
      <c r="M2811" s="4">
        <v>0.1329987290377159</v>
      </c>
      <c r="N2811">
        <v>7</v>
      </c>
    </row>
    <row r="2812" spans="1:14" x14ac:dyDescent="0.35">
      <c r="A2812" s="1">
        <v>3251</v>
      </c>
      <c r="B2812">
        <v>11</v>
      </c>
      <c r="C2812">
        <v>73</v>
      </c>
      <c r="D2812">
        <v>2</v>
      </c>
      <c r="E2812">
        <v>0</v>
      </c>
      <c r="F2812">
        <v>2</v>
      </c>
      <c r="G2812">
        <v>6</v>
      </c>
      <c r="H2812">
        <v>1</v>
      </c>
      <c r="I2812">
        <v>20678.29</v>
      </c>
      <c r="J2812">
        <v>4</v>
      </c>
      <c r="K2812">
        <v>0</v>
      </c>
      <c r="L2812" s="4">
        <v>0.86701983050917786</v>
      </c>
      <c r="M2812" s="4">
        <v>0.13298016949082209</v>
      </c>
      <c r="N2812">
        <v>7</v>
      </c>
    </row>
    <row r="2813" spans="1:14" x14ac:dyDescent="0.35">
      <c r="A2813" s="1">
        <v>1917</v>
      </c>
      <c r="B2813">
        <v>6</v>
      </c>
      <c r="C2813">
        <v>53</v>
      </c>
      <c r="D2813">
        <v>1</v>
      </c>
      <c r="E2813">
        <v>0</v>
      </c>
      <c r="F2813">
        <v>3</v>
      </c>
      <c r="G2813">
        <v>8</v>
      </c>
      <c r="H2813">
        <v>0</v>
      </c>
      <c r="I2813">
        <v>7410</v>
      </c>
      <c r="J2813">
        <v>8</v>
      </c>
      <c r="K2813">
        <v>0</v>
      </c>
      <c r="L2813" s="4">
        <v>0.86707016797383663</v>
      </c>
      <c r="M2813" s="4">
        <v>0.1329298320261634</v>
      </c>
      <c r="N2813">
        <v>7</v>
      </c>
    </row>
    <row r="2814" spans="1:14" x14ac:dyDescent="0.35">
      <c r="A2814" s="1">
        <v>4326</v>
      </c>
      <c r="B2814">
        <v>8</v>
      </c>
      <c r="C2814">
        <v>62</v>
      </c>
      <c r="D2814">
        <v>0</v>
      </c>
      <c r="E2814">
        <v>0</v>
      </c>
      <c r="F2814">
        <v>3</v>
      </c>
      <c r="G2814">
        <v>3</v>
      </c>
      <c r="H2814">
        <v>0</v>
      </c>
      <c r="I2814">
        <v>10000</v>
      </c>
      <c r="J2814">
        <v>4</v>
      </c>
      <c r="K2814">
        <v>0</v>
      </c>
      <c r="L2814" s="4">
        <v>0.86722540405555626</v>
      </c>
      <c r="M2814" s="4">
        <v>0.13277459594444371</v>
      </c>
      <c r="N2814">
        <v>7</v>
      </c>
    </row>
    <row r="2815" spans="1:14" x14ac:dyDescent="0.35">
      <c r="A2815" s="1">
        <v>2643</v>
      </c>
      <c r="B2815">
        <v>8</v>
      </c>
      <c r="C2815">
        <v>61</v>
      </c>
      <c r="D2815">
        <v>2</v>
      </c>
      <c r="E2815">
        <v>0</v>
      </c>
      <c r="F2815">
        <v>3</v>
      </c>
      <c r="G2815">
        <v>3</v>
      </c>
      <c r="H2815">
        <v>0</v>
      </c>
      <c r="I2815">
        <v>6000</v>
      </c>
      <c r="J2815">
        <v>2</v>
      </c>
      <c r="K2815">
        <v>1</v>
      </c>
      <c r="L2815" s="4">
        <v>0.8673918658030384</v>
      </c>
      <c r="M2815" s="4">
        <v>0.1326081341969616</v>
      </c>
      <c r="N2815">
        <v>7</v>
      </c>
    </row>
    <row r="2816" spans="1:14" x14ac:dyDescent="0.35">
      <c r="A2816" s="1">
        <v>2489</v>
      </c>
      <c r="B2816">
        <v>9</v>
      </c>
      <c r="C2816">
        <v>67</v>
      </c>
      <c r="D2816">
        <v>1</v>
      </c>
      <c r="E2816">
        <v>0</v>
      </c>
      <c r="F2816">
        <v>0</v>
      </c>
      <c r="G2816">
        <v>11</v>
      </c>
      <c r="H2816">
        <v>1</v>
      </c>
      <c r="I2816">
        <v>55967.02</v>
      </c>
      <c r="J2816">
        <v>12</v>
      </c>
      <c r="K2816">
        <v>0</v>
      </c>
      <c r="L2816" s="4">
        <v>0.86742824133971186</v>
      </c>
      <c r="M2816" s="4">
        <v>0.1325717586602882</v>
      </c>
      <c r="N2816">
        <v>7</v>
      </c>
    </row>
    <row r="2817" spans="1:14" x14ac:dyDescent="0.35">
      <c r="A2817" s="1">
        <v>4051</v>
      </c>
      <c r="B2817">
        <v>8</v>
      </c>
      <c r="C2817">
        <v>61</v>
      </c>
      <c r="D2817">
        <v>0</v>
      </c>
      <c r="E2817">
        <v>0</v>
      </c>
      <c r="F2817">
        <v>1</v>
      </c>
      <c r="G2817">
        <v>12</v>
      </c>
      <c r="H2817">
        <v>2</v>
      </c>
      <c r="I2817">
        <v>750</v>
      </c>
      <c r="J2817">
        <v>30</v>
      </c>
      <c r="K2817">
        <v>0</v>
      </c>
      <c r="L2817" s="4">
        <v>0.86744370907696444</v>
      </c>
      <c r="M2817" s="4">
        <v>0.1325562909230355</v>
      </c>
      <c r="N2817">
        <v>7</v>
      </c>
    </row>
    <row r="2818" spans="1:14" x14ac:dyDescent="0.35">
      <c r="A2818" s="1">
        <v>2284</v>
      </c>
      <c r="B2818">
        <v>8</v>
      </c>
      <c r="C2818">
        <v>61</v>
      </c>
      <c r="D2818">
        <v>2</v>
      </c>
      <c r="E2818">
        <v>0</v>
      </c>
      <c r="F2818">
        <v>0</v>
      </c>
      <c r="G2818">
        <v>2</v>
      </c>
      <c r="H2818">
        <v>2</v>
      </c>
      <c r="I2818">
        <v>0.02</v>
      </c>
      <c r="J2818">
        <v>7</v>
      </c>
      <c r="K2818">
        <v>0</v>
      </c>
      <c r="L2818" s="4">
        <v>0.86744951422620908</v>
      </c>
      <c r="M2818" s="4">
        <v>0.13255048577379089</v>
      </c>
      <c r="N2818">
        <v>7</v>
      </c>
    </row>
    <row r="2819" spans="1:14" x14ac:dyDescent="0.35">
      <c r="A2819" s="1">
        <v>2835</v>
      </c>
      <c r="B2819">
        <v>7</v>
      </c>
      <c r="C2819">
        <v>53</v>
      </c>
      <c r="D2819">
        <v>2</v>
      </c>
      <c r="E2819">
        <v>1</v>
      </c>
      <c r="F2819">
        <v>0</v>
      </c>
      <c r="G2819">
        <v>10</v>
      </c>
      <c r="H2819">
        <v>0</v>
      </c>
      <c r="I2819">
        <v>6800</v>
      </c>
      <c r="J2819">
        <v>9</v>
      </c>
      <c r="K2819">
        <v>0</v>
      </c>
      <c r="L2819" s="4">
        <v>0.86746892936316689</v>
      </c>
      <c r="M2819" s="4">
        <v>0.13253107063683309</v>
      </c>
      <c r="N2819">
        <v>7</v>
      </c>
    </row>
    <row r="2820" spans="1:14" x14ac:dyDescent="0.35">
      <c r="A2820" s="1">
        <v>3933</v>
      </c>
      <c r="B2820">
        <v>7</v>
      </c>
      <c r="C2820">
        <v>51</v>
      </c>
      <c r="D2820">
        <v>2</v>
      </c>
      <c r="E2820">
        <v>1</v>
      </c>
      <c r="F2820">
        <v>1</v>
      </c>
      <c r="G2820">
        <v>7</v>
      </c>
      <c r="H2820">
        <v>2</v>
      </c>
      <c r="I2820">
        <v>100</v>
      </c>
      <c r="J2820">
        <v>1</v>
      </c>
      <c r="K2820">
        <v>0</v>
      </c>
      <c r="L2820" s="4">
        <v>0.86755026779169631</v>
      </c>
      <c r="M2820" s="4">
        <v>0.13244973220830369</v>
      </c>
      <c r="N2820">
        <v>7</v>
      </c>
    </row>
    <row r="2821" spans="1:14" x14ac:dyDescent="0.35">
      <c r="A2821" s="1">
        <v>3199</v>
      </c>
      <c r="B2821">
        <v>5</v>
      </c>
      <c r="C2821">
        <v>51</v>
      </c>
      <c r="D2821">
        <v>1</v>
      </c>
      <c r="E2821">
        <v>0</v>
      </c>
      <c r="F2821">
        <v>0</v>
      </c>
      <c r="G2821">
        <v>4</v>
      </c>
      <c r="H2821">
        <v>0</v>
      </c>
      <c r="I2821">
        <v>10954.36</v>
      </c>
      <c r="J2821">
        <v>12</v>
      </c>
      <c r="K2821">
        <v>0</v>
      </c>
      <c r="L2821" s="4">
        <v>0.86767824199324528</v>
      </c>
      <c r="M2821" s="4">
        <v>0.13232175800675469</v>
      </c>
      <c r="N2821">
        <v>7</v>
      </c>
    </row>
    <row r="2822" spans="1:14" x14ac:dyDescent="0.35">
      <c r="A2822" s="1">
        <v>2861</v>
      </c>
      <c r="B2822">
        <v>5</v>
      </c>
      <c r="C2822">
        <v>38</v>
      </c>
      <c r="D2822">
        <v>1</v>
      </c>
      <c r="E2822">
        <v>2</v>
      </c>
      <c r="F2822">
        <v>0</v>
      </c>
      <c r="G2822">
        <v>11</v>
      </c>
      <c r="H2822">
        <v>3</v>
      </c>
      <c r="I2822">
        <v>0.01</v>
      </c>
      <c r="J2822">
        <v>8</v>
      </c>
      <c r="K2822">
        <v>0</v>
      </c>
      <c r="L2822" s="4">
        <v>0.86790129597264964</v>
      </c>
      <c r="M2822" s="4">
        <v>0.13209870402735041</v>
      </c>
      <c r="N2822">
        <v>7</v>
      </c>
    </row>
    <row r="2823" spans="1:14" x14ac:dyDescent="0.35">
      <c r="A2823" s="1">
        <v>1788</v>
      </c>
      <c r="B2823">
        <v>8</v>
      </c>
      <c r="C2823">
        <v>63</v>
      </c>
      <c r="D2823">
        <v>1</v>
      </c>
      <c r="E2823">
        <v>0</v>
      </c>
      <c r="F2823">
        <v>0</v>
      </c>
      <c r="G2823">
        <v>4</v>
      </c>
      <c r="H2823">
        <v>0</v>
      </c>
      <c r="I2823">
        <v>11000</v>
      </c>
      <c r="J2823">
        <v>3</v>
      </c>
      <c r="K2823">
        <v>0</v>
      </c>
      <c r="L2823" s="4">
        <v>0.86795661972526106</v>
      </c>
      <c r="M2823" s="4">
        <v>0.132043380274739</v>
      </c>
      <c r="N2823">
        <v>7</v>
      </c>
    </row>
    <row r="2824" spans="1:14" x14ac:dyDescent="0.35">
      <c r="A2824" s="1">
        <v>3881</v>
      </c>
      <c r="B2824">
        <v>8</v>
      </c>
      <c r="C2824">
        <v>51</v>
      </c>
      <c r="D2824">
        <v>2</v>
      </c>
      <c r="E2824">
        <v>2</v>
      </c>
      <c r="F2824">
        <v>3</v>
      </c>
      <c r="G2824">
        <v>8</v>
      </c>
      <c r="H2824">
        <v>0</v>
      </c>
      <c r="I2824">
        <v>12000</v>
      </c>
      <c r="J2824">
        <v>2</v>
      </c>
      <c r="K2824">
        <v>0</v>
      </c>
      <c r="L2824" s="4">
        <v>0.86819428933272114</v>
      </c>
      <c r="M2824" s="4">
        <v>0.13180571066727889</v>
      </c>
      <c r="N2824">
        <v>7</v>
      </c>
    </row>
    <row r="2825" spans="1:14" x14ac:dyDescent="0.35">
      <c r="A2825" s="1">
        <v>207</v>
      </c>
      <c r="B2825">
        <v>8</v>
      </c>
      <c r="C2825">
        <v>60</v>
      </c>
      <c r="D2825">
        <v>1</v>
      </c>
      <c r="E2825">
        <v>0</v>
      </c>
      <c r="F2825">
        <v>3</v>
      </c>
      <c r="G2825">
        <v>3</v>
      </c>
      <c r="H2825">
        <v>2</v>
      </c>
      <c r="I2825">
        <v>1000</v>
      </c>
      <c r="J2825">
        <v>4</v>
      </c>
      <c r="K2825">
        <v>0</v>
      </c>
      <c r="L2825" s="4">
        <v>0.86819870731435178</v>
      </c>
      <c r="M2825" s="4">
        <v>0.13180129268564819</v>
      </c>
      <c r="N2825">
        <v>7</v>
      </c>
    </row>
    <row r="2826" spans="1:14" x14ac:dyDescent="0.35">
      <c r="A2826" s="1">
        <v>2927</v>
      </c>
      <c r="B2826">
        <v>12</v>
      </c>
      <c r="C2826">
        <v>78</v>
      </c>
      <c r="D2826">
        <v>2</v>
      </c>
      <c r="E2826">
        <v>0</v>
      </c>
      <c r="F2826">
        <v>1</v>
      </c>
      <c r="G2826">
        <v>12</v>
      </c>
      <c r="H2826">
        <v>1</v>
      </c>
      <c r="I2826">
        <v>30026.67</v>
      </c>
      <c r="J2826">
        <v>32</v>
      </c>
      <c r="K2826">
        <v>0</v>
      </c>
      <c r="L2826" s="4">
        <v>0.86823947697549242</v>
      </c>
      <c r="M2826" s="4">
        <v>0.13176052302450761</v>
      </c>
      <c r="N2826">
        <v>7</v>
      </c>
    </row>
    <row r="2827" spans="1:14" x14ac:dyDescent="0.35">
      <c r="A2827" s="1">
        <v>4131</v>
      </c>
      <c r="B2827">
        <v>10</v>
      </c>
      <c r="C2827">
        <v>69</v>
      </c>
      <c r="D2827">
        <v>3</v>
      </c>
      <c r="E2827">
        <v>0</v>
      </c>
      <c r="F2827">
        <v>2</v>
      </c>
      <c r="G2827">
        <v>6</v>
      </c>
      <c r="H2827">
        <v>1</v>
      </c>
      <c r="I2827">
        <v>32062.5</v>
      </c>
      <c r="J2827">
        <v>4</v>
      </c>
      <c r="K2827">
        <v>1</v>
      </c>
      <c r="L2827" s="4">
        <v>0.86828086177646369</v>
      </c>
      <c r="M2827" s="4">
        <v>0.13171913822353629</v>
      </c>
      <c r="N2827">
        <v>7</v>
      </c>
    </row>
    <row r="2828" spans="1:14" x14ac:dyDescent="0.35">
      <c r="A2828" s="1">
        <v>4411</v>
      </c>
      <c r="B2828">
        <v>8</v>
      </c>
      <c r="C2828">
        <v>50</v>
      </c>
      <c r="D2828">
        <v>5</v>
      </c>
      <c r="E2828">
        <v>2</v>
      </c>
      <c r="F2828">
        <v>0</v>
      </c>
      <c r="G2828">
        <v>2</v>
      </c>
      <c r="H2828">
        <v>2</v>
      </c>
      <c r="I2828">
        <v>1000</v>
      </c>
      <c r="J2828">
        <v>5</v>
      </c>
      <c r="K2828">
        <v>0</v>
      </c>
      <c r="L2828" s="4">
        <v>0.86847030694710159</v>
      </c>
      <c r="M2828" s="4">
        <v>0.13152969305289841</v>
      </c>
      <c r="N2828">
        <v>7</v>
      </c>
    </row>
    <row r="2829" spans="1:14" x14ac:dyDescent="0.35">
      <c r="A2829" s="1">
        <v>1010</v>
      </c>
      <c r="B2829">
        <v>10</v>
      </c>
      <c r="C2829">
        <v>69</v>
      </c>
      <c r="D2829">
        <v>1</v>
      </c>
      <c r="E2829">
        <v>0</v>
      </c>
      <c r="F2829">
        <v>3</v>
      </c>
      <c r="G2829">
        <v>8</v>
      </c>
      <c r="H2829">
        <v>1</v>
      </c>
      <c r="I2829">
        <v>22000</v>
      </c>
      <c r="J2829">
        <v>5</v>
      </c>
      <c r="K2829">
        <v>0</v>
      </c>
      <c r="L2829" s="4">
        <v>0.86847822179568335</v>
      </c>
      <c r="M2829" s="4">
        <v>0.13152177820431671</v>
      </c>
      <c r="N2829">
        <v>7</v>
      </c>
    </row>
    <row r="2830" spans="1:14" x14ac:dyDescent="0.35">
      <c r="A2830" s="1">
        <v>855</v>
      </c>
      <c r="B2830">
        <v>9</v>
      </c>
      <c r="C2830">
        <v>64</v>
      </c>
      <c r="D2830">
        <v>5</v>
      </c>
      <c r="E2830">
        <v>0</v>
      </c>
      <c r="F2830">
        <v>3</v>
      </c>
      <c r="G2830">
        <v>3</v>
      </c>
      <c r="H2830">
        <v>0</v>
      </c>
      <c r="I2830">
        <v>8000.01</v>
      </c>
      <c r="J2830">
        <v>4</v>
      </c>
      <c r="K2830">
        <v>0</v>
      </c>
      <c r="L2830" s="4">
        <v>0.86852868090202939</v>
      </c>
      <c r="M2830" s="4">
        <v>0.13147131909797061</v>
      </c>
      <c r="N2830">
        <v>7</v>
      </c>
    </row>
    <row r="2831" spans="1:14" x14ac:dyDescent="0.35">
      <c r="A2831" s="1">
        <v>413</v>
      </c>
      <c r="B2831">
        <v>11</v>
      </c>
      <c r="C2831">
        <v>64</v>
      </c>
      <c r="D2831">
        <v>1</v>
      </c>
      <c r="E2831">
        <v>2</v>
      </c>
      <c r="F2831">
        <v>3</v>
      </c>
      <c r="G2831">
        <v>3</v>
      </c>
      <c r="H2831">
        <v>0</v>
      </c>
      <c r="I2831">
        <v>6000</v>
      </c>
      <c r="J2831">
        <v>5</v>
      </c>
      <c r="K2831">
        <v>0</v>
      </c>
      <c r="L2831" s="4">
        <v>0.86855672344050694</v>
      </c>
      <c r="M2831" s="4">
        <v>0.13144327655949309</v>
      </c>
      <c r="N2831">
        <v>7</v>
      </c>
    </row>
    <row r="2832" spans="1:14" x14ac:dyDescent="0.35">
      <c r="A2832" s="1">
        <v>942</v>
      </c>
      <c r="B2832">
        <v>4</v>
      </c>
      <c r="C2832">
        <v>43</v>
      </c>
      <c r="D2832">
        <v>3</v>
      </c>
      <c r="E2832">
        <v>0</v>
      </c>
      <c r="F2832">
        <v>2</v>
      </c>
      <c r="G2832">
        <v>0</v>
      </c>
      <c r="H2832">
        <v>3</v>
      </c>
      <c r="I2832">
        <v>0.01</v>
      </c>
      <c r="J2832">
        <v>5</v>
      </c>
      <c r="K2832">
        <v>0</v>
      </c>
      <c r="L2832" s="4">
        <v>0.86865150375587963</v>
      </c>
      <c r="M2832" s="4">
        <v>0.1313484962441204</v>
      </c>
      <c r="N2832">
        <v>7</v>
      </c>
    </row>
    <row r="2833" spans="1:14" x14ac:dyDescent="0.35">
      <c r="A2833" s="1">
        <v>3091</v>
      </c>
      <c r="B2833">
        <v>10</v>
      </c>
      <c r="C2833">
        <v>67</v>
      </c>
      <c r="D2833">
        <v>3</v>
      </c>
      <c r="E2833">
        <v>0</v>
      </c>
      <c r="F2833">
        <v>3</v>
      </c>
      <c r="G2833">
        <v>8</v>
      </c>
      <c r="H2833">
        <v>2</v>
      </c>
      <c r="I2833">
        <v>1500</v>
      </c>
      <c r="J2833">
        <v>11</v>
      </c>
      <c r="K2833">
        <v>0</v>
      </c>
      <c r="L2833" s="4">
        <v>0.86865964173161048</v>
      </c>
      <c r="M2833" s="4">
        <v>0.1313403582683895</v>
      </c>
      <c r="N2833">
        <v>7</v>
      </c>
    </row>
    <row r="2834" spans="1:14" x14ac:dyDescent="0.35">
      <c r="A2834" s="1">
        <v>539</v>
      </c>
      <c r="B2834">
        <v>4</v>
      </c>
      <c r="C2834">
        <v>32</v>
      </c>
      <c r="D2834">
        <v>4</v>
      </c>
      <c r="E2834">
        <v>2</v>
      </c>
      <c r="F2834">
        <v>3</v>
      </c>
      <c r="G2834">
        <v>3</v>
      </c>
      <c r="H2834">
        <v>3</v>
      </c>
      <c r="I2834">
        <v>0.01</v>
      </c>
      <c r="J2834">
        <v>5</v>
      </c>
      <c r="K2834">
        <v>0</v>
      </c>
      <c r="L2834" s="4">
        <v>0.86867845834799962</v>
      </c>
      <c r="M2834" s="4">
        <v>0.1313215416520003</v>
      </c>
      <c r="N2834">
        <v>7</v>
      </c>
    </row>
    <row r="2835" spans="1:14" x14ac:dyDescent="0.35">
      <c r="A2835" s="1">
        <v>823</v>
      </c>
      <c r="B2835">
        <v>10</v>
      </c>
      <c r="C2835">
        <v>68</v>
      </c>
      <c r="D2835">
        <v>5</v>
      </c>
      <c r="E2835">
        <v>0</v>
      </c>
      <c r="F2835">
        <v>0</v>
      </c>
      <c r="G2835">
        <v>4</v>
      </c>
      <c r="H2835">
        <v>2</v>
      </c>
      <c r="I2835">
        <v>1250</v>
      </c>
      <c r="J2835">
        <v>13</v>
      </c>
      <c r="K2835">
        <v>0</v>
      </c>
      <c r="L2835" s="4">
        <v>0.86904470648855858</v>
      </c>
      <c r="M2835" s="4">
        <v>0.13095529351144139</v>
      </c>
      <c r="N2835">
        <v>7</v>
      </c>
    </row>
    <row r="2836" spans="1:14" x14ac:dyDescent="0.35">
      <c r="A2836" s="1">
        <v>3698</v>
      </c>
      <c r="B2836">
        <v>5</v>
      </c>
      <c r="C2836">
        <v>46</v>
      </c>
      <c r="D2836">
        <v>4</v>
      </c>
      <c r="E2836">
        <v>0</v>
      </c>
      <c r="F2836">
        <v>3</v>
      </c>
      <c r="G2836">
        <v>3</v>
      </c>
      <c r="H2836">
        <v>3</v>
      </c>
      <c r="I2836">
        <v>0.01</v>
      </c>
      <c r="J2836">
        <v>8</v>
      </c>
      <c r="K2836">
        <v>0</v>
      </c>
      <c r="L2836" s="4">
        <v>0.86912371169202451</v>
      </c>
      <c r="M2836" s="4">
        <v>0.13087628830797551</v>
      </c>
      <c r="N2836">
        <v>7</v>
      </c>
    </row>
    <row r="2837" spans="1:14" x14ac:dyDescent="0.35">
      <c r="A2837" s="1">
        <v>1781</v>
      </c>
      <c r="B2837">
        <v>11</v>
      </c>
      <c r="C2837">
        <v>74</v>
      </c>
      <c r="D2837">
        <v>3</v>
      </c>
      <c r="E2837">
        <v>0</v>
      </c>
      <c r="F2837">
        <v>0</v>
      </c>
      <c r="G2837">
        <v>11</v>
      </c>
      <c r="H2837">
        <v>0</v>
      </c>
      <c r="I2837">
        <v>15660.64</v>
      </c>
      <c r="J2837">
        <v>6</v>
      </c>
      <c r="K2837">
        <v>0</v>
      </c>
      <c r="L2837" s="4">
        <v>0.86914713798907017</v>
      </c>
      <c r="M2837" s="4">
        <v>0.1308528620109298</v>
      </c>
      <c r="N2837">
        <v>7</v>
      </c>
    </row>
    <row r="2838" spans="1:14" x14ac:dyDescent="0.35">
      <c r="A2838" s="1">
        <v>3470</v>
      </c>
      <c r="B2838">
        <v>8</v>
      </c>
      <c r="C2838">
        <v>60</v>
      </c>
      <c r="D2838">
        <v>1</v>
      </c>
      <c r="E2838">
        <v>0</v>
      </c>
      <c r="F2838">
        <v>1</v>
      </c>
      <c r="G2838">
        <v>7</v>
      </c>
      <c r="H2838">
        <v>3</v>
      </c>
      <c r="I2838">
        <v>0.01</v>
      </c>
      <c r="J2838">
        <v>5</v>
      </c>
      <c r="K2838">
        <v>1</v>
      </c>
      <c r="L2838" s="4">
        <v>0.86927584870635044</v>
      </c>
      <c r="M2838" s="4">
        <v>0.13072415129364959</v>
      </c>
      <c r="N2838">
        <v>7</v>
      </c>
    </row>
    <row r="2839" spans="1:14" x14ac:dyDescent="0.35">
      <c r="A2839" s="1">
        <v>3432</v>
      </c>
      <c r="B2839">
        <v>4</v>
      </c>
      <c r="C2839">
        <v>43</v>
      </c>
      <c r="D2839">
        <v>5</v>
      </c>
      <c r="E2839">
        <v>0</v>
      </c>
      <c r="F2839">
        <v>0</v>
      </c>
      <c r="G2839">
        <v>2</v>
      </c>
      <c r="H2839">
        <v>3</v>
      </c>
      <c r="I2839">
        <v>0.01</v>
      </c>
      <c r="J2839">
        <v>5</v>
      </c>
      <c r="K2839">
        <v>0</v>
      </c>
      <c r="L2839" s="4">
        <v>0.86941797104609375</v>
      </c>
      <c r="M2839" s="4">
        <v>0.13058202895390619</v>
      </c>
      <c r="N2839">
        <v>7</v>
      </c>
    </row>
    <row r="2840" spans="1:14" x14ac:dyDescent="0.35">
      <c r="A2840" s="1">
        <v>1821</v>
      </c>
      <c r="B2840">
        <v>8</v>
      </c>
      <c r="C2840">
        <v>59</v>
      </c>
      <c r="D2840">
        <v>3</v>
      </c>
      <c r="E2840">
        <v>0</v>
      </c>
      <c r="F2840">
        <v>3</v>
      </c>
      <c r="G2840">
        <v>8</v>
      </c>
      <c r="H2840">
        <v>2</v>
      </c>
      <c r="I2840">
        <v>2800</v>
      </c>
      <c r="J2840">
        <v>8</v>
      </c>
      <c r="K2840">
        <v>0</v>
      </c>
      <c r="L2840" s="4">
        <v>0.86954744681672236</v>
      </c>
      <c r="M2840" s="4">
        <v>0.1304525531832777</v>
      </c>
      <c r="N2840">
        <v>7</v>
      </c>
    </row>
    <row r="2841" spans="1:14" x14ac:dyDescent="0.35">
      <c r="A2841" s="1">
        <v>2036</v>
      </c>
      <c r="B2841">
        <v>8</v>
      </c>
      <c r="C2841">
        <v>51</v>
      </c>
      <c r="D2841">
        <v>5</v>
      </c>
      <c r="E2841">
        <v>2</v>
      </c>
      <c r="F2841">
        <v>0</v>
      </c>
      <c r="G2841">
        <v>11</v>
      </c>
      <c r="H2841">
        <v>0</v>
      </c>
      <c r="I2841">
        <v>6000</v>
      </c>
      <c r="J2841">
        <v>8</v>
      </c>
      <c r="K2841">
        <v>0</v>
      </c>
      <c r="L2841" s="4">
        <v>0.86956809181037009</v>
      </c>
      <c r="M2841" s="4">
        <v>0.13043190818962991</v>
      </c>
      <c r="N2841">
        <v>7</v>
      </c>
    </row>
    <row r="2842" spans="1:14" x14ac:dyDescent="0.35">
      <c r="A2842" s="1">
        <v>1129</v>
      </c>
      <c r="B2842">
        <v>10</v>
      </c>
      <c r="C2842">
        <v>68</v>
      </c>
      <c r="D2842">
        <v>4</v>
      </c>
      <c r="E2842">
        <v>0</v>
      </c>
      <c r="F2842">
        <v>0</v>
      </c>
      <c r="G2842">
        <v>2</v>
      </c>
      <c r="H2842">
        <v>3</v>
      </c>
      <c r="I2842">
        <v>0.01</v>
      </c>
      <c r="J2842">
        <v>16</v>
      </c>
      <c r="K2842">
        <v>1</v>
      </c>
      <c r="L2842" s="4">
        <v>0.8696000829865933</v>
      </c>
      <c r="M2842" s="4">
        <v>0.1303999170134067</v>
      </c>
      <c r="N2842">
        <v>7</v>
      </c>
    </row>
    <row r="2843" spans="1:14" x14ac:dyDescent="0.35">
      <c r="A2843" s="1">
        <v>3318</v>
      </c>
      <c r="B2843">
        <v>6</v>
      </c>
      <c r="C2843">
        <v>51</v>
      </c>
      <c r="D2843">
        <v>2</v>
      </c>
      <c r="E2843">
        <v>0</v>
      </c>
      <c r="F2843">
        <v>3</v>
      </c>
      <c r="G2843">
        <v>3</v>
      </c>
      <c r="H2843">
        <v>3</v>
      </c>
      <c r="I2843">
        <v>0.01</v>
      </c>
      <c r="J2843">
        <v>8</v>
      </c>
      <c r="K2843">
        <v>0</v>
      </c>
      <c r="L2843" s="4">
        <v>0.8696400457354283</v>
      </c>
      <c r="M2843" s="4">
        <v>0.1303599542645717</v>
      </c>
      <c r="N2843">
        <v>7</v>
      </c>
    </row>
    <row r="2844" spans="1:14" x14ac:dyDescent="0.35">
      <c r="A2844" s="1">
        <v>3597</v>
      </c>
      <c r="B2844">
        <v>8</v>
      </c>
      <c r="C2844">
        <v>61</v>
      </c>
      <c r="D2844">
        <v>2</v>
      </c>
      <c r="E2844">
        <v>0</v>
      </c>
      <c r="F2844">
        <v>3</v>
      </c>
      <c r="G2844">
        <v>8</v>
      </c>
      <c r="H2844">
        <v>0</v>
      </c>
      <c r="I2844">
        <v>6000.01</v>
      </c>
      <c r="J2844">
        <v>8</v>
      </c>
      <c r="K2844">
        <v>0</v>
      </c>
      <c r="L2844" s="4">
        <v>0.86964565068780675</v>
      </c>
      <c r="M2844" s="4">
        <v>0.1303543493121932</v>
      </c>
      <c r="N2844">
        <v>7</v>
      </c>
    </row>
    <row r="2845" spans="1:14" x14ac:dyDescent="0.35">
      <c r="A2845" s="1">
        <v>1756</v>
      </c>
      <c r="B2845">
        <v>8</v>
      </c>
      <c r="C2845">
        <v>62</v>
      </c>
      <c r="D2845">
        <v>1</v>
      </c>
      <c r="E2845">
        <v>0</v>
      </c>
      <c r="F2845">
        <v>3</v>
      </c>
      <c r="G2845">
        <v>3</v>
      </c>
      <c r="H2845">
        <v>0</v>
      </c>
      <c r="I2845">
        <v>9000</v>
      </c>
      <c r="J2845">
        <v>8</v>
      </c>
      <c r="K2845">
        <v>0</v>
      </c>
      <c r="L2845" s="4">
        <v>0.86982580741126392</v>
      </c>
      <c r="M2845" s="4">
        <v>0.130174192588736</v>
      </c>
      <c r="N2845">
        <v>7</v>
      </c>
    </row>
    <row r="2846" spans="1:14" x14ac:dyDescent="0.35">
      <c r="A2846" s="1">
        <v>1624</v>
      </c>
      <c r="B2846">
        <v>8</v>
      </c>
      <c r="C2846">
        <v>59</v>
      </c>
      <c r="D2846">
        <v>4</v>
      </c>
      <c r="E2846">
        <v>0</v>
      </c>
      <c r="F2846">
        <v>3</v>
      </c>
      <c r="G2846">
        <v>3</v>
      </c>
      <c r="H2846">
        <v>2</v>
      </c>
      <c r="I2846">
        <v>500</v>
      </c>
      <c r="J2846">
        <v>8</v>
      </c>
      <c r="K2846">
        <v>0</v>
      </c>
      <c r="L2846" s="4">
        <v>0.86983768503215442</v>
      </c>
      <c r="M2846" s="4">
        <v>0.13016231496784561</v>
      </c>
      <c r="N2846">
        <v>7</v>
      </c>
    </row>
    <row r="2847" spans="1:14" x14ac:dyDescent="0.35">
      <c r="A2847" s="1">
        <v>2792</v>
      </c>
      <c r="B2847">
        <v>8</v>
      </c>
      <c r="C2847">
        <v>55</v>
      </c>
      <c r="D2847">
        <v>1</v>
      </c>
      <c r="E2847">
        <v>1</v>
      </c>
      <c r="F2847">
        <v>3</v>
      </c>
      <c r="G2847">
        <v>8</v>
      </c>
      <c r="H2847">
        <v>2</v>
      </c>
      <c r="I2847">
        <v>5000</v>
      </c>
      <c r="J2847">
        <v>4</v>
      </c>
      <c r="K2847">
        <v>1</v>
      </c>
      <c r="L2847" s="4">
        <v>0.86997465054688428</v>
      </c>
      <c r="M2847" s="4">
        <v>0.13002534945311581</v>
      </c>
      <c r="N2847">
        <v>7</v>
      </c>
    </row>
    <row r="2848" spans="1:14" x14ac:dyDescent="0.35">
      <c r="A2848" s="1">
        <v>1352</v>
      </c>
      <c r="B2848">
        <v>9</v>
      </c>
      <c r="C2848">
        <v>66</v>
      </c>
      <c r="D2848">
        <v>5</v>
      </c>
      <c r="E2848">
        <v>0</v>
      </c>
      <c r="F2848">
        <v>0</v>
      </c>
      <c r="G2848">
        <v>2</v>
      </c>
      <c r="H2848">
        <v>0</v>
      </c>
      <c r="I2848">
        <v>12869.97</v>
      </c>
      <c r="J2848">
        <v>11</v>
      </c>
      <c r="K2848">
        <v>0</v>
      </c>
      <c r="L2848" s="4">
        <v>0.86997677295136633</v>
      </c>
      <c r="M2848" s="4">
        <v>0.13002322704863359</v>
      </c>
      <c r="N2848">
        <v>7</v>
      </c>
    </row>
    <row r="2849" spans="1:14" x14ac:dyDescent="0.35">
      <c r="A2849" s="1">
        <v>1622</v>
      </c>
      <c r="B2849">
        <v>5</v>
      </c>
      <c r="C2849">
        <v>47</v>
      </c>
      <c r="D2849">
        <v>2</v>
      </c>
      <c r="E2849">
        <v>0</v>
      </c>
      <c r="F2849">
        <v>3</v>
      </c>
      <c r="G2849">
        <v>3</v>
      </c>
      <c r="H2849">
        <v>3</v>
      </c>
      <c r="I2849">
        <v>0.01</v>
      </c>
      <c r="J2849">
        <v>8</v>
      </c>
      <c r="K2849">
        <v>0</v>
      </c>
      <c r="L2849" s="4">
        <v>0.86998222642968548</v>
      </c>
      <c r="M2849" s="4">
        <v>0.13001777357031449</v>
      </c>
      <c r="N2849">
        <v>7</v>
      </c>
    </row>
    <row r="2850" spans="1:14" x14ac:dyDescent="0.35">
      <c r="A2850" s="1">
        <v>627</v>
      </c>
      <c r="B2850">
        <v>12</v>
      </c>
      <c r="C2850">
        <v>71</v>
      </c>
      <c r="D2850">
        <v>4</v>
      </c>
      <c r="E2850">
        <v>1</v>
      </c>
      <c r="F2850">
        <v>2</v>
      </c>
      <c r="G2850">
        <v>1</v>
      </c>
      <c r="H2850">
        <v>2</v>
      </c>
      <c r="I2850">
        <v>5000</v>
      </c>
      <c r="J2850">
        <v>3</v>
      </c>
      <c r="K2850">
        <v>0</v>
      </c>
      <c r="L2850" s="4">
        <v>0.87011650770959847</v>
      </c>
      <c r="M2850" s="4">
        <v>0.1298834922904015</v>
      </c>
      <c r="N2850">
        <v>7</v>
      </c>
    </row>
    <row r="2851" spans="1:14" x14ac:dyDescent="0.35">
      <c r="A2851" s="1">
        <v>353</v>
      </c>
      <c r="B2851">
        <v>9</v>
      </c>
      <c r="C2851">
        <v>67</v>
      </c>
      <c r="D2851">
        <v>2</v>
      </c>
      <c r="E2851">
        <v>0</v>
      </c>
      <c r="F2851">
        <v>0</v>
      </c>
      <c r="G2851">
        <v>4</v>
      </c>
      <c r="H2851">
        <v>0</v>
      </c>
      <c r="I2851">
        <v>9600</v>
      </c>
      <c r="J2851">
        <v>8</v>
      </c>
      <c r="K2851">
        <v>0</v>
      </c>
      <c r="L2851" s="4">
        <v>0.87013155080814197</v>
      </c>
      <c r="M2851" s="4">
        <v>0.12986844919185811</v>
      </c>
      <c r="N2851">
        <v>7</v>
      </c>
    </row>
    <row r="2852" spans="1:14" x14ac:dyDescent="0.35">
      <c r="A2852" s="1">
        <v>123</v>
      </c>
      <c r="B2852">
        <v>10</v>
      </c>
      <c r="C2852">
        <v>70</v>
      </c>
      <c r="D2852">
        <v>4</v>
      </c>
      <c r="E2852">
        <v>0</v>
      </c>
      <c r="F2852">
        <v>0</v>
      </c>
      <c r="G2852">
        <v>4</v>
      </c>
      <c r="H2852">
        <v>0</v>
      </c>
      <c r="I2852">
        <v>6000</v>
      </c>
      <c r="J2852">
        <v>4</v>
      </c>
      <c r="K2852">
        <v>0</v>
      </c>
      <c r="L2852" s="4">
        <v>0.87017113245651434</v>
      </c>
      <c r="M2852" s="4">
        <v>0.1298288675434856</v>
      </c>
      <c r="N2852">
        <v>7</v>
      </c>
    </row>
    <row r="2853" spans="1:14" x14ac:dyDescent="0.35">
      <c r="A2853" s="1">
        <v>260</v>
      </c>
      <c r="B2853">
        <v>7</v>
      </c>
      <c r="C2853">
        <v>60</v>
      </c>
      <c r="D2853">
        <v>0</v>
      </c>
      <c r="E2853">
        <v>0</v>
      </c>
      <c r="F2853">
        <v>0</v>
      </c>
      <c r="G2853">
        <v>2</v>
      </c>
      <c r="H2853">
        <v>0</v>
      </c>
      <c r="I2853">
        <v>12053.34</v>
      </c>
      <c r="J2853">
        <v>6</v>
      </c>
      <c r="K2853">
        <v>1</v>
      </c>
      <c r="L2853" s="4">
        <v>0.87027278654594353</v>
      </c>
      <c r="M2853" s="4">
        <v>0.12972721345405649</v>
      </c>
      <c r="N2853">
        <v>7</v>
      </c>
    </row>
    <row r="2854" spans="1:14" x14ac:dyDescent="0.35">
      <c r="A2854" s="1">
        <v>534</v>
      </c>
      <c r="B2854">
        <v>9</v>
      </c>
      <c r="C2854">
        <v>64</v>
      </c>
      <c r="D2854">
        <v>5</v>
      </c>
      <c r="E2854">
        <v>0</v>
      </c>
      <c r="F2854">
        <v>0</v>
      </c>
      <c r="G2854">
        <v>4</v>
      </c>
      <c r="H2854">
        <v>2</v>
      </c>
      <c r="I2854">
        <v>0.02</v>
      </c>
      <c r="J2854">
        <v>8</v>
      </c>
      <c r="K2854">
        <v>1</v>
      </c>
      <c r="L2854" s="4">
        <v>0.87034353626907723</v>
      </c>
      <c r="M2854" s="4">
        <v>0.12965646373092279</v>
      </c>
      <c r="N2854">
        <v>7</v>
      </c>
    </row>
    <row r="2855" spans="1:14" x14ac:dyDescent="0.35">
      <c r="A2855" s="1">
        <v>2101</v>
      </c>
      <c r="B2855">
        <v>7</v>
      </c>
      <c r="C2855">
        <v>51</v>
      </c>
      <c r="D2855">
        <v>2</v>
      </c>
      <c r="E2855">
        <v>1</v>
      </c>
      <c r="F2855">
        <v>3</v>
      </c>
      <c r="G2855">
        <v>3</v>
      </c>
      <c r="H2855">
        <v>2</v>
      </c>
      <c r="I2855">
        <v>2600</v>
      </c>
      <c r="J2855">
        <v>5</v>
      </c>
      <c r="K2855">
        <v>0</v>
      </c>
      <c r="L2855" s="4">
        <v>0.87047820006976728</v>
      </c>
      <c r="M2855" s="4">
        <v>0.12952179993023269</v>
      </c>
      <c r="N2855">
        <v>7</v>
      </c>
    </row>
    <row r="2856" spans="1:14" x14ac:dyDescent="0.35">
      <c r="A2856" s="1">
        <v>2566</v>
      </c>
      <c r="B2856">
        <v>9</v>
      </c>
      <c r="C2856">
        <v>65</v>
      </c>
      <c r="D2856">
        <v>0</v>
      </c>
      <c r="E2856">
        <v>0</v>
      </c>
      <c r="F2856">
        <v>3</v>
      </c>
      <c r="G2856">
        <v>3</v>
      </c>
      <c r="H2856">
        <v>2</v>
      </c>
      <c r="I2856">
        <v>5000</v>
      </c>
      <c r="J2856">
        <v>6</v>
      </c>
      <c r="K2856">
        <v>0</v>
      </c>
      <c r="L2856" s="4">
        <v>0.87067717617619</v>
      </c>
      <c r="M2856" s="4">
        <v>0.12932282382381</v>
      </c>
      <c r="N2856">
        <v>7</v>
      </c>
    </row>
    <row r="2857" spans="1:14" x14ac:dyDescent="0.35">
      <c r="A2857" s="1">
        <v>1297</v>
      </c>
      <c r="B2857">
        <v>7</v>
      </c>
      <c r="C2857">
        <v>58</v>
      </c>
      <c r="D2857">
        <v>0</v>
      </c>
      <c r="E2857">
        <v>0</v>
      </c>
      <c r="F2857">
        <v>3</v>
      </c>
      <c r="G2857">
        <v>8</v>
      </c>
      <c r="H2857">
        <v>0</v>
      </c>
      <c r="I2857">
        <v>6000</v>
      </c>
      <c r="J2857">
        <v>9</v>
      </c>
      <c r="K2857">
        <v>0</v>
      </c>
      <c r="L2857" s="4">
        <v>0.87069690137877254</v>
      </c>
      <c r="M2857" s="4">
        <v>0.12930309862122749</v>
      </c>
      <c r="N2857">
        <v>7</v>
      </c>
    </row>
    <row r="2858" spans="1:14" x14ac:dyDescent="0.35">
      <c r="A2858" s="1">
        <v>3874</v>
      </c>
      <c r="B2858">
        <v>9</v>
      </c>
      <c r="C2858">
        <v>66</v>
      </c>
      <c r="D2858">
        <v>1</v>
      </c>
      <c r="E2858">
        <v>0</v>
      </c>
      <c r="F2858">
        <v>3</v>
      </c>
      <c r="G2858">
        <v>3</v>
      </c>
      <c r="H2858">
        <v>0</v>
      </c>
      <c r="I2858">
        <v>6000</v>
      </c>
      <c r="J2858">
        <v>2</v>
      </c>
      <c r="K2858">
        <v>1</v>
      </c>
      <c r="L2858" s="4">
        <v>0.87090022063187233</v>
      </c>
      <c r="M2858" s="4">
        <v>0.12909977936812769</v>
      </c>
      <c r="N2858">
        <v>7</v>
      </c>
    </row>
    <row r="2859" spans="1:14" x14ac:dyDescent="0.35">
      <c r="A2859" s="1">
        <v>883</v>
      </c>
      <c r="B2859">
        <v>14</v>
      </c>
      <c r="C2859">
        <v>79</v>
      </c>
      <c r="D2859">
        <v>3</v>
      </c>
      <c r="E2859">
        <v>1</v>
      </c>
      <c r="F2859">
        <v>3</v>
      </c>
      <c r="G2859">
        <v>3</v>
      </c>
      <c r="H2859">
        <v>2</v>
      </c>
      <c r="I2859">
        <v>3000.01</v>
      </c>
      <c r="J2859">
        <v>5</v>
      </c>
      <c r="K2859">
        <v>0</v>
      </c>
      <c r="L2859" s="4">
        <v>0.870985361563131</v>
      </c>
      <c r="M2859" s="4">
        <v>0.129014638436869</v>
      </c>
      <c r="N2859">
        <v>7</v>
      </c>
    </row>
    <row r="2860" spans="1:14" x14ac:dyDescent="0.35">
      <c r="A2860" s="1">
        <v>2227</v>
      </c>
      <c r="B2860">
        <v>6</v>
      </c>
      <c r="C2860">
        <v>51</v>
      </c>
      <c r="D2860">
        <v>3</v>
      </c>
      <c r="E2860">
        <v>0</v>
      </c>
      <c r="F2860">
        <v>3</v>
      </c>
      <c r="G2860">
        <v>8</v>
      </c>
      <c r="H2860">
        <v>2</v>
      </c>
      <c r="I2860">
        <v>4000</v>
      </c>
      <c r="J2860">
        <v>1</v>
      </c>
      <c r="K2860">
        <v>0</v>
      </c>
      <c r="L2860" s="4">
        <v>0.87102686861397849</v>
      </c>
      <c r="M2860" s="4">
        <v>0.12897313138602151</v>
      </c>
      <c r="N2860">
        <v>7</v>
      </c>
    </row>
    <row r="2861" spans="1:14" x14ac:dyDescent="0.35">
      <c r="A2861" s="1">
        <v>53</v>
      </c>
      <c r="B2861">
        <v>9</v>
      </c>
      <c r="C2861">
        <v>66</v>
      </c>
      <c r="D2861">
        <v>1</v>
      </c>
      <c r="E2861">
        <v>0</v>
      </c>
      <c r="F2861">
        <v>0</v>
      </c>
      <c r="G2861">
        <v>4</v>
      </c>
      <c r="H2861">
        <v>2</v>
      </c>
      <c r="I2861">
        <v>3000</v>
      </c>
      <c r="J2861">
        <v>11</v>
      </c>
      <c r="K2861">
        <v>0</v>
      </c>
      <c r="L2861" s="4">
        <v>0.87106947859199846</v>
      </c>
      <c r="M2861" s="4">
        <v>0.1289305214080016</v>
      </c>
      <c r="N2861">
        <v>7</v>
      </c>
    </row>
    <row r="2862" spans="1:14" x14ac:dyDescent="0.35">
      <c r="A2862" s="1">
        <v>175</v>
      </c>
      <c r="B2862">
        <v>6</v>
      </c>
      <c r="C2862">
        <v>52</v>
      </c>
      <c r="D2862">
        <v>5</v>
      </c>
      <c r="E2862">
        <v>0</v>
      </c>
      <c r="F2862">
        <v>0</v>
      </c>
      <c r="G2862">
        <v>4</v>
      </c>
      <c r="H2862">
        <v>2</v>
      </c>
      <c r="I2862">
        <v>800</v>
      </c>
      <c r="J2862">
        <v>9</v>
      </c>
      <c r="K2862">
        <v>0</v>
      </c>
      <c r="L2862" s="4">
        <v>0.87107428015713939</v>
      </c>
      <c r="M2862" s="4">
        <v>0.12892571984286061</v>
      </c>
      <c r="N2862">
        <v>7</v>
      </c>
    </row>
    <row r="2863" spans="1:14" x14ac:dyDescent="0.35">
      <c r="A2863" s="1">
        <v>3713</v>
      </c>
      <c r="B2863">
        <v>9</v>
      </c>
      <c r="C2863">
        <v>67</v>
      </c>
      <c r="D2863">
        <v>0</v>
      </c>
      <c r="E2863">
        <v>0</v>
      </c>
      <c r="F2863">
        <v>3</v>
      </c>
      <c r="G2863">
        <v>3</v>
      </c>
      <c r="H2863">
        <v>0</v>
      </c>
      <c r="I2863">
        <v>15000</v>
      </c>
      <c r="J2863">
        <v>14</v>
      </c>
      <c r="K2863">
        <v>0</v>
      </c>
      <c r="L2863" s="4">
        <v>0.87134359372244574</v>
      </c>
      <c r="M2863" s="4">
        <v>0.12865640627755431</v>
      </c>
      <c r="N2863">
        <v>7</v>
      </c>
    </row>
    <row r="2864" spans="1:14" x14ac:dyDescent="0.35">
      <c r="A2864" s="1">
        <v>2411</v>
      </c>
      <c r="B2864">
        <v>7</v>
      </c>
      <c r="C2864">
        <v>59</v>
      </c>
      <c r="D2864">
        <v>2</v>
      </c>
      <c r="E2864">
        <v>0</v>
      </c>
      <c r="F2864">
        <v>0</v>
      </c>
      <c r="G2864">
        <v>4</v>
      </c>
      <c r="H2864">
        <v>0</v>
      </c>
      <c r="I2864">
        <v>5400</v>
      </c>
      <c r="J2864">
        <v>9</v>
      </c>
      <c r="K2864">
        <v>0</v>
      </c>
      <c r="L2864" s="4">
        <v>0.87142843115609814</v>
      </c>
      <c r="M2864" s="4">
        <v>0.12857156884390181</v>
      </c>
      <c r="N2864">
        <v>7</v>
      </c>
    </row>
    <row r="2865" spans="1:14" x14ac:dyDescent="0.35">
      <c r="A2865" s="1">
        <v>525</v>
      </c>
      <c r="B2865">
        <v>6</v>
      </c>
      <c r="C2865">
        <v>52</v>
      </c>
      <c r="D2865">
        <v>2</v>
      </c>
      <c r="E2865">
        <v>0</v>
      </c>
      <c r="F2865">
        <v>3</v>
      </c>
      <c r="G2865">
        <v>3</v>
      </c>
      <c r="H2865">
        <v>2</v>
      </c>
      <c r="I2865">
        <v>5000</v>
      </c>
      <c r="J2865">
        <v>1</v>
      </c>
      <c r="K2865">
        <v>0</v>
      </c>
      <c r="L2865" s="4">
        <v>0.87156654892555974</v>
      </c>
      <c r="M2865" s="4">
        <v>0.12843345107444021</v>
      </c>
      <c r="N2865">
        <v>7</v>
      </c>
    </row>
    <row r="2866" spans="1:14" x14ac:dyDescent="0.35">
      <c r="A2866" s="1">
        <v>1244</v>
      </c>
      <c r="B2866">
        <v>8</v>
      </c>
      <c r="C2866">
        <v>63</v>
      </c>
      <c r="D2866">
        <v>2</v>
      </c>
      <c r="E2866">
        <v>0</v>
      </c>
      <c r="F2866">
        <v>1</v>
      </c>
      <c r="G2866">
        <v>7</v>
      </c>
      <c r="H2866">
        <v>0</v>
      </c>
      <c r="I2866">
        <v>12053.34</v>
      </c>
      <c r="J2866">
        <v>32</v>
      </c>
      <c r="K2866">
        <v>1</v>
      </c>
      <c r="L2866" s="4">
        <v>0.87160700776523026</v>
      </c>
      <c r="M2866" s="4">
        <v>0.12839299223476969</v>
      </c>
      <c r="N2866">
        <v>7</v>
      </c>
    </row>
    <row r="2867" spans="1:14" x14ac:dyDescent="0.35">
      <c r="A2867" s="1">
        <v>86</v>
      </c>
      <c r="B2867">
        <v>8</v>
      </c>
      <c r="C2867">
        <v>61</v>
      </c>
      <c r="D2867">
        <v>3</v>
      </c>
      <c r="E2867">
        <v>0</v>
      </c>
      <c r="F2867">
        <v>0</v>
      </c>
      <c r="G2867">
        <v>4</v>
      </c>
      <c r="H2867">
        <v>2</v>
      </c>
      <c r="I2867">
        <v>50</v>
      </c>
      <c r="J2867">
        <v>7</v>
      </c>
      <c r="K2867">
        <v>0</v>
      </c>
      <c r="L2867" s="4">
        <v>0.87166873859624561</v>
      </c>
      <c r="M2867" s="4">
        <v>0.12833126140375439</v>
      </c>
      <c r="N2867">
        <v>7</v>
      </c>
    </row>
    <row r="2868" spans="1:14" x14ac:dyDescent="0.35">
      <c r="A2868" s="1">
        <v>1266</v>
      </c>
      <c r="B2868">
        <v>8</v>
      </c>
      <c r="C2868">
        <v>62</v>
      </c>
      <c r="D2868">
        <v>2</v>
      </c>
      <c r="E2868">
        <v>0</v>
      </c>
      <c r="F2868">
        <v>1</v>
      </c>
      <c r="G2868">
        <v>12</v>
      </c>
      <c r="H2868">
        <v>0</v>
      </c>
      <c r="I2868">
        <v>7500</v>
      </c>
      <c r="J2868">
        <v>11</v>
      </c>
      <c r="K2868">
        <v>1</v>
      </c>
      <c r="L2868" s="4">
        <v>0.871785559897857</v>
      </c>
      <c r="M2868" s="4">
        <v>0.128214440102143</v>
      </c>
      <c r="N2868">
        <v>7</v>
      </c>
    </row>
    <row r="2869" spans="1:14" x14ac:dyDescent="0.35">
      <c r="A2869" s="1">
        <v>725</v>
      </c>
      <c r="B2869">
        <v>9</v>
      </c>
      <c r="C2869">
        <v>63</v>
      </c>
      <c r="D2869">
        <v>0</v>
      </c>
      <c r="E2869">
        <v>1</v>
      </c>
      <c r="F2869">
        <v>0</v>
      </c>
      <c r="G2869">
        <v>4</v>
      </c>
      <c r="H2869">
        <v>0</v>
      </c>
      <c r="I2869">
        <v>6000</v>
      </c>
      <c r="J2869">
        <v>2</v>
      </c>
      <c r="K2869">
        <v>0</v>
      </c>
      <c r="L2869" s="4">
        <v>0.87189391571881147</v>
      </c>
      <c r="M2869" s="4">
        <v>0.1281060842811885</v>
      </c>
      <c r="N2869">
        <v>7</v>
      </c>
    </row>
    <row r="2870" spans="1:14" x14ac:dyDescent="0.35">
      <c r="A2870" s="1">
        <v>2968</v>
      </c>
      <c r="B2870">
        <v>5</v>
      </c>
      <c r="C2870">
        <v>41</v>
      </c>
      <c r="D2870">
        <v>5</v>
      </c>
      <c r="E2870">
        <v>1</v>
      </c>
      <c r="F2870">
        <v>3</v>
      </c>
      <c r="G2870">
        <v>3</v>
      </c>
      <c r="H2870">
        <v>3</v>
      </c>
      <c r="I2870">
        <v>0.01</v>
      </c>
      <c r="J2870">
        <v>5</v>
      </c>
      <c r="K2870">
        <v>0</v>
      </c>
      <c r="L2870" s="4">
        <v>0.87191499365747949</v>
      </c>
      <c r="M2870" s="4">
        <v>0.12808500634252051</v>
      </c>
      <c r="N2870">
        <v>7</v>
      </c>
    </row>
    <row r="2871" spans="1:14" x14ac:dyDescent="0.35">
      <c r="A2871" s="1">
        <v>976</v>
      </c>
      <c r="B2871">
        <v>9</v>
      </c>
      <c r="C2871">
        <v>55</v>
      </c>
      <c r="D2871">
        <v>3</v>
      </c>
      <c r="E2871">
        <v>2</v>
      </c>
      <c r="F2871">
        <v>3</v>
      </c>
      <c r="G2871">
        <v>8</v>
      </c>
      <c r="H2871">
        <v>0</v>
      </c>
      <c r="I2871">
        <v>6000</v>
      </c>
      <c r="J2871">
        <v>2</v>
      </c>
      <c r="K2871">
        <v>0</v>
      </c>
      <c r="L2871" s="4">
        <v>0.87191912390095205</v>
      </c>
      <c r="M2871" s="4">
        <v>0.128080876099048</v>
      </c>
      <c r="N2871">
        <v>7</v>
      </c>
    </row>
    <row r="2872" spans="1:14" x14ac:dyDescent="0.35">
      <c r="A2872" s="1">
        <v>558</v>
      </c>
      <c r="B2872">
        <v>7</v>
      </c>
      <c r="C2872">
        <v>55</v>
      </c>
      <c r="D2872">
        <v>2</v>
      </c>
      <c r="E2872">
        <v>0</v>
      </c>
      <c r="F2872">
        <v>3</v>
      </c>
      <c r="G2872">
        <v>8</v>
      </c>
      <c r="H2872">
        <v>3</v>
      </c>
      <c r="I2872">
        <v>0.01</v>
      </c>
      <c r="J2872">
        <v>10</v>
      </c>
      <c r="K2872">
        <v>0</v>
      </c>
      <c r="L2872" s="4">
        <v>0.87209775841318471</v>
      </c>
      <c r="M2872" s="4">
        <v>0.12790224158681529</v>
      </c>
      <c r="N2872">
        <v>7</v>
      </c>
    </row>
    <row r="2873" spans="1:14" x14ac:dyDescent="0.35">
      <c r="A2873" s="1">
        <v>1103</v>
      </c>
      <c r="B2873">
        <v>11</v>
      </c>
      <c r="C2873">
        <v>74</v>
      </c>
      <c r="D2873">
        <v>0</v>
      </c>
      <c r="E2873">
        <v>0</v>
      </c>
      <c r="F2873">
        <v>0</v>
      </c>
      <c r="G2873">
        <v>2</v>
      </c>
      <c r="H2873">
        <v>3</v>
      </c>
      <c r="I2873">
        <v>0.01</v>
      </c>
      <c r="J2873">
        <v>8</v>
      </c>
      <c r="K2873">
        <v>0</v>
      </c>
      <c r="L2873" s="4">
        <v>0.87211874787563692</v>
      </c>
      <c r="M2873" s="4">
        <v>0.1278812521243631</v>
      </c>
      <c r="N2873">
        <v>7</v>
      </c>
    </row>
    <row r="2874" spans="1:14" x14ac:dyDescent="0.35">
      <c r="A2874" s="1">
        <v>1331</v>
      </c>
      <c r="B2874">
        <v>4</v>
      </c>
      <c r="C2874">
        <v>46</v>
      </c>
      <c r="D2874">
        <v>0</v>
      </c>
      <c r="E2874">
        <v>0</v>
      </c>
      <c r="F2874">
        <v>1</v>
      </c>
      <c r="G2874">
        <v>7</v>
      </c>
      <c r="H2874">
        <v>2</v>
      </c>
      <c r="I2874">
        <v>2201.6</v>
      </c>
      <c r="J2874">
        <v>30</v>
      </c>
      <c r="K2874">
        <v>0</v>
      </c>
      <c r="L2874" s="4">
        <v>0.87225187033664553</v>
      </c>
      <c r="M2874" s="4">
        <v>0.1277481296633545</v>
      </c>
      <c r="N2874">
        <v>7</v>
      </c>
    </row>
    <row r="2875" spans="1:14" x14ac:dyDescent="0.35">
      <c r="A2875" s="1">
        <v>760</v>
      </c>
      <c r="B2875">
        <v>9</v>
      </c>
      <c r="C2875">
        <v>61</v>
      </c>
      <c r="D2875">
        <v>2</v>
      </c>
      <c r="E2875">
        <v>1</v>
      </c>
      <c r="F2875">
        <v>3</v>
      </c>
      <c r="G2875">
        <v>3</v>
      </c>
      <c r="H2875">
        <v>0</v>
      </c>
      <c r="I2875">
        <v>6000</v>
      </c>
      <c r="J2875">
        <v>4</v>
      </c>
      <c r="K2875">
        <v>1</v>
      </c>
      <c r="L2875" s="4">
        <v>0.87294819973294635</v>
      </c>
      <c r="M2875" s="4">
        <v>0.1270518002670537</v>
      </c>
      <c r="N2875">
        <v>7</v>
      </c>
    </row>
    <row r="2876" spans="1:14" x14ac:dyDescent="0.35">
      <c r="A2876" s="1">
        <v>3903</v>
      </c>
      <c r="B2876">
        <v>7</v>
      </c>
      <c r="C2876">
        <v>57</v>
      </c>
      <c r="D2876">
        <v>2</v>
      </c>
      <c r="E2876">
        <v>0</v>
      </c>
      <c r="F2876">
        <v>0</v>
      </c>
      <c r="G2876">
        <v>2</v>
      </c>
      <c r="H2876">
        <v>3</v>
      </c>
      <c r="I2876">
        <v>0.01</v>
      </c>
      <c r="J2876">
        <v>5</v>
      </c>
      <c r="K2876">
        <v>0</v>
      </c>
      <c r="L2876" s="4">
        <v>0.8730497158391346</v>
      </c>
      <c r="M2876" s="4">
        <v>0.1269502841608654</v>
      </c>
      <c r="N2876">
        <v>7</v>
      </c>
    </row>
    <row r="2877" spans="1:14" x14ac:dyDescent="0.35">
      <c r="A2877" s="1">
        <v>88</v>
      </c>
      <c r="B2877">
        <v>6</v>
      </c>
      <c r="C2877">
        <v>51</v>
      </c>
      <c r="D2877">
        <v>5</v>
      </c>
      <c r="E2877">
        <v>0</v>
      </c>
      <c r="F2877">
        <v>1</v>
      </c>
      <c r="G2877">
        <v>5</v>
      </c>
      <c r="H2877">
        <v>3</v>
      </c>
      <c r="I2877">
        <v>0.01</v>
      </c>
      <c r="J2877">
        <v>9</v>
      </c>
      <c r="K2877">
        <v>0</v>
      </c>
      <c r="L2877" s="4">
        <v>0.87319758069492415</v>
      </c>
      <c r="M2877" s="4">
        <v>0.1268024193050758</v>
      </c>
      <c r="N2877">
        <v>7</v>
      </c>
    </row>
    <row r="2878" spans="1:14" x14ac:dyDescent="0.35">
      <c r="A2878" s="1">
        <v>1920</v>
      </c>
      <c r="B2878">
        <v>7</v>
      </c>
      <c r="C2878">
        <v>58</v>
      </c>
      <c r="D2878">
        <v>3</v>
      </c>
      <c r="E2878">
        <v>0</v>
      </c>
      <c r="F2878">
        <v>1</v>
      </c>
      <c r="G2878">
        <v>7</v>
      </c>
      <c r="H2878">
        <v>0</v>
      </c>
      <c r="I2878">
        <v>6000</v>
      </c>
      <c r="J2878">
        <v>4</v>
      </c>
      <c r="K2878">
        <v>0</v>
      </c>
      <c r="L2878" s="4">
        <v>0.87326364529653511</v>
      </c>
      <c r="M2878" s="4">
        <v>0.12673635470346489</v>
      </c>
      <c r="N2878">
        <v>7</v>
      </c>
    </row>
    <row r="2879" spans="1:14" x14ac:dyDescent="0.35">
      <c r="A2879" s="1">
        <v>3377</v>
      </c>
      <c r="B2879">
        <v>7</v>
      </c>
      <c r="C2879">
        <v>51</v>
      </c>
      <c r="D2879">
        <v>3</v>
      </c>
      <c r="E2879">
        <v>1</v>
      </c>
      <c r="F2879">
        <v>3</v>
      </c>
      <c r="G2879">
        <v>3</v>
      </c>
      <c r="H2879">
        <v>2</v>
      </c>
      <c r="I2879">
        <v>1920</v>
      </c>
      <c r="J2879">
        <v>4</v>
      </c>
      <c r="K2879">
        <v>0</v>
      </c>
      <c r="L2879" s="4">
        <v>0.87367788983725114</v>
      </c>
      <c r="M2879" s="4">
        <v>0.12632211016274891</v>
      </c>
      <c r="N2879">
        <v>7</v>
      </c>
    </row>
    <row r="2880" spans="1:14" x14ac:dyDescent="0.35">
      <c r="A2880" s="1">
        <v>1430</v>
      </c>
      <c r="B2880">
        <v>9</v>
      </c>
      <c r="C2880">
        <v>59</v>
      </c>
      <c r="D2880">
        <v>5</v>
      </c>
      <c r="E2880">
        <v>1</v>
      </c>
      <c r="F2880">
        <v>1</v>
      </c>
      <c r="G2880">
        <v>5</v>
      </c>
      <c r="H2880">
        <v>2</v>
      </c>
      <c r="I2880">
        <v>3000</v>
      </c>
      <c r="J2880">
        <v>2</v>
      </c>
      <c r="K2880">
        <v>0</v>
      </c>
      <c r="L2880" s="4">
        <v>0.87384565281716298</v>
      </c>
      <c r="M2880" s="4">
        <v>0.12615434718283711</v>
      </c>
      <c r="N2880">
        <v>7</v>
      </c>
    </row>
    <row r="2881" spans="1:14" x14ac:dyDescent="0.35">
      <c r="A2881" s="1">
        <v>116</v>
      </c>
      <c r="B2881">
        <v>5</v>
      </c>
      <c r="C2881">
        <v>49</v>
      </c>
      <c r="D2881">
        <v>2</v>
      </c>
      <c r="E2881">
        <v>0</v>
      </c>
      <c r="F2881">
        <v>0</v>
      </c>
      <c r="G2881">
        <v>2</v>
      </c>
      <c r="H2881">
        <v>3</v>
      </c>
      <c r="I2881">
        <v>0.01</v>
      </c>
      <c r="J2881">
        <v>4</v>
      </c>
      <c r="K2881">
        <v>0</v>
      </c>
      <c r="L2881" s="4">
        <v>0.87385974816609857</v>
      </c>
      <c r="M2881" s="4">
        <v>0.1261402518339014</v>
      </c>
      <c r="N2881">
        <v>7</v>
      </c>
    </row>
    <row r="2882" spans="1:14" x14ac:dyDescent="0.35">
      <c r="A2882" s="1">
        <v>246</v>
      </c>
      <c r="B2882">
        <v>6</v>
      </c>
      <c r="C2882">
        <v>53</v>
      </c>
      <c r="D2882">
        <v>2</v>
      </c>
      <c r="E2882">
        <v>0</v>
      </c>
      <c r="F2882">
        <v>4</v>
      </c>
      <c r="G2882">
        <v>9</v>
      </c>
      <c r="H2882">
        <v>0</v>
      </c>
      <c r="I2882">
        <v>6600</v>
      </c>
      <c r="J2882">
        <v>8</v>
      </c>
      <c r="K2882">
        <v>0</v>
      </c>
      <c r="L2882" s="4">
        <v>0.87400239656440537</v>
      </c>
      <c r="M2882" s="4">
        <v>0.12599760343559471</v>
      </c>
      <c r="N2882">
        <v>7</v>
      </c>
    </row>
    <row r="2883" spans="1:14" x14ac:dyDescent="0.35">
      <c r="A2883" s="1">
        <v>1627</v>
      </c>
      <c r="B2883">
        <v>5</v>
      </c>
      <c r="C2883">
        <v>46</v>
      </c>
      <c r="D2883">
        <v>0</v>
      </c>
      <c r="E2883">
        <v>1</v>
      </c>
      <c r="F2883">
        <v>3</v>
      </c>
      <c r="G2883">
        <v>3</v>
      </c>
      <c r="H2883">
        <v>0</v>
      </c>
      <c r="I2883">
        <v>9000</v>
      </c>
      <c r="J2883">
        <v>8</v>
      </c>
      <c r="K2883">
        <v>0</v>
      </c>
      <c r="L2883" s="4">
        <v>0.87401811588756184</v>
      </c>
      <c r="M2883" s="4">
        <v>0.12598188411243821</v>
      </c>
      <c r="N2883">
        <v>7</v>
      </c>
    </row>
    <row r="2884" spans="1:14" x14ac:dyDescent="0.35">
      <c r="A2884" s="1">
        <v>3117</v>
      </c>
      <c r="B2884">
        <v>6</v>
      </c>
      <c r="C2884">
        <v>51</v>
      </c>
      <c r="D2884">
        <v>0</v>
      </c>
      <c r="E2884">
        <v>1</v>
      </c>
      <c r="F2884">
        <v>0</v>
      </c>
      <c r="G2884">
        <v>4</v>
      </c>
      <c r="H2884">
        <v>1</v>
      </c>
      <c r="I2884">
        <v>20424.79</v>
      </c>
      <c r="J2884">
        <v>9</v>
      </c>
      <c r="K2884">
        <v>0</v>
      </c>
      <c r="L2884" s="4">
        <v>0.87420357881663924</v>
      </c>
      <c r="M2884" s="4">
        <v>0.12579642118336079</v>
      </c>
      <c r="N2884">
        <v>7</v>
      </c>
    </row>
    <row r="2885" spans="1:14" x14ac:dyDescent="0.35">
      <c r="A2885" s="1">
        <v>1065</v>
      </c>
      <c r="B2885">
        <v>13</v>
      </c>
      <c r="C2885">
        <v>77</v>
      </c>
      <c r="D2885">
        <v>1</v>
      </c>
      <c r="E2885">
        <v>1</v>
      </c>
      <c r="F2885">
        <v>1</v>
      </c>
      <c r="G2885">
        <v>7</v>
      </c>
      <c r="H2885">
        <v>2</v>
      </c>
      <c r="I2885">
        <v>180</v>
      </c>
      <c r="J2885">
        <v>12</v>
      </c>
      <c r="K2885">
        <v>0</v>
      </c>
      <c r="L2885" s="4">
        <v>0.8744751351230684</v>
      </c>
      <c r="M2885" s="4">
        <v>0.1255248648769316</v>
      </c>
      <c r="N2885">
        <v>7</v>
      </c>
    </row>
    <row r="2886" spans="1:14" x14ac:dyDescent="0.35">
      <c r="A2886" s="1">
        <v>1180</v>
      </c>
      <c r="B2886">
        <v>10</v>
      </c>
      <c r="C2886">
        <v>71</v>
      </c>
      <c r="D2886">
        <v>1</v>
      </c>
      <c r="E2886">
        <v>0</v>
      </c>
      <c r="F2886">
        <v>1</v>
      </c>
      <c r="G2886">
        <v>12</v>
      </c>
      <c r="H2886">
        <v>0</v>
      </c>
      <c r="I2886">
        <v>12000</v>
      </c>
      <c r="J2886">
        <v>8</v>
      </c>
      <c r="K2886">
        <v>0</v>
      </c>
      <c r="L2886" s="4">
        <v>0.87449176920449068</v>
      </c>
      <c r="M2886" s="4">
        <v>0.1255082307955093</v>
      </c>
      <c r="N2886">
        <v>7</v>
      </c>
    </row>
    <row r="2887" spans="1:14" x14ac:dyDescent="0.35">
      <c r="A2887" s="1">
        <v>3956</v>
      </c>
      <c r="B2887">
        <v>5</v>
      </c>
      <c r="C2887">
        <v>51</v>
      </c>
      <c r="D2887">
        <v>0</v>
      </c>
      <c r="E2887">
        <v>0</v>
      </c>
      <c r="F2887">
        <v>3</v>
      </c>
      <c r="G2887">
        <v>3</v>
      </c>
      <c r="H2887">
        <v>0</v>
      </c>
      <c r="I2887">
        <v>12000</v>
      </c>
      <c r="J2887">
        <v>3</v>
      </c>
      <c r="K2887">
        <v>0</v>
      </c>
      <c r="L2887" s="4">
        <v>0.87478516553364316</v>
      </c>
      <c r="M2887" s="4">
        <v>0.12521483446635681</v>
      </c>
      <c r="N2887">
        <v>7</v>
      </c>
    </row>
    <row r="2888" spans="1:14" x14ac:dyDescent="0.35">
      <c r="A2888" s="1">
        <v>2481</v>
      </c>
      <c r="B2888">
        <v>7</v>
      </c>
      <c r="C2888">
        <v>56</v>
      </c>
      <c r="D2888">
        <v>5</v>
      </c>
      <c r="E2888">
        <v>0</v>
      </c>
      <c r="F2888">
        <v>2</v>
      </c>
      <c r="G2888">
        <v>0</v>
      </c>
      <c r="H2888">
        <v>2</v>
      </c>
      <c r="I2888">
        <v>3000</v>
      </c>
      <c r="J2888">
        <v>5</v>
      </c>
      <c r="K2888">
        <v>0</v>
      </c>
      <c r="L2888" s="4">
        <v>0.87478612970289693</v>
      </c>
      <c r="M2888" s="4">
        <v>0.12521387029710301</v>
      </c>
      <c r="N2888">
        <v>7</v>
      </c>
    </row>
    <row r="2889" spans="1:14" x14ac:dyDescent="0.35">
      <c r="A2889" s="1">
        <v>3398</v>
      </c>
      <c r="B2889">
        <v>8</v>
      </c>
      <c r="C2889">
        <v>51</v>
      </c>
      <c r="D2889">
        <v>5</v>
      </c>
      <c r="E2889">
        <v>2</v>
      </c>
      <c r="F2889">
        <v>3</v>
      </c>
      <c r="G2889">
        <v>3</v>
      </c>
      <c r="H2889">
        <v>0</v>
      </c>
      <c r="I2889">
        <v>6000</v>
      </c>
      <c r="J2889">
        <v>2</v>
      </c>
      <c r="K2889">
        <v>0</v>
      </c>
      <c r="L2889" s="4">
        <v>0.8750332490818743</v>
      </c>
      <c r="M2889" s="4">
        <v>0.1249667509181257</v>
      </c>
      <c r="N2889">
        <v>7</v>
      </c>
    </row>
    <row r="2890" spans="1:14" x14ac:dyDescent="0.35">
      <c r="A2890" s="1">
        <v>2942</v>
      </c>
      <c r="B2890">
        <v>6</v>
      </c>
      <c r="C2890">
        <v>51</v>
      </c>
      <c r="D2890">
        <v>4</v>
      </c>
      <c r="E2890">
        <v>0</v>
      </c>
      <c r="F2890">
        <v>1</v>
      </c>
      <c r="G2890">
        <v>12</v>
      </c>
      <c r="H2890">
        <v>3</v>
      </c>
      <c r="I2890">
        <v>0.01</v>
      </c>
      <c r="J2890">
        <v>5</v>
      </c>
      <c r="K2890">
        <v>0</v>
      </c>
      <c r="L2890" s="4">
        <v>0.87509682262953581</v>
      </c>
      <c r="M2890" s="4">
        <v>0.12490317737046421</v>
      </c>
      <c r="N2890">
        <v>7</v>
      </c>
    </row>
    <row r="2891" spans="1:14" x14ac:dyDescent="0.35">
      <c r="A2891" s="1">
        <v>1132</v>
      </c>
      <c r="B2891">
        <v>8</v>
      </c>
      <c r="C2891">
        <v>64</v>
      </c>
      <c r="D2891">
        <v>1</v>
      </c>
      <c r="E2891">
        <v>0</v>
      </c>
      <c r="F2891">
        <v>1</v>
      </c>
      <c r="G2891">
        <v>5</v>
      </c>
      <c r="H2891">
        <v>0</v>
      </c>
      <c r="I2891">
        <v>9000</v>
      </c>
      <c r="J2891">
        <v>29</v>
      </c>
      <c r="K2891">
        <v>1</v>
      </c>
      <c r="L2891" s="4">
        <v>0.8751093072813787</v>
      </c>
      <c r="M2891" s="4">
        <v>0.1248906927186213</v>
      </c>
      <c r="N2891">
        <v>7</v>
      </c>
    </row>
    <row r="2892" spans="1:14" x14ac:dyDescent="0.35">
      <c r="A2892" s="1">
        <v>594</v>
      </c>
      <c r="B2892">
        <v>6</v>
      </c>
      <c r="C2892">
        <v>55</v>
      </c>
      <c r="D2892">
        <v>0</v>
      </c>
      <c r="E2892">
        <v>0</v>
      </c>
      <c r="F2892">
        <v>3</v>
      </c>
      <c r="G2892">
        <v>3</v>
      </c>
      <c r="H2892">
        <v>0</v>
      </c>
      <c r="I2892">
        <v>6000</v>
      </c>
      <c r="J2892">
        <v>4</v>
      </c>
      <c r="K2892">
        <v>0</v>
      </c>
      <c r="L2892" s="4">
        <v>0.87537117199615277</v>
      </c>
      <c r="M2892" s="4">
        <v>0.1246288280038472</v>
      </c>
      <c r="N2892">
        <v>7</v>
      </c>
    </row>
    <row r="2893" spans="1:14" x14ac:dyDescent="0.35">
      <c r="A2893" s="1">
        <v>2893</v>
      </c>
      <c r="B2893">
        <v>6</v>
      </c>
      <c r="C2893">
        <v>52</v>
      </c>
      <c r="D2893">
        <v>5</v>
      </c>
      <c r="E2893">
        <v>0</v>
      </c>
      <c r="F2893">
        <v>0</v>
      </c>
      <c r="G2893">
        <v>2</v>
      </c>
      <c r="H2893">
        <v>3</v>
      </c>
      <c r="I2893">
        <v>0.01</v>
      </c>
      <c r="J2893">
        <v>5</v>
      </c>
      <c r="K2893">
        <v>0</v>
      </c>
      <c r="L2893" s="4">
        <v>0.87544146317998628</v>
      </c>
      <c r="M2893" s="4">
        <v>0.12455853682001369</v>
      </c>
      <c r="N2893">
        <v>7</v>
      </c>
    </row>
    <row r="2894" spans="1:14" x14ac:dyDescent="0.35">
      <c r="A2894" s="1">
        <v>2978</v>
      </c>
      <c r="B2894">
        <v>10</v>
      </c>
      <c r="C2894">
        <v>69</v>
      </c>
      <c r="D2894">
        <v>3</v>
      </c>
      <c r="E2894">
        <v>0</v>
      </c>
      <c r="F2894">
        <v>1</v>
      </c>
      <c r="G2894">
        <v>7</v>
      </c>
      <c r="H2894">
        <v>2</v>
      </c>
      <c r="I2894">
        <v>2000</v>
      </c>
      <c r="J2894">
        <v>8</v>
      </c>
      <c r="K2894">
        <v>0</v>
      </c>
      <c r="L2894" s="4">
        <v>0.87547032001228908</v>
      </c>
      <c r="M2894" s="4">
        <v>0.124529679987711</v>
      </c>
      <c r="N2894">
        <v>7</v>
      </c>
    </row>
    <row r="2895" spans="1:14" x14ac:dyDescent="0.35">
      <c r="A2895" s="1">
        <v>4272</v>
      </c>
      <c r="B2895">
        <v>6</v>
      </c>
      <c r="C2895">
        <v>52</v>
      </c>
      <c r="D2895">
        <v>3</v>
      </c>
      <c r="E2895">
        <v>0</v>
      </c>
      <c r="F2895">
        <v>1</v>
      </c>
      <c r="G2895">
        <v>7</v>
      </c>
      <c r="H2895">
        <v>3</v>
      </c>
      <c r="I2895">
        <v>0.01</v>
      </c>
      <c r="J2895">
        <v>7</v>
      </c>
      <c r="K2895">
        <v>0</v>
      </c>
      <c r="L2895" s="4">
        <v>0.8755174370282014</v>
      </c>
      <c r="M2895" s="4">
        <v>0.1244825629717986</v>
      </c>
      <c r="N2895">
        <v>7</v>
      </c>
    </row>
    <row r="2896" spans="1:14" x14ac:dyDescent="0.35">
      <c r="A2896" s="1">
        <v>4421</v>
      </c>
      <c r="B2896">
        <v>7</v>
      </c>
      <c r="C2896">
        <v>58</v>
      </c>
      <c r="D2896">
        <v>3</v>
      </c>
      <c r="E2896">
        <v>0</v>
      </c>
      <c r="F2896">
        <v>3</v>
      </c>
      <c r="G2896">
        <v>3</v>
      </c>
      <c r="H2896">
        <v>0</v>
      </c>
      <c r="I2896">
        <v>7260</v>
      </c>
      <c r="J2896">
        <v>13</v>
      </c>
      <c r="K2896">
        <v>0</v>
      </c>
      <c r="L2896" s="4">
        <v>0.87560187671264333</v>
      </c>
      <c r="M2896" s="4">
        <v>0.1243981232873566</v>
      </c>
      <c r="N2896">
        <v>7</v>
      </c>
    </row>
    <row r="2897" spans="1:14" x14ac:dyDescent="0.35">
      <c r="A2897" s="1">
        <v>2297</v>
      </c>
      <c r="B2897">
        <v>8</v>
      </c>
      <c r="C2897">
        <v>62</v>
      </c>
      <c r="D2897">
        <v>2</v>
      </c>
      <c r="E2897">
        <v>0</v>
      </c>
      <c r="F2897">
        <v>3</v>
      </c>
      <c r="G2897">
        <v>8</v>
      </c>
      <c r="H2897">
        <v>0</v>
      </c>
      <c r="I2897">
        <v>6000</v>
      </c>
      <c r="J2897">
        <v>13</v>
      </c>
      <c r="K2897">
        <v>0</v>
      </c>
      <c r="L2897" s="4">
        <v>0.87561856541583638</v>
      </c>
      <c r="M2897" s="4">
        <v>0.12438143458416361</v>
      </c>
      <c r="N2897">
        <v>7</v>
      </c>
    </row>
    <row r="2898" spans="1:14" x14ac:dyDescent="0.35">
      <c r="A2898" s="1">
        <v>2744</v>
      </c>
      <c r="B2898">
        <v>5</v>
      </c>
      <c r="C2898">
        <v>48</v>
      </c>
      <c r="D2898">
        <v>3</v>
      </c>
      <c r="E2898">
        <v>0</v>
      </c>
      <c r="F2898">
        <v>3</v>
      </c>
      <c r="G2898">
        <v>3</v>
      </c>
      <c r="H2898">
        <v>2</v>
      </c>
      <c r="I2898">
        <v>100</v>
      </c>
      <c r="J2898">
        <v>1</v>
      </c>
      <c r="K2898">
        <v>0</v>
      </c>
      <c r="L2898" s="4">
        <v>0.87567551480211325</v>
      </c>
      <c r="M2898" s="4">
        <v>0.1243244851978868</v>
      </c>
      <c r="N2898">
        <v>7</v>
      </c>
    </row>
    <row r="2899" spans="1:14" x14ac:dyDescent="0.35">
      <c r="A2899" s="1">
        <v>1568</v>
      </c>
      <c r="B2899">
        <v>8</v>
      </c>
      <c r="C2899">
        <v>62</v>
      </c>
      <c r="D2899">
        <v>2</v>
      </c>
      <c r="E2899">
        <v>0</v>
      </c>
      <c r="F2899">
        <v>3</v>
      </c>
      <c r="G2899">
        <v>8</v>
      </c>
      <c r="H2899">
        <v>0</v>
      </c>
      <c r="I2899">
        <v>9600</v>
      </c>
      <c r="J2899">
        <v>8</v>
      </c>
      <c r="K2899">
        <v>1</v>
      </c>
      <c r="L2899" s="4">
        <v>0.87568659997162335</v>
      </c>
      <c r="M2899" s="4">
        <v>0.1243134000283766</v>
      </c>
      <c r="N2899">
        <v>7</v>
      </c>
    </row>
    <row r="2900" spans="1:14" x14ac:dyDescent="0.35">
      <c r="A2900" s="1">
        <v>2315</v>
      </c>
      <c r="B2900">
        <v>10</v>
      </c>
      <c r="C2900">
        <v>69</v>
      </c>
      <c r="D2900">
        <v>5</v>
      </c>
      <c r="E2900">
        <v>0</v>
      </c>
      <c r="F2900">
        <v>0</v>
      </c>
      <c r="G2900">
        <v>4</v>
      </c>
      <c r="H2900">
        <v>2</v>
      </c>
      <c r="I2900">
        <v>1900</v>
      </c>
      <c r="J2900">
        <v>12</v>
      </c>
      <c r="K2900">
        <v>0</v>
      </c>
      <c r="L2900" s="4">
        <v>0.87576794540194136</v>
      </c>
      <c r="M2900" s="4">
        <v>0.1242320545980586</v>
      </c>
      <c r="N2900">
        <v>7</v>
      </c>
    </row>
    <row r="2901" spans="1:14" x14ac:dyDescent="0.35">
      <c r="A2901" s="1">
        <v>191</v>
      </c>
      <c r="B2901">
        <v>13</v>
      </c>
      <c r="C2901">
        <v>73</v>
      </c>
      <c r="D2901">
        <v>3</v>
      </c>
      <c r="E2901">
        <v>2</v>
      </c>
      <c r="F2901">
        <v>3</v>
      </c>
      <c r="G2901">
        <v>3</v>
      </c>
      <c r="H2901">
        <v>0</v>
      </c>
      <c r="I2901">
        <v>12106.69</v>
      </c>
      <c r="J2901">
        <v>30</v>
      </c>
      <c r="K2901">
        <v>0</v>
      </c>
      <c r="L2901" s="4">
        <v>0.87577629694811099</v>
      </c>
      <c r="M2901" s="4">
        <v>0.124223703051889</v>
      </c>
      <c r="N2901">
        <v>7</v>
      </c>
    </row>
    <row r="2902" spans="1:14" x14ac:dyDescent="0.35">
      <c r="A2902" s="1">
        <v>4371</v>
      </c>
      <c r="B2902">
        <v>13</v>
      </c>
      <c r="C2902">
        <v>77</v>
      </c>
      <c r="D2902">
        <v>1</v>
      </c>
      <c r="E2902">
        <v>1</v>
      </c>
      <c r="F2902">
        <v>4</v>
      </c>
      <c r="G2902">
        <v>9</v>
      </c>
      <c r="H2902">
        <v>0</v>
      </c>
      <c r="I2902">
        <v>6000</v>
      </c>
      <c r="J2902">
        <v>1</v>
      </c>
      <c r="K2902">
        <v>0</v>
      </c>
      <c r="L2902" s="4">
        <v>0.87589394354581018</v>
      </c>
      <c r="M2902" s="4">
        <v>0.1241060564541898</v>
      </c>
      <c r="N2902">
        <v>7</v>
      </c>
    </row>
    <row r="2903" spans="1:14" x14ac:dyDescent="0.35">
      <c r="A2903" s="1">
        <v>3009</v>
      </c>
      <c r="B2903">
        <v>7</v>
      </c>
      <c r="C2903">
        <v>51</v>
      </c>
      <c r="D2903">
        <v>2</v>
      </c>
      <c r="E2903">
        <v>1</v>
      </c>
      <c r="F2903">
        <v>3</v>
      </c>
      <c r="G2903">
        <v>3</v>
      </c>
      <c r="H2903">
        <v>3</v>
      </c>
      <c r="I2903">
        <v>0.01</v>
      </c>
      <c r="J2903">
        <v>4</v>
      </c>
      <c r="K2903">
        <v>0</v>
      </c>
      <c r="L2903" s="4">
        <v>0.87595595969295781</v>
      </c>
      <c r="M2903" s="4">
        <v>0.12404404030704221</v>
      </c>
      <c r="N2903">
        <v>7</v>
      </c>
    </row>
    <row r="2904" spans="1:14" x14ac:dyDescent="0.35">
      <c r="A2904" s="1">
        <v>3645</v>
      </c>
      <c r="B2904">
        <v>6</v>
      </c>
      <c r="C2904">
        <v>47</v>
      </c>
      <c r="D2904">
        <v>5</v>
      </c>
      <c r="E2904">
        <v>1</v>
      </c>
      <c r="F2904">
        <v>0</v>
      </c>
      <c r="G2904">
        <v>4</v>
      </c>
      <c r="H2904">
        <v>3</v>
      </c>
      <c r="I2904">
        <v>0.01</v>
      </c>
      <c r="J2904">
        <v>5</v>
      </c>
      <c r="K2904">
        <v>0</v>
      </c>
      <c r="L2904" s="4">
        <v>0.87604931273941089</v>
      </c>
      <c r="M2904" s="4">
        <v>0.1239506872605891</v>
      </c>
      <c r="N2904">
        <v>7</v>
      </c>
    </row>
    <row r="2905" spans="1:14" x14ac:dyDescent="0.35">
      <c r="A2905" s="1">
        <v>2962</v>
      </c>
      <c r="B2905">
        <v>7</v>
      </c>
      <c r="C2905">
        <v>47</v>
      </c>
      <c r="D2905">
        <v>0</v>
      </c>
      <c r="E2905">
        <v>2</v>
      </c>
      <c r="F2905">
        <v>3</v>
      </c>
      <c r="G2905">
        <v>3</v>
      </c>
      <c r="H2905">
        <v>3</v>
      </c>
      <c r="I2905">
        <v>0.01</v>
      </c>
      <c r="J2905">
        <v>5</v>
      </c>
      <c r="K2905">
        <v>0</v>
      </c>
      <c r="L2905" s="4">
        <v>0.87605271489513603</v>
      </c>
      <c r="M2905" s="4">
        <v>0.1239472851048639</v>
      </c>
      <c r="N2905">
        <v>7</v>
      </c>
    </row>
    <row r="2906" spans="1:14" x14ac:dyDescent="0.35">
      <c r="A2906" s="1">
        <v>471</v>
      </c>
      <c r="B2906">
        <v>5</v>
      </c>
      <c r="C2906">
        <v>48</v>
      </c>
      <c r="D2906">
        <v>3</v>
      </c>
      <c r="E2906">
        <v>0</v>
      </c>
      <c r="F2906">
        <v>1</v>
      </c>
      <c r="G2906">
        <v>7</v>
      </c>
      <c r="H2906">
        <v>3</v>
      </c>
      <c r="I2906">
        <v>0.01</v>
      </c>
      <c r="J2906">
        <v>5</v>
      </c>
      <c r="K2906">
        <v>0</v>
      </c>
      <c r="L2906" s="4">
        <v>0.87612559645622534</v>
      </c>
      <c r="M2906" s="4">
        <v>0.1238744035437747</v>
      </c>
      <c r="N2906">
        <v>7</v>
      </c>
    </row>
    <row r="2907" spans="1:14" x14ac:dyDescent="0.35">
      <c r="A2907" s="1">
        <v>2392</v>
      </c>
      <c r="B2907">
        <v>9</v>
      </c>
      <c r="C2907">
        <v>61</v>
      </c>
      <c r="D2907">
        <v>0</v>
      </c>
      <c r="E2907">
        <v>1</v>
      </c>
      <c r="F2907">
        <v>3</v>
      </c>
      <c r="G2907">
        <v>3</v>
      </c>
      <c r="H2907">
        <v>2</v>
      </c>
      <c r="I2907">
        <v>3600</v>
      </c>
      <c r="J2907">
        <v>12</v>
      </c>
      <c r="K2907">
        <v>0</v>
      </c>
      <c r="L2907" s="4">
        <v>0.87613040939761921</v>
      </c>
      <c r="M2907" s="4">
        <v>0.1238695906023807</v>
      </c>
      <c r="N2907">
        <v>7</v>
      </c>
    </row>
    <row r="2908" spans="1:14" x14ac:dyDescent="0.35">
      <c r="A2908" s="1">
        <v>3424</v>
      </c>
      <c r="B2908">
        <v>7</v>
      </c>
      <c r="C2908">
        <v>51</v>
      </c>
      <c r="D2908">
        <v>3</v>
      </c>
      <c r="E2908">
        <v>1</v>
      </c>
      <c r="F2908">
        <v>3</v>
      </c>
      <c r="G2908">
        <v>8</v>
      </c>
      <c r="H2908">
        <v>2</v>
      </c>
      <c r="I2908">
        <v>1000</v>
      </c>
      <c r="J2908">
        <v>9</v>
      </c>
      <c r="K2908">
        <v>0</v>
      </c>
      <c r="L2908" s="4">
        <v>0.87614075917824319</v>
      </c>
      <c r="M2908" s="4">
        <v>0.1238592408217568</v>
      </c>
      <c r="N2908">
        <v>7</v>
      </c>
    </row>
    <row r="2909" spans="1:14" x14ac:dyDescent="0.35">
      <c r="A2909" s="1">
        <v>4304</v>
      </c>
      <c r="B2909">
        <v>6</v>
      </c>
      <c r="C2909">
        <v>47</v>
      </c>
      <c r="D2909">
        <v>2</v>
      </c>
      <c r="E2909">
        <v>1</v>
      </c>
      <c r="F2909">
        <v>3</v>
      </c>
      <c r="G2909">
        <v>3</v>
      </c>
      <c r="H2909">
        <v>3</v>
      </c>
      <c r="I2909">
        <v>0.01</v>
      </c>
      <c r="J2909">
        <v>5</v>
      </c>
      <c r="K2909">
        <v>0</v>
      </c>
      <c r="L2909" s="4">
        <v>0.87614453899550737</v>
      </c>
      <c r="M2909" s="4">
        <v>0.1238554610044927</v>
      </c>
      <c r="N2909">
        <v>7</v>
      </c>
    </row>
    <row r="2910" spans="1:14" x14ac:dyDescent="0.35">
      <c r="A2910" s="1">
        <v>465</v>
      </c>
      <c r="B2910">
        <v>9</v>
      </c>
      <c r="C2910">
        <v>65</v>
      </c>
      <c r="D2910">
        <v>5</v>
      </c>
      <c r="E2910">
        <v>0</v>
      </c>
      <c r="F2910">
        <v>3</v>
      </c>
      <c r="G2910">
        <v>3</v>
      </c>
      <c r="H2910">
        <v>1</v>
      </c>
      <c r="I2910">
        <v>26000.01</v>
      </c>
      <c r="J2910">
        <v>9</v>
      </c>
      <c r="K2910">
        <v>0</v>
      </c>
      <c r="L2910" s="4">
        <v>0.87618287862989142</v>
      </c>
      <c r="M2910" s="4">
        <v>0.1238171213701086</v>
      </c>
      <c r="N2910">
        <v>7</v>
      </c>
    </row>
    <row r="2911" spans="1:14" x14ac:dyDescent="0.35">
      <c r="A2911" s="1">
        <v>1514</v>
      </c>
      <c r="B2911">
        <v>10</v>
      </c>
      <c r="C2911">
        <v>72</v>
      </c>
      <c r="D2911">
        <v>2</v>
      </c>
      <c r="E2911">
        <v>0</v>
      </c>
      <c r="F2911">
        <v>0</v>
      </c>
      <c r="G2911">
        <v>4</v>
      </c>
      <c r="H2911">
        <v>0</v>
      </c>
      <c r="I2911">
        <v>11105.32</v>
      </c>
      <c r="J2911">
        <v>8</v>
      </c>
      <c r="K2911">
        <v>0</v>
      </c>
      <c r="L2911" s="4">
        <v>0.8761915181890868</v>
      </c>
      <c r="M2911" s="4">
        <v>0.1238084818109132</v>
      </c>
      <c r="N2911">
        <v>7</v>
      </c>
    </row>
    <row r="2912" spans="1:14" x14ac:dyDescent="0.35">
      <c r="A2912" s="1">
        <v>3801</v>
      </c>
      <c r="B2912">
        <v>6</v>
      </c>
      <c r="C2912">
        <v>52</v>
      </c>
      <c r="D2912">
        <v>2</v>
      </c>
      <c r="E2912">
        <v>0</v>
      </c>
      <c r="F2912">
        <v>3</v>
      </c>
      <c r="G2912">
        <v>3</v>
      </c>
      <c r="H2912">
        <v>3</v>
      </c>
      <c r="I2912">
        <v>0.01</v>
      </c>
      <c r="J2912">
        <v>7</v>
      </c>
      <c r="K2912">
        <v>0</v>
      </c>
      <c r="L2912" s="4">
        <v>0.87645052166698845</v>
      </c>
      <c r="M2912" s="4">
        <v>0.1235494783330115</v>
      </c>
      <c r="N2912">
        <v>7</v>
      </c>
    </row>
    <row r="2913" spans="1:14" x14ac:dyDescent="0.35">
      <c r="A2913" s="1">
        <v>2313</v>
      </c>
      <c r="B2913">
        <v>8</v>
      </c>
      <c r="C2913">
        <v>60</v>
      </c>
      <c r="D2913">
        <v>5</v>
      </c>
      <c r="E2913">
        <v>0</v>
      </c>
      <c r="F2913">
        <v>1</v>
      </c>
      <c r="G2913">
        <v>7</v>
      </c>
      <c r="H2913">
        <v>2</v>
      </c>
      <c r="I2913">
        <v>1000</v>
      </c>
      <c r="J2913">
        <v>1</v>
      </c>
      <c r="K2913">
        <v>0</v>
      </c>
      <c r="L2913" s="4">
        <v>0.87645703064498415</v>
      </c>
      <c r="M2913" s="4">
        <v>0.12354296935501589</v>
      </c>
      <c r="N2913">
        <v>7</v>
      </c>
    </row>
    <row r="2914" spans="1:14" x14ac:dyDescent="0.35">
      <c r="A2914" s="1">
        <v>1135</v>
      </c>
      <c r="B2914">
        <v>5</v>
      </c>
      <c r="C2914">
        <v>52</v>
      </c>
      <c r="D2914">
        <v>1</v>
      </c>
      <c r="E2914">
        <v>0</v>
      </c>
      <c r="F2914">
        <v>0</v>
      </c>
      <c r="G2914">
        <v>4</v>
      </c>
      <c r="H2914">
        <v>0</v>
      </c>
      <c r="I2914">
        <v>6477.11</v>
      </c>
      <c r="J2914">
        <v>2</v>
      </c>
      <c r="K2914">
        <v>0</v>
      </c>
      <c r="L2914" s="4">
        <v>0.87662194670514848</v>
      </c>
      <c r="M2914" s="4">
        <v>0.12337805329485151</v>
      </c>
      <c r="N2914">
        <v>7</v>
      </c>
    </row>
    <row r="2915" spans="1:14" x14ac:dyDescent="0.35">
      <c r="A2915" s="1">
        <v>2620</v>
      </c>
      <c r="B2915">
        <v>7</v>
      </c>
      <c r="C2915">
        <v>53</v>
      </c>
      <c r="D2915">
        <v>3</v>
      </c>
      <c r="E2915">
        <v>1</v>
      </c>
      <c r="F2915">
        <v>3</v>
      </c>
      <c r="G2915">
        <v>3</v>
      </c>
      <c r="H2915">
        <v>0</v>
      </c>
      <c r="I2915">
        <v>6000</v>
      </c>
      <c r="J2915">
        <v>2</v>
      </c>
      <c r="K2915">
        <v>0</v>
      </c>
      <c r="L2915" s="4">
        <v>0.87677056568216705</v>
      </c>
      <c r="M2915" s="4">
        <v>0.1232294343178329</v>
      </c>
      <c r="N2915">
        <v>7</v>
      </c>
    </row>
    <row r="2916" spans="1:14" x14ac:dyDescent="0.35">
      <c r="A2916" s="1">
        <v>3739</v>
      </c>
      <c r="B2916">
        <v>8</v>
      </c>
      <c r="C2916">
        <v>61</v>
      </c>
      <c r="D2916">
        <v>2</v>
      </c>
      <c r="E2916">
        <v>0</v>
      </c>
      <c r="F2916">
        <v>1</v>
      </c>
      <c r="G2916">
        <v>12</v>
      </c>
      <c r="H2916">
        <v>2</v>
      </c>
      <c r="I2916">
        <v>1000</v>
      </c>
      <c r="J2916">
        <v>5</v>
      </c>
      <c r="K2916">
        <v>0</v>
      </c>
      <c r="L2916" s="4">
        <v>0.87684341847869307</v>
      </c>
      <c r="M2916" s="4">
        <v>0.1231565815213069</v>
      </c>
      <c r="N2916">
        <v>7</v>
      </c>
    </row>
    <row r="2917" spans="1:14" x14ac:dyDescent="0.35">
      <c r="A2917" s="1">
        <v>995</v>
      </c>
      <c r="B2917">
        <v>6</v>
      </c>
      <c r="C2917">
        <v>55</v>
      </c>
      <c r="D2917">
        <v>2</v>
      </c>
      <c r="E2917">
        <v>0</v>
      </c>
      <c r="F2917">
        <v>0</v>
      </c>
      <c r="G2917">
        <v>11</v>
      </c>
      <c r="H2917">
        <v>0</v>
      </c>
      <c r="I2917">
        <v>6000</v>
      </c>
      <c r="J2917">
        <v>2</v>
      </c>
      <c r="K2917">
        <v>0</v>
      </c>
      <c r="L2917" s="4">
        <v>0.87687071099509473</v>
      </c>
      <c r="M2917" s="4">
        <v>0.1231292890049053</v>
      </c>
      <c r="N2917">
        <v>7</v>
      </c>
    </row>
    <row r="2918" spans="1:14" x14ac:dyDescent="0.35">
      <c r="A2918" s="1">
        <v>2762</v>
      </c>
      <c r="B2918">
        <v>6</v>
      </c>
      <c r="C2918">
        <v>48</v>
      </c>
      <c r="D2918">
        <v>5</v>
      </c>
      <c r="E2918">
        <v>1</v>
      </c>
      <c r="F2918">
        <v>0</v>
      </c>
      <c r="G2918">
        <v>4</v>
      </c>
      <c r="H2918">
        <v>2</v>
      </c>
      <c r="I2918">
        <v>245.61</v>
      </c>
      <c r="J2918">
        <v>11</v>
      </c>
      <c r="K2918">
        <v>0</v>
      </c>
      <c r="L2918" s="4">
        <v>0.87692145857032633</v>
      </c>
      <c r="M2918" s="4">
        <v>0.1230785414296737</v>
      </c>
      <c r="N2918">
        <v>7</v>
      </c>
    </row>
    <row r="2919" spans="1:14" x14ac:dyDescent="0.35">
      <c r="A2919" s="1">
        <v>4125</v>
      </c>
      <c r="B2919">
        <v>8</v>
      </c>
      <c r="C2919">
        <v>57</v>
      </c>
      <c r="D2919">
        <v>0</v>
      </c>
      <c r="E2919">
        <v>1</v>
      </c>
      <c r="F2919">
        <v>3</v>
      </c>
      <c r="G2919">
        <v>3</v>
      </c>
      <c r="H2919">
        <v>2</v>
      </c>
      <c r="I2919">
        <v>3000</v>
      </c>
      <c r="J2919">
        <v>9</v>
      </c>
      <c r="K2919">
        <v>0</v>
      </c>
      <c r="L2919" s="4">
        <v>0.87697914202555494</v>
      </c>
      <c r="M2919" s="4">
        <v>0.12302085797444511</v>
      </c>
      <c r="N2919">
        <v>7</v>
      </c>
    </row>
    <row r="2920" spans="1:14" x14ac:dyDescent="0.35">
      <c r="A2920" s="1">
        <v>3090</v>
      </c>
      <c r="B2920">
        <v>7</v>
      </c>
      <c r="C2920">
        <v>45</v>
      </c>
      <c r="D2920">
        <v>5</v>
      </c>
      <c r="E2920">
        <v>2</v>
      </c>
      <c r="F2920">
        <v>3</v>
      </c>
      <c r="G2920">
        <v>3</v>
      </c>
      <c r="H2920">
        <v>3</v>
      </c>
      <c r="I2920">
        <v>0.01</v>
      </c>
      <c r="J2920">
        <v>7</v>
      </c>
      <c r="K2920">
        <v>0</v>
      </c>
      <c r="L2920" s="4">
        <v>0.87698298862374247</v>
      </c>
      <c r="M2920" s="4">
        <v>0.12301701137625751</v>
      </c>
      <c r="N2920">
        <v>7</v>
      </c>
    </row>
    <row r="2921" spans="1:14" x14ac:dyDescent="0.35">
      <c r="A2921" s="1">
        <v>623</v>
      </c>
      <c r="B2921">
        <v>5</v>
      </c>
      <c r="C2921">
        <v>47</v>
      </c>
      <c r="D2921">
        <v>2</v>
      </c>
      <c r="E2921">
        <v>1</v>
      </c>
      <c r="F2921">
        <v>0</v>
      </c>
      <c r="G2921">
        <v>2</v>
      </c>
      <c r="H2921">
        <v>0</v>
      </c>
      <c r="I2921">
        <v>6105.32</v>
      </c>
      <c r="J2921">
        <v>7</v>
      </c>
      <c r="K2921">
        <v>0</v>
      </c>
      <c r="L2921" s="4">
        <v>0.87706518360530072</v>
      </c>
      <c r="M2921" s="4">
        <v>0.12293481639469921</v>
      </c>
      <c r="N2921">
        <v>7</v>
      </c>
    </row>
    <row r="2922" spans="1:14" x14ac:dyDescent="0.35">
      <c r="A2922" s="1">
        <v>3407</v>
      </c>
      <c r="B2922">
        <v>7</v>
      </c>
      <c r="C2922">
        <v>56</v>
      </c>
      <c r="D2922">
        <v>4</v>
      </c>
      <c r="E2922">
        <v>0</v>
      </c>
      <c r="F2922">
        <v>3</v>
      </c>
      <c r="G2922">
        <v>3</v>
      </c>
      <c r="H2922">
        <v>2</v>
      </c>
      <c r="I2922">
        <v>1000</v>
      </c>
      <c r="J2922">
        <v>5</v>
      </c>
      <c r="K2922">
        <v>1</v>
      </c>
      <c r="L2922" s="4">
        <v>0.87715596526297868</v>
      </c>
      <c r="M2922" s="4">
        <v>0.12284403473702139</v>
      </c>
      <c r="N2922">
        <v>7</v>
      </c>
    </row>
    <row r="2923" spans="1:14" x14ac:dyDescent="0.35">
      <c r="A2923" s="1">
        <v>3475</v>
      </c>
      <c r="B2923">
        <v>13</v>
      </c>
      <c r="C2923">
        <v>74</v>
      </c>
      <c r="D2923">
        <v>3</v>
      </c>
      <c r="E2923">
        <v>2</v>
      </c>
      <c r="F2923">
        <v>0</v>
      </c>
      <c r="G2923">
        <v>2</v>
      </c>
      <c r="H2923">
        <v>1</v>
      </c>
      <c r="I2923">
        <v>31053.35</v>
      </c>
      <c r="J2923">
        <v>6</v>
      </c>
      <c r="K2923">
        <v>0</v>
      </c>
      <c r="L2923" s="4">
        <v>0.87726288093866156</v>
      </c>
      <c r="M2923" s="4">
        <v>0.1227371190613384</v>
      </c>
      <c r="N2923">
        <v>7</v>
      </c>
    </row>
    <row r="2924" spans="1:14" x14ac:dyDescent="0.35">
      <c r="A2924" s="1">
        <v>1120</v>
      </c>
      <c r="B2924">
        <v>5</v>
      </c>
      <c r="C2924">
        <v>49</v>
      </c>
      <c r="D2924">
        <v>3</v>
      </c>
      <c r="E2924">
        <v>0</v>
      </c>
      <c r="F2924">
        <v>0</v>
      </c>
      <c r="G2924">
        <v>4</v>
      </c>
      <c r="H2924">
        <v>3</v>
      </c>
      <c r="I2924">
        <v>0.01</v>
      </c>
      <c r="J2924">
        <v>8</v>
      </c>
      <c r="K2924">
        <v>0</v>
      </c>
      <c r="L2924" s="4">
        <v>0.87736026546349855</v>
      </c>
      <c r="M2924" s="4">
        <v>0.1226397345365015</v>
      </c>
      <c r="N2924">
        <v>7</v>
      </c>
    </row>
    <row r="2925" spans="1:14" x14ac:dyDescent="0.35">
      <c r="A2925" s="1">
        <v>3334</v>
      </c>
      <c r="B2925">
        <v>6</v>
      </c>
      <c r="C2925">
        <v>51</v>
      </c>
      <c r="D2925">
        <v>5</v>
      </c>
      <c r="E2925">
        <v>0</v>
      </c>
      <c r="F2925">
        <v>1</v>
      </c>
      <c r="G2925">
        <v>12</v>
      </c>
      <c r="H2925">
        <v>3</v>
      </c>
      <c r="I2925">
        <v>0.01</v>
      </c>
      <c r="J2925">
        <v>9</v>
      </c>
      <c r="K2925">
        <v>1</v>
      </c>
      <c r="L2925" s="4">
        <v>0.87739160323192233</v>
      </c>
      <c r="M2925" s="4">
        <v>0.1226083967680776</v>
      </c>
      <c r="N2925">
        <v>7</v>
      </c>
    </row>
    <row r="2926" spans="1:14" x14ac:dyDescent="0.35">
      <c r="A2926" s="1">
        <v>1498</v>
      </c>
      <c r="B2926">
        <v>7</v>
      </c>
      <c r="C2926">
        <v>60</v>
      </c>
      <c r="D2926">
        <v>2</v>
      </c>
      <c r="E2926">
        <v>0</v>
      </c>
      <c r="F2926">
        <v>0</v>
      </c>
      <c r="G2926">
        <v>2</v>
      </c>
      <c r="H2926">
        <v>0</v>
      </c>
      <c r="I2926">
        <v>6000</v>
      </c>
      <c r="J2926">
        <v>4</v>
      </c>
      <c r="K2926">
        <v>0</v>
      </c>
      <c r="L2926" s="4">
        <v>0.87742853724336556</v>
      </c>
      <c r="M2926" s="4">
        <v>0.1225714627566344</v>
      </c>
      <c r="N2926">
        <v>7</v>
      </c>
    </row>
    <row r="2927" spans="1:14" x14ac:dyDescent="0.35">
      <c r="A2927" s="1">
        <v>2391</v>
      </c>
      <c r="B2927">
        <v>6</v>
      </c>
      <c r="C2927">
        <v>48</v>
      </c>
      <c r="D2927">
        <v>2</v>
      </c>
      <c r="E2927">
        <v>1</v>
      </c>
      <c r="F2927">
        <v>3</v>
      </c>
      <c r="G2927">
        <v>3</v>
      </c>
      <c r="H2927">
        <v>2</v>
      </c>
      <c r="I2927">
        <v>1050</v>
      </c>
      <c r="J2927">
        <v>7</v>
      </c>
      <c r="K2927">
        <v>0</v>
      </c>
      <c r="L2927" s="4">
        <v>0.87743013648095458</v>
      </c>
      <c r="M2927" s="4">
        <v>0.1225698635190454</v>
      </c>
      <c r="N2927">
        <v>7</v>
      </c>
    </row>
    <row r="2928" spans="1:14" x14ac:dyDescent="0.35">
      <c r="A2928" s="1">
        <v>3180</v>
      </c>
      <c r="B2928">
        <v>5</v>
      </c>
      <c r="C2928">
        <v>47</v>
      </c>
      <c r="D2928">
        <v>0</v>
      </c>
      <c r="E2928">
        <v>1</v>
      </c>
      <c r="F2928">
        <v>1</v>
      </c>
      <c r="G2928">
        <v>7</v>
      </c>
      <c r="H2928">
        <v>0</v>
      </c>
      <c r="I2928">
        <v>6053.35</v>
      </c>
      <c r="J2928">
        <v>6</v>
      </c>
      <c r="K2928">
        <v>0</v>
      </c>
      <c r="L2928" s="4">
        <v>0.87756415403865351</v>
      </c>
      <c r="M2928" s="4">
        <v>0.1224358459613465</v>
      </c>
      <c r="N2928">
        <v>7</v>
      </c>
    </row>
    <row r="2929" spans="1:14" x14ac:dyDescent="0.35">
      <c r="A2929" s="1">
        <v>1904</v>
      </c>
      <c r="B2929">
        <v>7</v>
      </c>
      <c r="C2929">
        <v>52</v>
      </c>
      <c r="D2929">
        <v>2</v>
      </c>
      <c r="E2929">
        <v>1</v>
      </c>
      <c r="F2929">
        <v>0</v>
      </c>
      <c r="G2929">
        <v>11</v>
      </c>
      <c r="H2929">
        <v>3</v>
      </c>
      <c r="I2929">
        <v>0.01</v>
      </c>
      <c r="J2929">
        <v>7</v>
      </c>
      <c r="K2929">
        <v>0</v>
      </c>
      <c r="L2929" s="4">
        <v>0.87757234181555699</v>
      </c>
      <c r="M2929" s="4">
        <v>0.122427658184443</v>
      </c>
      <c r="N2929">
        <v>7</v>
      </c>
    </row>
    <row r="2930" spans="1:14" x14ac:dyDescent="0.35">
      <c r="A2930" s="1">
        <v>4423</v>
      </c>
      <c r="B2930">
        <v>8</v>
      </c>
      <c r="C2930">
        <v>61</v>
      </c>
      <c r="D2930">
        <v>2</v>
      </c>
      <c r="E2930">
        <v>0</v>
      </c>
      <c r="F2930">
        <v>0</v>
      </c>
      <c r="G2930">
        <v>10</v>
      </c>
      <c r="H2930">
        <v>3</v>
      </c>
      <c r="I2930">
        <v>0.01</v>
      </c>
      <c r="J2930">
        <v>4</v>
      </c>
      <c r="K2930">
        <v>0</v>
      </c>
      <c r="L2930" s="4">
        <v>0.87765148355631095</v>
      </c>
      <c r="M2930" s="4">
        <v>0.12234851644368901</v>
      </c>
      <c r="N2930">
        <v>7</v>
      </c>
    </row>
    <row r="2931" spans="1:14" x14ac:dyDescent="0.35">
      <c r="A2931" s="1">
        <v>2591</v>
      </c>
      <c r="B2931">
        <v>8</v>
      </c>
      <c r="C2931">
        <v>54</v>
      </c>
      <c r="D2931">
        <v>5</v>
      </c>
      <c r="E2931">
        <v>1</v>
      </c>
      <c r="F2931">
        <v>3</v>
      </c>
      <c r="G2931">
        <v>3</v>
      </c>
      <c r="H2931">
        <v>3</v>
      </c>
      <c r="I2931">
        <v>0.01</v>
      </c>
      <c r="J2931">
        <v>4</v>
      </c>
      <c r="K2931">
        <v>0</v>
      </c>
      <c r="L2931" s="4">
        <v>0.87765312820183072</v>
      </c>
      <c r="M2931" s="4">
        <v>0.1223468717981693</v>
      </c>
      <c r="N2931">
        <v>7</v>
      </c>
    </row>
    <row r="2932" spans="1:14" x14ac:dyDescent="0.35">
      <c r="A2932" s="1">
        <v>3958</v>
      </c>
      <c r="B2932">
        <v>6</v>
      </c>
      <c r="C2932">
        <v>55</v>
      </c>
      <c r="D2932">
        <v>2</v>
      </c>
      <c r="E2932">
        <v>0</v>
      </c>
      <c r="F2932">
        <v>1</v>
      </c>
      <c r="G2932">
        <v>7</v>
      </c>
      <c r="H2932">
        <v>0</v>
      </c>
      <c r="I2932">
        <v>6000</v>
      </c>
      <c r="J2932">
        <v>1</v>
      </c>
      <c r="K2932">
        <v>0</v>
      </c>
      <c r="L2932" s="4">
        <v>0.87770523498959274</v>
      </c>
      <c r="M2932" s="4">
        <v>0.1222947650104073</v>
      </c>
      <c r="N2932">
        <v>7</v>
      </c>
    </row>
    <row r="2933" spans="1:14" x14ac:dyDescent="0.35">
      <c r="A2933" s="1">
        <v>608</v>
      </c>
      <c r="B2933">
        <v>8</v>
      </c>
      <c r="C2933">
        <v>61</v>
      </c>
      <c r="D2933">
        <v>5</v>
      </c>
      <c r="E2933">
        <v>0</v>
      </c>
      <c r="F2933">
        <v>0</v>
      </c>
      <c r="G2933">
        <v>4</v>
      </c>
      <c r="H2933">
        <v>2</v>
      </c>
      <c r="I2933">
        <v>3000</v>
      </c>
      <c r="J2933">
        <v>1</v>
      </c>
      <c r="K2933">
        <v>1</v>
      </c>
      <c r="L2933" s="4">
        <v>0.87775676178908446</v>
      </c>
      <c r="M2933" s="4">
        <v>0.1222432382109155</v>
      </c>
      <c r="N2933">
        <v>7</v>
      </c>
    </row>
    <row r="2934" spans="1:14" x14ac:dyDescent="0.35">
      <c r="A2934" s="1">
        <v>1907</v>
      </c>
      <c r="B2934">
        <v>6</v>
      </c>
      <c r="C2934">
        <v>51</v>
      </c>
      <c r="D2934">
        <v>1</v>
      </c>
      <c r="E2934">
        <v>1</v>
      </c>
      <c r="F2934">
        <v>2</v>
      </c>
      <c r="G2934">
        <v>1</v>
      </c>
      <c r="H2934">
        <v>0</v>
      </c>
      <c r="I2934">
        <v>15053.35</v>
      </c>
      <c r="J2934">
        <v>7</v>
      </c>
      <c r="K2934">
        <v>0</v>
      </c>
      <c r="L2934" s="4">
        <v>0.8778842460495393</v>
      </c>
      <c r="M2934" s="4">
        <v>0.1221157539504607</v>
      </c>
      <c r="N2934">
        <v>7</v>
      </c>
    </row>
    <row r="2935" spans="1:14" x14ac:dyDescent="0.35">
      <c r="A2935" s="1">
        <v>1285</v>
      </c>
      <c r="B2935">
        <v>7</v>
      </c>
      <c r="C2935">
        <v>51</v>
      </c>
      <c r="D2935">
        <v>5</v>
      </c>
      <c r="E2935">
        <v>1</v>
      </c>
      <c r="F2935">
        <v>1</v>
      </c>
      <c r="G2935">
        <v>12</v>
      </c>
      <c r="H2935">
        <v>2</v>
      </c>
      <c r="I2935">
        <v>3000</v>
      </c>
      <c r="J2935">
        <v>7</v>
      </c>
      <c r="K2935">
        <v>0</v>
      </c>
      <c r="L2935" s="4">
        <v>0.87798033529356123</v>
      </c>
      <c r="M2935" s="4">
        <v>0.1220196647064388</v>
      </c>
      <c r="N2935">
        <v>7</v>
      </c>
    </row>
    <row r="2936" spans="1:14" x14ac:dyDescent="0.35">
      <c r="A2936" s="1">
        <v>3245</v>
      </c>
      <c r="B2936">
        <v>9</v>
      </c>
      <c r="C2936">
        <v>64</v>
      </c>
      <c r="D2936">
        <v>1</v>
      </c>
      <c r="E2936">
        <v>1</v>
      </c>
      <c r="F2936">
        <v>0</v>
      </c>
      <c r="G2936">
        <v>2</v>
      </c>
      <c r="H2936">
        <v>0</v>
      </c>
      <c r="I2936">
        <v>12253.35</v>
      </c>
      <c r="J2936">
        <v>9</v>
      </c>
      <c r="K2936">
        <v>0</v>
      </c>
      <c r="L2936" s="4">
        <v>0.87806528133716877</v>
      </c>
      <c r="M2936" s="4">
        <v>0.1219347186628312</v>
      </c>
      <c r="N2936">
        <v>7</v>
      </c>
    </row>
    <row r="2937" spans="1:14" x14ac:dyDescent="0.35">
      <c r="A2937" s="1">
        <v>98</v>
      </c>
      <c r="B2937">
        <v>8</v>
      </c>
      <c r="C2937">
        <v>62</v>
      </c>
      <c r="D2937">
        <v>4</v>
      </c>
      <c r="E2937">
        <v>0</v>
      </c>
      <c r="F2937">
        <v>3</v>
      </c>
      <c r="G2937">
        <v>3</v>
      </c>
      <c r="H2937">
        <v>0</v>
      </c>
      <c r="I2937">
        <v>13500</v>
      </c>
      <c r="J2937">
        <v>5</v>
      </c>
      <c r="K2937">
        <v>0</v>
      </c>
      <c r="L2937" s="4">
        <v>0.87813981672009411</v>
      </c>
      <c r="M2937" s="4">
        <v>0.1218601832799059</v>
      </c>
      <c r="N2937">
        <v>7</v>
      </c>
    </row>
    <row r="2938" spans="1:14" x14ac:dyDescent="0.35">
      <c r="A2938" s="1">
        <v>2676</v>
      </c>
      <c r="B2938">
        <v>9</v>
      </c>
      <c r="C2938">
        <v>66</v>
      </c>
      <c r="D2938">
        <v>4</v>
      </c>
      <c r="E2938">
        <v>0</v>
      </c>
      <c r="F2938">
        <v>2</v>
      </c>
      <c r="G2938">
        <v>6</v>
      </c>
      <c r="H2938">
        <v>0</v>
      </c>
      <c r="I2938">
        <v>6000</v>
      </c>
      <c r="J2938">
        <v>2</v>
      </c>
      <c r="K2938">
        <v>1</v>
      </c>
      <c r="L2938" s="4">
        <v>0.87824266079053415</v>
      </c>
      <c r="M2938" s="4">
        <v>0.1217573392094658</v>
      </c>
      <c r="N2938">
        <v>7</v>
      </c>
    </row>
    <row r="2939" spans="1:14" x14ac:dyDescent="0.35">
      <c r="A2939" s="1">
        <v>2545</v>
      </c>
      <c r="B2939">
        <v>8</v>
      </c>
      <c r="C2939">
        <v>55</v>
      </c>
      <c r="D2939">
        <v>3</v>
      </c>
      <c r="E2939">
        <v>1</v>
      </c>
      <c r="F2939">
        <v>4</v>
      </c>
      <c r="G2939">
        <v>9</v>
      </c>
      <c r="H2939">
        <v>2</v>
      </c>
      <c r="I2939">
        <v>23.84</v>
      </c>
      <c r="J2939">
        <v>18</v>
      </c>
      <c r="K2939">
        <v>0</v>
      </c>
      <c r="L2939" s="4">
        <v>0.8783909848884569</v>
      </c>
      <c r="M2939" s="4">
        <v>0.1216090151115431</v>
      </c>
      <c r="N2939">
        <v>7</v>
      </c>
    </row>
    <row r="2940" spans="1:14" x14ac:dyDescent="0.35">
      <c r="A2940" s="1">
        <v>2336</v>
      </c>
      <c r="B2940">
        <v>8</v>
      </c>
      <c r="C2940">
        <v>63</v>
      </c>
      <c r="D2940">
        <v>2</v>
      </c>
      <c r="E2940">
        <v>0</v>
      </c>
      <c r="F2940">
        <v>3</v>
      </c>
      <c r="G2940">
        <v>3</v>
      </c>
      <c r="H2940">
        <v>0</v>
      </c>
      <c r="I2940">
        <v>15052.66</v>
      </c>
      <c r="J2940">
        <v>7</v>
      </c>
      <c r="K2940">
        <v>0</v>
      </c>
      <c r="L2940" s="4">
        <v>0.87840675056548745</v>
      </c>
      <c r="M2940" s="4">
        <v>0.12159324943451261</v>
      </c>
      <c r="N2940">
        <v>7</v>
      </c>
    </row>
    <row r="2941" spans="1:14" x14ac:dyDescent="0.35">
      <c r="A2941" s="1">
        <v>2667</v>
      </c>
      <c r="B2941">
        <v>8</v>
      </c>
      <c r="C2941">
        <v>58</v>
      </c>
      <c r="D2941">
        <v>3</v>
      </c>
      <c r="E2941">
        <v>1</v>
      </c>
      <c r="F2941">
        <v>1</v>
      </c>
      <c r="G2941">
        <v>7</v>
      </c>
      <c r="H2941">
        <v>0</v>
      </c>
      <c r="I2941">
        <v>7053.34</v>
      </c>
      <c r="J2941">
        <v>6</v>
      </c>
      <c r="K2941">
        <v>0</v>
      </c>
      <c r="L2941" s="4">
        <v>0.87842725032597013</v>
      </c>
      <c r="M2941" s="4">
        <v>0.1215727496740299</v>
      </c>
      <c r="N2941">
        <v>7</v>
      </c>
    </row>
    <row r="2942" spans="1:14" x14ac:dyDescent="0.35">
      <c r="A2942" s="1">
        <v>2554</v>
      </c>
      <c r="B2942">
        <v>9</v>
      </c>
      <c r="C2942">
        <v>62</v>
      </c>
      <c r="D2942">
        <v>2</v>
      </c>
      <c r="E2942">
        <v>1</v>
      </c>
      <c r="F2942">
        <v>3</v>
      </c>
      <c r="G2942">
        <v>3</v>
      </c>
      <c r="H2942">
        <v>0</v>
      </c>
      <c r="I2942">
        <v>6105.32</v>
      </c>
      <c r="J2942">
        <v>11</v>
      </c>
      <c r="K2942">
        <v>0</v>
      </c>
      <c r="L2942" s="4">
        <v>0.87849873789735056</v>
      </c>
      <c r="M2942" s="4">
        <v>0.1215012621026494</v>
      </c>
      <c r="N2942">
        <v>7</v>
      </c>
    </row>
    <row r="2943" spans="1:14" x14ac:dyDescent="0.35">
      <c r="A2943" s="1">
        <v>430</v>
      </c>
      <c r="B2943">
        <v>8</v>
      </c>
      <c r="C2943">
        <v>62</v>
      </c>
      <c r="D2943">
        <v>3</v>
      </c>
      <c r="E2943">
        <v>0</v>
      </c>
      <c r="F2943">
        <v>0</v>
      </c>
      <c r="G2943">
        <v>4</v>
      </c>
      <c r="H2943">
        <v>2</v>
      </c>
      <c r="I2943">
        <v>0.02</v>
      </c>
      <c r="J2943">
        <v>5</v>
      </c>
      <c r="K2943">
        <v>0</v>
      </c>
      <c r="L2943" s="4">
        <v>0.87853384994554851</v>
      </c>
      <c r="M2943" s="4">
        <v>0.12146615005445149</v>
      </c>
      <c r="N2943">
        <v>7</v>
      </c>
    </row>
    <row r="2944" spans="1:14" x14ac:dyDescent="0.35">
      <c r="A2944" s="1">
        <v>1594</v>
      </c>
      <c r="B2944">
        <v>10</v>
      </c>
      <c r="C2944">
        <v>65</v>
      </c>
      <c r="D2944">
        <v>1</v>
      </c>
      <c r="E2944">
        <v>1</v>
      </c>
      <c r="F2944">
        <v>1</v>
      </c>
      <c r="G2944">
        <v>12</v>
      </c>
      <c r="H2944">
        <v>2</v>
      </c>
      <c r="I2944">
        <v>100</v>
      </c>
      <c r="J2944">
        <v>11</v>
      </c>
      <c r="K2944">
        <v>0</v>
      </c>
      <c r="L2944" s="4">
        <v>0.87857947533723757</v>
      </c>
      <c r="M2944" s="4">
        <v>0.1214205246627624</v>
      </c>
      <c r="N2944">
        <v>7</v>
      </c>
    </row>
    <row r="2945" spans="1:14" x14ac:dyDescent="0.35">
      <c r="A2945" s="1">
        <v>3806</v>
      </c>
      <c r="B2945">
        <v>6</v>
      </c>
      <c r="C2945">
        <v>54</v>
      </c>
      <c r="D2945">
        <v>3</v>
      </c>
      <c r="E2945">
        <v>0</v>
      </c>
      <c r="F2945">
        <v>0</v>
      </c>
      <c r="G2945">
        <v>4</v>
      </c>
      <c r="H2945">
        <v>2</v>
      </c>
      <c r="I2945">
        <v>600</v>
      </c>
      <c r="J2945">
        <v>8</v>
      </c>
      <c r="K2945">
        <v>0</v>
      </c>
      <c r="L2945" s="4">
        <v>0.87866414743833965</v>
      </c>
      <c r="M2945" s="4">
        <v>0.1213358525616603</v>
      </c>
      <c r="N2945">
        <v>7</v>
      </c>
    </row>
    <row r="2946" spans="1:14" x14ac:dyDescent="0.35">
      <c r="A2946" s="1">
        <v>484</v>
      </c>
      <c r="B2946">
        <v>10</v>
      </c>
      <c r="C2946">
        <v>66</v>
      </c>
      <c r="D2946">
        <v>0</v>
      </c>
      <c r="E2946">
        <v>1</v>
      </c>
      <c r="F2946">
        <v>2</v>
      </c>
      <c r="G2946">
        <v>1</v>
      </c>
      <c r="H2946">
        <v>2</v>
      </c>
      <c r="I2946">
        <v>2000</v>
      </c>
      <c r="J2946">
        <v>9</v>
      </c>
      <c r="K2946">
        <v>0</v>
      </c>
      <c r="L2946" s="4">
        <v>0.87873094039101252</v>
      </c>
      <c r="M2946" s="4">
        <v>0.1212690596089875</v>
      </c>
      <c r="N2946">
        <v>7</v>
      </c>
    </row>
    <row r="2947" spans="1:14" x14ac:dyDescent="0.35">
      <c r="A2947" s="1">
        <v>2100</v>
      </c>
      <c r="B2947">
        <v>5</v>
      </c>
      <c r="C2947">
        <v>51</v>
      </c>
      <c r="D2947">
        <v>3</v>
      </c>
      <c r="E2947">
        <v>0</v>
      </c>
      <c r="F2947">
        <v>1</v>
      </c>
      <c r="G2947">
        <v>7</v>
      </c>
      <c r="H2947">
        <v>0</v>
      </c>
      <c r="I2947">
        <v>12158.67</v>
      </c>
      <c r="J2947">
        <v>8</v>
      </c>
      <c r="K2947">
        <v>0</v>
      </c>
      <c r="L2947" s="4">
        <v>0.8788177847409756</v>
      </c>
      <c r="M2947" s="4">
        <v>0.1211822152590244</v>
      </c>
      <c r="N2947">
        <v>7</v>
      </c>
    </row>
    <row r="2948" spans="1:14" x14ac:dyDescent="0.35">
      <c r="A2948" s="1">
        <v>2986</v>
      </c>
      <c r="B2948">
        <v>8</v>
      </c>
      <c r="C2948">
        <v>63</v>
      </c>
      <c r="D2948">
        <v>5</v>
      </c>
      <c r="E2948">
        <v>0</v>
      </c>
      <c r="F2948">
        <v>0</v>
      </c>
      <c r="G2948">
        <v>2</v>
      </c>
      <c r="H2948">
        <v>0</v>
      </c>
      <c r="I2948">
        <v>6053.82</v>
      </c>
      <c r="J2948">
        <v>6</v>
      </c>
      <c r="K2948">
        <v>0</v>
      </c>
      <c r="L2948" s="4">
        <v>0.87882569367854646</v>
      </c>
      <c r="M2948" s="4">
        <v>0.1211743063214535</v>
      </c>
      <c r="N2948">
        <v>7</v>
      </c>
    </row>
    <row r="2949" spans="1:14" x14ac:dyDescent="0.35">
      <c r="A2949" s="1">
        <v>1677</v>
      </c>
      <c r="B2949">
        <v>10</v>
      </c>
      <c r="C2949">
        <v>67</v>
      </c>
      <c r="D2949">
        <v>3</v>
      </c>
      <c r="E2949">
        <v>1</v>
      </c>
      <c r="F2949">
        <v>0</v>
      </c>
      <c r="G2949">
        <v>2</v>
      </c>
      <c r="H2949">
        <v>0</v>
      </c>
      <c r="I2949">
        <v>6000</v>
      </c>
      <c r="J2949">
        <v>3</v>
      </c>
      <c r="K2949">
        <v>0</v>
      </c>
      <c r="L2949" s="4">
        <v>0.87883359962606611</v>
      </c>
      <c r="M2949" s="4">
        <v>0.12116640037393379</v>
      </c>
      <c r="N2949">
        <v>7</v>
      </c>
    </row>
    <row r="2950" spans="1:14" x14ac:dyDescent="0.35">
      <c r="A2950" s="1">
        <v>204</v>
      </c>
      <c r="B2950">
        <v>6</v>
      </c>
      <c r="C2950">
        <v>52</v>
      </c>
      <c r="D2950">
        <v>3</v>
      </c>
      <c r="E2950">
        <v>0</v>
      </c>
      <c r="F2950">
        <v>3</v>
      </c>
      <c r="G2950">
        <v>3</v>
      </c>
      <c r="H2950">
        <v>3</v>
      </c>
      <c r="I2950">
        <v>0.01</v>
      </c>
      <c r="J2950">
        <v>9</v>
      </c>
      <c r="K2950">
        <v>0</v>
      </c>
      <c r="L2950" s="4">
        <v>0.87899750491140172</v>
      </c>
      <c r="M2950" s="4">
        <v>0.1210024950885982</v>
      </c>
      <c r="N2950">
        <v>7</v>
      </c>
    </row>
    <row r="2951" spans="1:14" x14ac:dyDescent="0.35">
      <c r="A2951" s="1">
        <v>2504</v>
      </c>
      <c r="B2951">
        <v>8</v>
      </c>
      <c r="C2951">
        <v>54</v>
      </c>
      <c r="D2951">
        <v>0</v>
      </c>
      <c r="E2951">
        <v>2</v>
      </c>
      <c r="F2951">
        <v>3</v>
      </c>
      <c r="G2951">
        <v>3</v>
      </c>
      <c r="H2951">
        <v>0</v>
      </c>
      <c r="I2951">
        <v>12000</v>
      </c>
      <c r="J2951">
        <v>3</v>
      </c>
      <c r="K2951">
        <v>0</v>
      </c>
      <c r="L2951" s="4">
        <v>0.8791356222383192</v>
      </c>
      <c r="M2951" s="4">
        <v>0.1208643777616808</v>
      </c>
      <c r="N2951">
        <v>7</v>
      </c>
    </row>
    <row r="2952" spans="1:14" x14ac:dyDescent="0.35">
      <c r="A2952" s="1">
        <v>2852</v>
      </c>
      <c r="B2952">
        <v>9</v>
      </c>
      <c r="C2952">
        <v>56</v>
      </c>
      <c r="D2952">
        <v>1</v>
      </c>
      <c r="E2952">
        <v>2</v>
      </c>
      <c r="F2952">
        <v>3</v>
      </c>
      <c r="G2952">
        <v>3</v>
      </c>
      <c r="H2952">
        <v>2</v>
      </c>
      <c r="I2952">
        <v>5000</v>
      </c>
      <c r="J2952">
        <v>4</v>
      </c>
      <c r="K2952">
        <v>0</v>
      </c>
      <c r="L2952" s="4">
        <v>0.8792365184786578</v>
      </c>
      <c r="M2952" s="4">
        <v>0.1207634815213422</v>
      </c>
      <c r="N2952">
        <v>7</v>
      </c>
    </row>
    <row r="2953" spans="1:14" x14ac:dyDescent="0.35">
      <c r="A2953" s="1">
        <v>1078</v>
      </c>
      <c r="B2953">
        <v>7</v>
      </c>
      <c r="C2953">
        <v>51</v>
      </c>
      <c r="D2953">
        <v>5</v>
      </c>
      <c r="E2953">
        <v>1</v>
      </c>
      <c r="F2953">
        <v>3</v>
      </c>
      <c r="G2953">
        <v>3</v>
      </c>
      <c r="H2953">
        <v>2</v>
      </c>
      <c r="I2953">
        <v>1600</v>
      </c>
      <c r="J2953">
        <v>5</v>
      </c>
      <c r="K2953">
        <v>0</v>
      </c>
      <c r="L2953" s="4">
        <v>0.87928876627115859</v>
      </c>
      <c r="M2953" s="4">
        <v>0.12071123372884129</v>
      </c>
      <c r="N2953">
        <v>7</v>
      </c>
    </row>
    <row r="2954" spans="1:14" x14ac:dyDescent="0.35">
      <c r="A2954" s="1">
        <v>1910</v>
      </c>
      <c r="B2954">
        <v>11</v>
      </c>
      <c r="C2954">
        <v>70</v>
      </c>
      <c r="D2954">
        <v>1</v>
      </c>
      <c r="E2954">
        <v>1</v>
      </c>
      <c r="F2954">
        <v>3</v>
      </c>
      <c r="G2954">
        <v>8</v>
      </c>
      <c r="H2954">
        <v>0</v>
      </c>
      <c r="I2954">
        <v>6000</v>
      </c>
      <c r="J2954">
        <v>1</v>
      </c>
      <c r="K2954">
        <v>0</v>
      </c>
      <c r="L2954" s="4">
        <v>0.87936296758065957</v>
      </c>
      <c r="M2954" s="4">
        <v>0.1206370324193404</v>
      </c>
      <c r="N2954">
        <v>7</v>
      </c>
    </row>
    <row r="2955" spans="1:14" x14ac:dyDescent="0.35">
      <c r="A2955" s="1">
        <v>3627</v>
      </c>
      <c r="B2955">
        <v>7</v>
      </c>
      <c r="C2955">
        <v>51</v>
      </c>
      <c r="D2955">
        <v>5</v>
      </c>
      <c r="E2955">
        <v>1</v>
      </c>
      <c r="F2955">
        <v>3</v>
      </c>
      <c r="G2955">
        <v>3</v>
      </c>
      <c r="H2955">
        <v>2</v>
      </c>
      <c r="I2955">
        <v>800</v>
      </c>
      <c r="J2955">
        <v>5</v>
      </c>
      <c r="K2955">
        <v>0</v>
      </c>
      <c r="L2955" s="4">
        <v>0.87942551325766072</v>
      </c>
      <c r="M2955" s="4">
        <v>0.1205744867423393</v>
      </c>
      <c r="N2955">
        <v>7</v>
      </c>
    </row>
    <row r="2956" spans="1:14" x14ac:dyDescent="0.35">
      <c r="A2956" s="1">
        <v>3521</v>
      </c>
      <c r="B2956">
        <v>10</v>
      </c>
      <c r="C2956">
        <v>66</v>
      </c>
      <c r="D2956">
        <v>2</v>
      </c>
      <c r="E2956">
        <v>1</v>
      </c>
      <c r="F2956">
        <v>3</v>
      </c>
      <c r="G2956">
        <v>3</v>
      </c>
      <c r="H2956">
        <v>0</v>
      </c>
      <c r="I2956">
        <v>6000</v>
      </c>
      <c r="J2956">
        <v>2</v>
      </c>
      <c r="K2956">
        <v>0</v>
      </c>
      <c r="L2956" s="4">
        <v>0.87942574244309568</v>
      </c>
      <c r="M2956" s="4">
        <v>0.1205742575569043</v>
      </c>
      <c r="N2956">
        <v>7</v>
      </c>
    </row>
    <row r="2957" spans="1:14" x14ac:dyDescent="0.35">
      <c r="A2957" s="1">
        <v>1199</v>
      </c>
      <c r="B2957">
        <v>6</v>
      </c>
      <c r="C2957">
        <v>51</v>
      </c>
      <c r="D2957">
        <v>0</v>
      </c>
      <c r="E2957">
        <v>1</v>
      </c>
      <c r="F2957">
        <v>3</v>
      </c>
      <c r="G2957">
        <v>3</v>
      </c>
      <c r="H2957">
        <v>0</v>
      </c>
      <c r="I2957">
        <v>9000</v>
      </c>
      <c r="J2957">
        <v>12</v>
      </c>
      <c r="K2957">
        <v>0</v>
      </c>
      <c r="L2957" s="4">
        <v>0.87963461328715531</v>
      </c>
      <c r="M2957" s="4">
        <v>0.1203653867128447</v>
      </c>
      <c r="N2957">
        <v>7</v>
      </c>
    </row>
    <row r="2958" spans="1:14" x14ac:dyDescent="0.35">
      <c r="A2958" s="1">
        <v>3024</v>
      </c>
      <c r="B2958">
        <v>10</v>
      </c>
      <c r="C2958">
        <v>71</v>
      </c>
      <c r="D2958">
        <v>0</v>
      </c>
      <c r="E2958">
        <v>0</v>
      </c>
      <c r="F2958">
        <v>1</v>
      </c>
      <c r="G2958">
        <v>7</v>
      </c>
      <c r="H2958">
        <v>2</v>
      </c>
      <c r="I2958">
        <v>3000</v>
      </c>
      <c r="J2958">
        <v>8</v>
      </c>
      <c r="K2958">
        <v>0</v>
      </c>
      <c r="L2958" s="4">
        <v>0.87974797378290548</v>
      </c>
      <c r="M2958" s="4">
        <v>0.12025202621709449</v>
      </c>
      <c r="N2958">
        <v>7</v>
      </c>
    </row>
    <row r="2959" spans="1:14" x14ac:dyDescent="0.35">
      <c r="A2959" s="1">
        <v>1382</v>
      </c>
      <c r="B2959">
        <v>8</v>
      </c>
      <c r="C2959">
        <v>54</v>
      </c>
      <c r="D2959">
        <v>6</v>
      </c>
      <c r="E2959">
        <v>1</v>
      </c>
      <c r="F2959">
        <v>3</v>
      </c>
      <c r="G2959">
        <v>3</v>
      </c>
      <c r="H2959">
        <v>3</v>
      </c>
      <c r="I2959">
        <v>0.01</v>
      </c>
      <c r="J2959">
        <v>8</v>
      </c>
      <c r="K2959">
        <v>0</v>
      </c>
      <c r="L2959" s="4">
        <v>0.87990738840481897</v>
      </c>
      <c r="M2959" s="4">
        <v>0.120092611595181</v>
      </c>
      <c r="N2959">
        <v>7</v>
      </c>
    </row>
    <row r="2960" spans="1:14" x14ac:dyDescent="0.35">
      <c r="A2960" s="1">
        <v>3473</v>
      </c>
      <c r="B2960">
        <v>5</v>
      </c>
      <c r="C2960">
        <v>51</v>
      </c>
      <c r="D2960">
        <v>2</v>
      </c>
      <c r="E2960">
        <v>0</v>
      </c>
      <c r="F2960">
        <v>0</v>
      </c>
      <c r="G2960">
        <v>2</v>
      </c>
      <c r="H2960">
        <v>2</v>
      </c>
      <c r="I2960">
        <v>1000</v>
      </c>
      <c r="J2960">
        <v>18</v>
      </c>
      <c r="K2960">
        <v>0</v>
      </c>
      <c r="L2960" s="4">
        <v>0.87998195114247069</v>
      </c>
      <c r="M2960" s="4">
        <v>0.1200180488575293</v>
      </c>
      <c r="N2960">
        <v>7</v>
      </c>
    </row>
    <row r="2961" spans="1:14" x14ac:dyDescent="0.35">
      <c r="A2961" s="1">
        <v>2401</v>
      </c>
      <c r="B2961">
        <v>8</v>
      </c>
      <c r="C2961">
        <v>52</v>
      </c>
      <c r="D2961">
        <v>4</v>
      </c>
      <c r="E2961">
        <v>2</v>
      </c>
      <c r="F2961">
        <v>0</v>
      </c>
      <c r="G2961">
        <v>4</v>
      </c>
      <c r="H2961">
        <v>2</v>
      </c>
      <c r="I2961">
        <v>1000</v>
      </c>
      <c r="J2961">
        <v>5</v>
      </c>
      <c r="K2961">
        <v>0</v>
      </c>
      <c r="L2961" s="4">
        <v>0.88000995130232296</v>
      </c>
      <c r="M2961" s="4">
        <v>0.119990048697677</v>
      </c>
      <c r="N2961">
        <v>7</v>
      </c>
    </row>
    <row r="2962" spans="1:14" x14ac:dyDescent="0.35">
      <c r="A2962" s="1">
        <v>3691</v>
      </c>
      <c r="B2962">
        <v>9</v>
      </c>
      <c r="C2962">
        <v>69</v>
      </c>
      <c r="D2962">
        <v>1</v>
      </c>
      <c r="E2962">
        <v>0</v>
      </c>
      <c r="F2962">
        <v>0</v>
      </c>
      <c r="G2962">
        <v>4</v>
      </c>
      <c r="H2962">
        <v>0</v>
      </c>
      <c r="I2962">
        <v>11400</v>
      </c>
      <c r="J2962">
        <v>8</v>
      </c>
      <c r="K2962">
        <v>0</v>
      </c>
      <c r="L2962" s="4">
        <v>0.88008833030395694</v>
      </c>
      <c r="M2962" s="4">
        <v>0.1199116696960431</v>
      </c>
      <c r="N2962">
        <v>7</v>
      </c>
    </row>
    <row r="2963" spans="1:14" x14ac:dyDescent="0.35">
      <c r="A2963" s="1">
        <v>4308</v>
      </c>
      <c r="B2963">
        <v>9</v>
      </c>
      <c r="C2963">
        <v>65</v>
      </c>
      <c r="D2963">
        <v>3</v>
      </c>
      <c r="E2963">
        <v>0</v>
      </c>
      <c r="F2963">
        <v>3</v>
      </c>
      <c r="G2963">
        <v>3</v>
      </c>
      <c r="H2963">
        <v>2</v>
      </c>
      <c r="I2963">
        <v>2000</v>
      </c>
      <c r="J2963">
        <v>4</v>
      </c>
      <c r="K2963">
        <v>0</v>
      </c>
      <c r="L2963" s="4">
        <v>0.88008873691847755</v>
      </c>
      <c r="M2963" s="4">
        <v>0.1199112630815224</v>
      </c>
      <c r="N2963">
        <v>7</v>
      </c>
    </row>
    <row r="2964" spans="1:14" x14ac:dyDescent="0.35">
      <c r="A2964" s="1">
        <v>3708</v>
      </c>
      <c r="B2964">
        <v>9</v>
      </c>
      <c r="C2964">
        <v>66</v>
      </c>
      <c r="D2964">
        <v>1</v>
      </c>
      <c r="E2964">
        <v>0</v>
      </c>
      <c r="F2964">
        <v>3</v>
      </c>
      <c r="G2964">
        <v>3</v>
      </c>
      <c r="H2964">
        <v>2</v>
      </c>
      <c r="I2964">
        <v>3000</v>
      </c>
      <c r="J2964">
        <v>8</v>
      </c>
      <c r="K2964">
        <v>1</v>
      </c>
      <c r="L2964" s="4">
        <v>0.88017494862432499</v>
      </c>
      <c r="M2964" s="4">
        <v>0.11982505137567501</v>
      </c>
      <c r="N2964">
        <v>7</v>
      </c>
    </row>
    <row r="2965" spans="1:14" x14ac:dyDescent="0.35">
      <c r="A2965" s="1">
        <v>4395</v>
      </c>
      <c r="B2965">
        <v>9</v>
      </c>
      <c r="C2965">
        <v>66</v>
      </c>
      <c r="D2965">
        <v>1</v>
      </c>
      <c r="E2965">
        <v>0</v>
      </c>
      <c r="F2965">
        <v>3</v>
      </c>
      <c r="G2965">
        <v>3</v>
      </c>
      <c r="H2965">
        <v>2</v>
      </c>
      <c r="I2965">
        <v>3000</v>
      </c>
      <c r="J2965">
        <v>5</v>
      </c>
      <c r="K2965">
        <v>0</v>
      </c>
      <c r="L2965" s="4">
        <v>0.8805809474724412</v>
      </c>
      <c r="M2965" s="4">
        <v>0.1194190525275588</v>
      </c>
      <c r="N2965">
        <v>7</v>
      </c>
    </row>
    <row r="2966" spans="1:14" x14ac:dyDescent="0.35">
      <c r="A2966" s="1">
        <v>2761</v>
      </c>
      <c r="B2966">
        <v>5</v>
      </c>
      <c r="C2966">
        <v>51</v>
      </c>
      <c r="D2966">
        <v>3</v>
      </c>
      <c r="E2966">
        <v>0</v>
      </c>
      <c r="F2966">
        <v>1</v>
      </c>
      <c r="G2966">
        <v>7</v>
      </c>
      <c r="H2966">
        <v>1</v>
      </c>
      <c r="I2966">
        <v>30000</v>
      </c>
      <c r="J2966">
        <v>6</v>
      </c>
      <c r="K2966">
        <v>1</v>
      </c>
      <c r="L2966" s="4">
        <v>0.88070434067724412</v>
      </c>
      <c r="M2966" s="4">
        <v>0.1192956593227559</v>
      </c>
      <c r="N2966">
        <v>7</v>
      </c>
    </row>
    <row r="2967" spans="1:14" x14ac:dyDescent="0.35">
      <c r="A2967" s="1">
        <v>1659</v>
      </c>
      <c r="B2967">
        <v>10</v>
      </c>
      <c r="C2967">
        <v>71</v>
      </c>
      <c r="D2967">
        <v>3</v>
      </c>
      <c r="E2967">
        <v>0</v>
      </c>
      <c r="F2967">
        <v>3</v>
      </c>
      <c r="G2967">
        <v>3</v>
      </c>
      <c r="H2967">
        <v>0</v>
      </c>
      <c r="I2967">
        <v>16107.64</v>
      </c>
      <c r="J2967">
        <v>4</v>
      </c>
      <c r="K2967">
        <v>0</v>
      </c>
      <c r="L2967" s="4">
        <v>0.88078055605106675</v>
      </c>
      <c r="M2967" s="4">
        <v>0.1192194439489332</v>
      </c>
      <c r="N2967">
        <v>7</v>
      </c>
    </row>
    <row r="2968" spans="1:14" x14ac:dyDescent="0.35">
      <c r="A2968" s="1">
        <v>2650</v>
      </c>
      <c r="B2968">
        <v>8</v>
      </c>
      <c r="C2968">
        <v>63</v>
      </c>
      <c r="D2968">
        <v>4</v>
      </c>
      <c r="E2968">
        <v>0</v>
      </c>
      <c r="F2968">
        <v>1</v>
      </c>
      <c r="G2968">
        <v>7</v>
      </c>
      <c r="H2968">
        <v>0</v>
      </c>
      <c r="I2968">
        <v>8500</v>
      </c>
      <c r="J2968">
        <v>11</v>
      </c>
      <c r="K2968">
        <v>0</v>
      </c>
      <c r="L2968" s="4">
        <v>0.88085579173633133</v>
      </c>
      <c r="M2968" s="4">
        <v>0.1191442082636686</v>
      </c>
      <c r="N2968">
        <v>7</v>
      </c>
    </row>
    <row r="2969" spans="1:14" x14ac:dyDescent="0.35">
      <c r="A2969" s="1">
        <v>864</v>
      </c>
      <c r="B2969">
        <v>11</v>
      </c>
      <c r="C2969">
        <v>75</v>
      </c>
      <c r="D2969">
        <v>1</v>
      </c>
      <c r="E2969">
        <v>0</v>
      </c>
      <c r="F2969">
        <v>4</v>
      </c>
      <c r="G2969">
        <v>9</v>
      </c>
      <c r="H2969">
        <v>0</v>
      </c>
      <c r="I2969">
        <v>12000</v>
      </c>
      <c r="J2969">
        <v>13</v>
      </c>
      <c r="K2969">
        <v>1</v>
      </c>
      <c r="L2969" s="4">
        <v>0.88086323488924456</v>
      </c>
      <c r="M2969" s="4">
        <v>0.1191367651107554</v>
      </c>
      <c r="N2969">
        <v>7</v>
      </c>
    </row>
    <row r="2970" spans="1:14" x14ac:dyDescent="0.35">
      <c r="A2970" s="1">
        <v>4114</v>
      </c>
      <c r="B2970">
        <v>8</v>
      </c>
      <c r="C2970">
        <v>51</v>
      </c>
      <c r="D2970">
        <v>2</v>
      </c>
      <c r="E2970">
        <v>2</v>
      </c>
      <c r="F2970">
        <v>3</v>
      </c>
      <c r="G2970">
        <v>3</v>
      </c>
      <c r="H2970">
        <v>3</v>
      </c>
      <c r="I2970">
        <v>0.01</v>
      </c>
      <c r="J2970">
        <v>8</v>
      </c>
      <c r="K2970">
        <v>0</v>
      </c>
      <c r="L2970" s="4">
        <v>0.88093328529849235</v>
      </c>
      <c r="M2970" s="4">
        <v>0.11906671470150761</v>
      </c>
      <c r="N2970">
        <v>7</v>
      </c>
    </row>
    <row r="2971" spans="1:14" x14ac:dyDescent="0.35">
      <c r="A2971" s="1">
        <v>3606</v>
      </c>
      <c r="B2971">
        <v>7</v>
      </c>
      <c r="C2971">
        <v>50</v>
      </c>
      <c r="D2971">
        <v>2</v>
      </c>
      <c r="E2971">
        <v>2</v>
      </c>
      <c r="F2971">
        <v>1</v>
      </c>
      <c r="G2971">
        <v>7</v>
      </c>
      <c r="H2971">
        <v>0</v>
      </c>
      <c r="I2971">
        <v>6000</v>
      </c>
      <c r="J2971">
        <v>13</v>
      </c>
      <c r="K2971">
        <v>0</v>
      </c>
      <c r="L2971" s="4">
        <v>0.88098824806420561</v>
      </c>
      <c r="M2971" s="4">
        <v>0.1190117519357944</v>
      </c>
      <c r="N2971">
        <v>7</v>
      </c>
    </row>
    <row r="2972" spans="1:14" x14ac:dyDescent="0.35">
      <c r="A2972" s="1">
        <v>4361</v>
      </c>
      <c r="B2972">
        <v>6</v>
      </c>
      <c r="C2972">
        <v>52</v>
      </c>
      <c r="D2972">
        <v>5</v>
      </c>
      <c r="E2972">
        <v>0</v>
      </c>
      <c r="F2972">
        <v>2</v>
      </c>
      <c r="G2972">
        <v>1</v>
      </c>
      <c r="H2972">
        <v>3</v>
      </c>
      <c r="I2972">
        <v>0.01</v>
      </c>
      <c r="J2972">
        <v>4</v>
      </c>
      <c r="K2972">
        <v>0</v>
      </c>
      <c r="L2972" s="4">
        <v>0.88106953173686176</v>
      </c>
      <c r="M2972" s="4">
        <v>0.1189304682631383</v>
      </c>
      <c r="N2972">
        <v>7</v>
      </c>
    </row>
    <row r="2973" spans="1:14" x14ac:dyDescent="0.35">
      <c r="A2973" s="1">
        <v>4242</v>
      </c>
      <c r="B2973">
        <v>7</v>
      </c>
      <c r="C2973">
        <v>56</v>
      </c>
      <c r="D2973">
        <v>5</v>
      </c>
      <c r="E2973">
        <v>0</v>
      </c>
      <c r="F2973">
        <v>1</v>
      </c>
      <c r="G2973">
        <v>7</v>
      </c>
      <c r="H2973">
        <v>3</v>
      </c>
      <c r="I2973">
        <v>0.01</v>
      </c>
      <c r="J2973">
        <v>5</v>
      </c>
      <c r="K2973">
        <v>0</v>
      </c>
      <c r="L2973" s="4">
        <v>0.88109103403103928</v>
      </c>
      <c r="M2973" s="4">
        <v>0.11890896596896069</v>
      </c>
      <c r="N2973">
        <v>7</v>
      </c>
    </row>
    <row r="2974" spans="1:14" x14ac:dyDescent="0.35">
      <c r="A2974" s="1">
        <v>3841</v>
      </c>
      <c r="B2974">
        <v>4</v>
      </c>
      <c r="C2974">
        <v>40</v>
      </c>
      <c r="D2974">
        <v>3</v>
      </c>
      <c r="E2974">
        <v>1</v>
      </c>
      <c r="F2974">
        <v>3</v>
      </c>
      <c r="G2974">
        <v>3</v>
      </c>
      <c r="H2974">
        <v>2</v>
      </c>
      <c r="I2974">
        <v>4500</v>
      </c>
      <c r="J2974">
        <v>1</v>
      </c>
      <c r="K2974">
        <v>0</v>
      </c>
      <c r="L2974" s="4">
        <v>0.8810921797162542</v>
      </c>
      <c r="M2974" s="4">
        <v>0.1189078202837458</v>
      </c>
      <c r="N2974">
        <v>7</v>
      </c>
    </row>
    <row r="2975" spans="1:14" x14ac:dyDescent="0.35">
      <c r="A2975" s="1">
        <v>1566</v>
      </c>
      <c r="B2975">
        <v>11</v>
      </c>
      <c r="C2975">
        <v>75</v>
      </c>
      <c r="D2975">
        <v>2</v>
      </c>
      <c r="E2975">
        <v>0</v>
      </c>
      <c r="F2975">
        <v>3</v>
      </c>
      <c r="G2975">
        <v>3</v>
      </c>
      <c r="H2975">
        <v>1</v>
      </c>
      <c r="I2975">
        <v>21000</v>
      </c>
      <c r="J2975">
        <v>6</v>
      </c>
      <c r="K2975">
        <v>0</v>
      </c>
      <c r="L2975" s="4">
        <v>0.88122446267342514</v>
      </c>
      <c r="M2975" s="4">
        <v>0.11877553732657491</v>
      </c>
      <c r="N2975">
        <v>7</v>
      </c>
    </row>
    <row r="2976" spans="1:14" x14ac:dyDescent="0.35">
      <c r="A2976" s="1">
        <v>2301</v>
      </c>
      <c r="B2976">
        <v>8</v>
      </c>
      <c r="C2976">
        <v>64</v>
      </c>
      <c r="D2976">
        <v>2</v>
      </c>
      <c r="E2976">
        <v>0</v>
      </c>
      <c r="F2976">
        <v>1</v>
      </c>
      <c r="G2976">
        <v>7</v>
      </c>
      <c r="H2976">
        <v>0</v>
      </c>
      <c r="I2976">
        <v>6053.35</v>
      </c>
      <c r="J2976">
        <v>16</v>
      </c>
      <c r="K2976">
        <v>0</v>
      </c>
      <c r="L2976" s="4">
        <v>0.88138847661430531</v>
      </c>
      <c r="M2976" s="4">
        <v>0.11861152338569469</v>
      </c>
      <c r="N2976">
        <v>7</v>
      </c>
    </row>
    <row r="2977" spans="1:14" x14ac:dyDescent="0.35">
      <c r="A2977" s="1">
        <v>2359</v>
      </c>
      <c r="B2977">
        <v>10</v>
      </c>
      <c r="C2977">
        <v>65</v>
      </c>
      <c r="D2977">
        <v>5</v>
      </c>
      <c r="E2977">
        <v>1</v>
      </c>
      <c r="F2977">
        <v>3</v>
      </c>
      <c r="G2977">
        <v>3</v>
      </c>
      <c r="H2977">
        <v>0</v>
      </c>
      <c r="I2977">
        <v>6000</v>
      </c>
      <c r="J2977">
        <v>2</v>
      </c>
      <c r="K2977">
        <v>0</v>
      </c>
      <c r="L2977" s="4">
        <v>0.88139812546526908</v>
      </c>
      <c r="M2977" s="4">
        <v>0.11860187453473089</v>
      </c>
      <c r="N2977">
        <v>7</v>
      </c>
    </row>
    <row r="2978" spans="1:14" x14ac:dyDescent="0.35">
      <c r="A2978" s="1">
        <v>483</v>
      </c>
      <c r="B2978">
        <v>7</v>
      </c>
      <c r="C2978">
        <v>51</v>
      </c>
      <c r="D2978">
        <v>4</v>
      </c>
      <c r="E2978">
        <v>1</v>
      </c>
      <c r="F2978">
        <v>3</v>
      </c>
      <c r="G2978">
        <v>3</v>
      </c>
      <c r="H2978">
        <v>3</v>
      </c>
      <c r="I2978">
        <v>0.01</v>
      </c>
      <c r="J2978">
        <v>5</v>
      </c>
      <c r="K2978">
        <v>0</v>
      </c>
      <c r="L2978" s="4">
        <v>0.88142550026954425</v>
      </c>
      <c r="M2978" s="4">
        <v>0.11857449973045581</v>
      </c>
      <c r="N2978">
        <v>7</v>
      </c>
    </row>
    <row r="2979" spans="1:14" x14ac:dyDescent="0.35">
      <c r="A2979" s="1">
        <v>441</v>
      </c>
      <c r="B2979">
        <v>6</v>
      </c>
      <c r="C2979">
        <v>53</v>
      </c>
      <c r="D2979">
        <v>5</v>
      </c>
      <c r="E2979">
        <v>0</v>
      </c>
      <c r="F2979">
        <v>0</v>
      </c>
      <c r="G2979">
        <v>2</v>
      </c>
      <c r="H2979">
        <v>3</v>
      </c>
      <c r="I2979">
        <v>0.01</v>
      </c>
      <c r="J2979">
        <v>8</v>
      </c>
      <c r="K2979">
        <v>0</v>
      </c>
      <c r="L2979" s="4">
        <v>0.88145391443641241</v>
      </c>
      <c r="M2979" s="4">
        <v>0.11854608556358751</v>
      </c>
      <c r="N2979">
        <v>7</v>
      </c>
    </row>
    <row r="2980" spans="1:14" x14ac:dyDescent="0.35">
      <c r="A2980" s="1">
        <v>268</v>
      </c>
      <c r="B2980">
        <v>9</v>
      </c>
      <c r="C2980">
        <v>61</v>
      </c>
      <c r="D2980">
        <v>1</v>
      </c>
      <c r="E2980">
        <v>1</v>
      </c>
      <c r="F2980">
        <v>1</v>
      </c>
      <c r="G2980">
        <v>7</v>
      </c>
      <c r="H2980">
        <v>3</v>
      </c>
      <c r="I2980">
        <v>0.01</v>
      </c>
      <c r="J2980">
        <v>5</v>
      </c>
      <c r="K2980">
        <v>0</v>
      </c>
      <c r="L2980" s="4">
        <v>0.88147824010998121</v>
      </c>
      <c r="M2980" s="4">
        <v>0.1185217598900188</v>
      </c>
      <c r="N2980">
        <v>7</v>
      </c>
    </row>
    <row r="2981" spans="1:14" x14ac:dyDescent="0.35">
      <c r="A2981" s="1">
        <v>284</v>
      </c>
      <c r="B2981">
        <v>6</v>
      </c>
      <c r="C2981">
        <v>49</v>
      </c>
      <c r="D2981">
        <v>1</v>
      </c>
      <c r="E2981">
        <v>1</v>
      </c>
      <c r="F2981">
        <v>0</v>
      </c>
      <c r="G2981">
        <v>11</v>
      </c>
      <c r="H2981">
        <v>3</v>
      </c>
      <c r="I2981">
        <v>0.01</v>
      </c>
      <c r="J2981">
        <v>7</v>
      </c>
      <c r="K2981">
        <v>0</v>
      </c>
      <c r="L2981" s="4">
        <v>0.88148118682979937</v>
      </c>
      <c r="M2981" s="4">
        <v>0.1185188131702006</v>
      </c>
      <c r="N2981">
        <v>7</v>
      </c>
    </row>
    <row r="2982" spans="1:14" x14ac:dyDescent="0.35">
      <c r="A2982" s="1">
        <v>2746</v>
      </c>
      <c r="B2982">
        <v>8</v>
      </c>
      <c r="C2982">
        <v>64</v>
      </c>
      <c r="D2982">
        <v>4</v>
      </c>
      <c r="E2982">
        <v>0</v>
      </c>
      <c r="F2982">
        <v>0</v>
      </c>
      <c r="G2982">
        <v>2</v>
      </c>
      <c r="H2982">
        <v>0</v>
      </c>
      <c r="I2982">
        <v>12135.97</v>
      </c>
      <c r="J2982">
        <v>5</v>
      </c>
      <c r="K2982">
        <v>0</v>
      </c>
      <c r="L2982" s="4">
        <v>0.881500088781761</v>
      </c>
      <c r="M2982" s="4">
        <v>0.118499911218239</v>
      </c>
      <c r="N2982">
        <v>7</v>
      </c>
    </row>
    <row r="2983" spans="1:14" x14ac:dyDescent="0.35">
      <c r="A2983" s="1">
        <v>1717</v>
      </c>
      <c r="B2983">
        <v>8</v>
      </c>
      <c r="C2983">
        <v>55</v>
      </c>
      <c r="D2983">
        <v>4</v>
      </c>
      <c r="E2983">
        <v>1</v>
      </c>
      <c r="F2983">
        <v>4</v>
      </c>
      <c r="G2983">
        <v>9</v>
      </c>
      <c r="H2983">
        <v>2</v>
      </c>
      <c r="I2983">
        <v>4000</v>
      </c>
      <c r="J2983">
        <v>8</v>
      </c>
      <c r="K2983">
        <v>0</v>
      </c>
      <c r="L2983" s="4">
        <v>0.88184585834313212</v>
      </c>
      <c r="M2983" s="4">
        <v>0.1181541416568679</v>
      </c>
      <c r="N2983">
        <v>7</v>
      </c>
    </row>
    <row r="2984" spans="1:14" x14ac:dyDescent="0.35">
      <c r="A2984" s="1">
        <v>2129</v>
      </c>
      <c r="B2984">
        <v>9</v>
      </c>
      <c r="C2984">
        <v>67</v>
      </c>
      <c r="D2984">
        <v>2</v>
      </c>
      <c r="E2984">
        <v>0</v>
      </c>
      <c r="F2984">
        <v>3</v>
      </c>
      <c r="G2984">
        <v>8</v>
      </c>
      <c r="H2984">
        <v>0</v>
      </c>
      <c r="I2984">
        <v>9000</v>
      </c>
      <c r="J2984">
        <v>8</v>
      </c>
      <c r="K2984">
        <v>0</v>
      </c>
      <c r="L2984" s="4">
        <v>0.88187647273391323</v>
      </c>
      <c r="M2984" s="4">
        <v>0.1181235272660867</v>
      </c>
      <c r="N2984">
        <v>7</v>
      </c>
    </row>
    <row r="2985" spans="1:14" x14ac:dyDescent="0.35">
      <c r="A2985" s="1">
        <v>920</v>
      </c>
      <c r="B2985">
        <v>6</v>
      </c>
      <c r="C2985">
        <v>49</v>
      </c>
      <c r="D2985">
        <v>3</v>
      </c>
      <c r="E2985">
        <v>1</v>
      </c>
      <c r="F2985">
        <v>0</v>
      </c>
      <c r="G2985">
        <v>11</v>
      </c>
      <c r="H2985">
        <v>2</v>
      </c>
      <c r="I2985">
        <v>3500</v>
      </c>
      <c r="J2985">
        <v>6</v>
      </c>
      <c r="K2985">
        <v>0</v>
      </c>
      <c r="L2985" s="4">
        <v>0.8819233602065164</v>
      </c>
      <c r="M2985" s="4">
        <v>0.1180766397934836</v>
      </c>
      <c r="N2985">
        <v>7</v>
      </c>
    </row>
    <row r="2986" spans="1:14" x14ac:dyDescent="0.35">
      <c r="A2986" s="1">
        <v>2841</v>
      </c>
      <c r="B2986">
        <v>6</v>
      </c>
      <c r="C2986">
        <v>51</v>
      </c>
      <c r="D2986">
        <v>1</v>
      </c>
      <c r="E2986">
        <v>1</v>
      </c>
      <c r="F2986">
        <v>3</v>
      </c>
      <c r="G2986">
        <v>3</v>
      </c>
      <c r="H2986">
        <v>0</v>
      </c>
      <c r="I2986">
        <v>18000</v>
      </c>
      <c r="J2986">
        <v>4</v>
      </c>
      <c r="K2986">
        <v>0</v>
      </c>
      <c r="L2986" s="4">
        <v>0.88195304771444216</v>
      </c>
      <c r="M2986" s="4">
        <v>0.11804695228555789</v>
      </c>
      <c r="N2986">
        <v>7</v>
      </c>
    </row>
    <row r="2987" spans="1:14" x14ac:dyDescent="0.35">
      <c r="A2987" s="1">
        <v>1536</v>
      </c>
      <c r="B2987">
        <v>10</v>
      </c>
      <c r="C2987">
        <v>70</v>
      </c>
      <c r="D2987">
        <v>5</v>
      </c>
      <c r="E2987">
        <v>0</v>
      </c>
      <c r="F2987">
        <v>3</v>
      </c>
      <c r="G2987">
        <v>3</v>
      </c>
      <c r="H2987">
        <v>0</v>
      </c>
      <c r="I2987">
        <v>6000</v>
      </c>
      <c r="J2987">
        <v>2</v>
      </c>
      <c r="K2987">
        <v>0</v>
      </c>
      <c r="L2987" s="4">
        <v>0.88196070960053485</v>
      </c>
      <c r="M2987" s="4">
        <v>0.1180392903994652</v>
      </c>
      <c r="N2987">
        <v>7</v>
      </c>
    </row>
    <row r="2988" spans="1:14" x14ac:dyDescent="0.35">
      <c r="A2988" s="1">
        <v>4313</v>
      </c>
      <c r="B2988">
        <v>9</v>
      </c>
      <c r="C2988">
        <v>67</v>
      </c>
      <c r="D2988">
        <v>3</v>
      </c>
      <c r="E2988">
        <v>0</v>
      </c>
      <c r="F2988">
        <v>3</v>
      </c>
      <c r="G2988">
        <v>3</v>
      </c>
      <c r="H2988">
        <v>0</v>
      </c>
      <c r="I2988">
        <v>10000</v>
      </c>
      <c r="J2988">
        <v>5</v>
      </c>
      <c r="K2988">
        <v>1</v>
      </c>
      <c r="L2988" s="4">
        <v>0.88199092260556877</v>
      </c>
      <c r="M2988" s="4">
        <v>0.1180090773944312</v>
      </c>
      <c r="N2988">
        <v>7</v>
      </c>
    </row>
    <row r="2989" spans="1:14" x14ac:dyDescent="0.35">
      <c r="A2989" s="1">
        <v>386</v>
      </c>
      <c r="B2989">
        <v>8</v>
      </c>
      <c r="C2989">
        <v>61</v>
      </c>
      <c r="D2989">
        <v>2</v>
      </c>
      <c r="E2989">
        <v>0</v>
      </c>
      <c r="F2989">
        <v>3</v>
      </c>
      <c r="G2989">
        <v>3</v>
      </c>
      <c r="H2989">
        <v>3</v>
      </c>
      <c r="I2989">
        <v>0.01</v>
      </c>
      <c r="J2989">
        <v>8</v>
      </c>
      <c r="K2989">
        <v>0</v>
      </c>
      <c r="L2989" s="4">
        <v>0.88205995262512393</v>
      </c>
      <c r="M2989" s="4">
        <v>0.117940047374876</v>
      </c>
      <c r="N2989">
        <v>7</v>
      </c>
    </row>
    <row r="2990" spans="1:14" x14ac:dyDescent="0.35">
      <c r="A2990" s="1">
        <v>3511</v>
      </c>
      <c r="B2990">
        <v>8</v>
      </c>
      <c r="C2990">
        <v>65</v>
      </c>
      <c r="D2990">
        <v>1</v>
      </c>
      <c r="E2990">
        <v>0</v>
      </c>
      <c r="F2990">
        <v>0</v>
      </c>
      <c r="G2990">
        <v>4</v>
      </c>
      <c r="H2990">
        <v>0</v>
      </c>
      <c r="I2990">
        <v>6000</v>
      </c>
      <c r="J2990">
        <v>2</v>
      </c>
      <c r="K2990">
        <v>0</v>
      </c>
      <c r="L2990" s="4">
        <v>0.88212403022501307</v>
      </c>
      <c r="M2990" s="4">
        <v>0.117875969774987</v>
      </c>
      <c r="N2990">
        <v>7</v>
      </c>
    </row>
    <row r="2991" spans="1:14" x14ac:dyDescent="0.35">
      <c r="A2991" s="1">
        <v>3978</v>
      </c>
      <c r="B2991">
        <v>6</v>
      </c>
      <c r="C2991">
        <v>49</v>
      </c>
      <c r="D2991">
        <v>3</v>
      </c>
      <c r="E2991">
        <v>1</v>
      </c>
      <c r="F2991">
        <v>2</v>
      </c>
      <c r="G2991">
        <v>1</v>
      </c>
      <c r="H2991">
        <v>2</v>
      </c>
      <c r="I2991">
        <v>300.01</v>
      </c>
      <c r="J2991">
        <v>10</v>
      </c>
      <c r="K2991">
        <v>0</v>
      </c>
      <c r="L2991" s="4">
        <v>0.88212841248659835</v>
      </c>
      <c r="M2991" s="4">
        <v>0.1178715875134017</v>
      </c>
      <c r="N2991">
        <v>7</v>
      </c>
    </row>
    <row r="2992" spans="1:14" x14ac:dyDescent="0.35">
      <c r="A2992" s="1">
        <v>2194</v>
      </c>
      <c r="B2992">
        <v>8</v>
      </c>
      <c r="C2992">
        <v>61</v>
      </c>
      <c r="D2992">
        <v>4</v>
      </c>
      <c r="E2992">
        <v>0</v>
      </c>
      <c r="F2992">
        <v>3</v>
      </c>
      <c r="G2992">
        <v>3</v>
      </c>
      <c r="H2992">
        <v>2</v>
      </c>
      <c r="I2992">
        <v>4884.25</v>
      </c>
      <c r="J2992">
        <v>8</v>
      </c>
      <c r="K2992">
        <v>0</v>
      </c>
      <c r="L2992" s="4">
        <v>0.88213523743132727</v>
      </c>
      <c r="M2992" s="4">
        <v>0.1178647625686727</v>
      </c>
      <c r="N2992">
        <v>7</v>
      </c>
    </row>
    <row r="2993" spans="1:14" x14ac:dyDescent="0.35">
      <c r="A2993" s="1">
        <v>2691</v>
      </c>
      <c r="B2993">
        <v>7</v>
      </c>
      <c r="C2993">
        <v>60</v>
      </c>
      <c r="D2993">
        <v>2</v>
      </c>
      <c r="E2993">
        <v>0</v>
      </c>
      <c r="F2993">
        <v>2</v>
      </c>
      <c r="G2993">
        <v>1</v>
      </c>
      <c r="H2993">
        <v>0</v>
      </c>
      <c r="I2993">
        <v>10000</v>
      </c>
      <c r="J2993">
        <v>4</v>
      </c>
      <c r="K2993">
        <v>0</v>
      </c>
      <c r="L2993" s="4">
        <v>0.88217773302020597</v>
      </c>
      <c r="M2993" s="4">
        <v>0.117822266979794</v>
      </c>
      <c r="N2993">
        <v>7</v>
      </c>
    </row>
    <row r="2994" spans="1:14" x14ac:dyDescent="0.35">
      <c r="A2994" s="1">
        <v>1777</v>
      </c>
      <c r="B2994">
        <v>7</v>
      </c>
      <c r="C2994">
        <v>60</v>
      </c>
      <c r="D2994">
        <v>2</v>
      </c>
      <c r="E2994">
        <v>0</v>
      </c>
      <c r="F2994">
        <v>1</v>
      </c>
      <c r="G2994">
        <v>7</v>
      </c>
      <c r="H2994">
        <v>0</v>
      </c>
      <c r="I2994">
        <v>9000</v>
      </c>
      <c r="J2994">
        <v>8</v>
      </c>
      <c r="K2994">
        <v>0</v>
      </c>
      <c r="L2994" s="4">
        <v>0.88227986974240646</v>
      </c>
      <c r="M2994" s="4">
        <v>0.11772013025759361</v>
      </c>
      <c r="N2994">
        <v>7</v>
      </c>
    </row>
    <row r="2995" spans="1:14" x14ac:dyDescent="0.35">
      <c r="A2995" s="1">
        <v>826</v>
      </c>
      <c r="B2995">
        <v>9</v>
      </c>
      <c r="C2995">
        <v>58</v>
      </c>
      <c r="D2995">
        <v>1</v>
      </c>
      <c r="E2995">
        <v>2</v>
      </c>
      <c r="F2995">
        <v>3</v>
      </c>
      <c r="G2995">
        <v>3</v>
      </c>
      <c r="H2995">
        <v>0</v>
      </c>
      <c r="I2995">
        <v>6000</v>
      </c>
      <c r="J2995">
        <v>5</v>
      </c>
      <c r="K2995">
        <v>0</v>
      </c>
      <c r="L2995" s="4">
        <v>0.88232648369812383</v>
      </c>
      <c r="M2995" s="4">
        <v>0.1176735163018762</v>
      </c>
      <c r="N2995">
        <v>7</v>
      </c>
    </row>
    <row r="2996" spans="1:14" x14ac:dyDescent="0.35">
      <c r="A2996" s="1">
        <v>146</v>
      </c>
      <c r="B2996">
        <v>11</v>
      </c>
      <c r="C2996">
        <v>74</v>
      </c>
      <c r="D2996">
        <v>2</v>
      </c>
      <c r="E2996">
        <v>0</v>
      </c>
      <c r="F2996">
        <v>2</v>
      </c>
      <c r="G2996">
        <v>6</v>
      </c>
      <c r="H2996">
        <v>2</v>
      </c>
      <c r="I2996">
        <v>150</v>
      </c>
      <c r="J2996">
        <v>2</v>
      </c>
      <c r="K2996">
        <v>0</v>
      </c>
      <c r="L2996" s="4">
        <v>0.88233113503312366</v>
      </c>
      <c r="M2996" s="4">
        <v>0.1176688649668764</v>
      </c>
      <c r="N2996">
        <v>7</v>
      </c>
    </row>
    <row r="2997" spans="1:14" x14ac:dyDescent="0.35">
      <c r="A2997" s="1">
        <v>3105</v>
      </c>
      <c r="B2997">
        <v>5</v>
      </c>
      <c r="C2997">
        <v>45</v>
      </c>
      <c r="D2997">
        <v>5</v>
      </c>
      <c r="E2997">
        <v>1</v>
      </c>
      <c r="F2997">
        <v>3</v>
      </c>
      <c r="G2997">
        <v>3</v>
      </c>
      <c r="H2997">
        <v>0</v>
      </c>
      <c r="I2997">
        <v>6053.35</v>
      </c>
      <c r="J2997">
        <v>6</v>
      </c>
      <c r="K2997">
        <v>0</v>
      </c>
      <c r="L2997" s="4">
        <v>0.8824273089712934</v>
      </c>
      <c r="M2997" s="4">
        <v>0.1175726910287066</v>
      </c>
      <c r="N2997">
        <v>7</v>
      </c>
    </row>
    <row r="2998" spans="1:14" x14ac:dyDescent="0.35">
      <c r="A2998" s="1">
        <v>4337</v>
      </c>
      <c r="B2998">
        <v>12</v>
      </c>
      <c r="C2998">
        <v>78</v>
      </c>
      <c r="D2998">
        <v>2</v>
      </c>
      <c r="E2998">
        <v>0</v>
      </c>
      <c r="F2998">
        <v>3</v>
      </c>
      <c r="G2998">
        <v>3</v>
      </c>
      <c r="H2998">
        <v>2</v>
      </c>
      <c r="I2998">
        <v>2500</v>
      </c>
      <c r="J2998">
        <v>5</v>
      </c>
      <c r="K2998">
        <v>0</v>
      </c>
      <c r="L2998" s="4">
        <v>0.88246531215605983</v>
      </c>
      <c r="M2998" s="4">
        <v>0.11753468784394019</v>
      </c>
      <c r="N2998">
        <v>7</v>
      </c>
    </row>
    <row r="2999" spans="1:14" x14ac:dyDescent="0.35">
      <c r="A2999" s="1">
        <v>645</v>
      </c>
      <c r="B2999">
        <v>6</v>
      </c>
      <c r="C2999">
        <v>54</v>
      </c>
      <c r="D2999">
        <v>0</v>
      </c>
      <c r="E2999">
        <v>0</v>
      </c>
      <c r="F2999">
        <v>3</v>
      </c>
      <c r="G2999">
        <v>8</v>
      </c>
      <c r="H2999">
        <v>2</v>
      </c>
      <c r="I2999">
        <v>1000</v>
      </c>
      <c r="J2999">
        <v>1</v>
      </c>
      <c r="K2999">
        <v>0</v>
      </c>
      <c r="L2999" s="4">
        <v>0.88252025867234307</v>
      </c>
      <c r="M2999" s="4">
        <v>0.1174797413276569</v>
      </c>
      <c r="N2999">
        <v>7</v>
      </c>
    </row>
    <row r="3000" spans="1:14" x14ac:dyDescent="0.35">
      <c r="A3000" s="1">
        <v>2617</v>
      </c>
      <c r="B3000">
        <v>6</v>
      </c>
      <c r="C3000">
        <v>51</v>
      </c>
      <c r="D3000">
        <v>4</v>
      </c>
      <c r="E3000">
        <v>0</v>
      </c>
      <c r="F3000">
        <v>4</v>
      </c>
      <c r="G3000">
        <v>9</v>
      </c>
      <c r="H3000">
        <v>3</v>
      </c>
      <c r="I3000">
        <v>0.01</v>
      </c>
      <c r="J3000">
        <v>4</v>
      </c>
      <c r="K3000">
        <v>0</v>
      </c>
      <c r="L3000" s="4">
        <v>0.88255868185384201</v>
      </c>
      <c r="M3000" s="4">
        <v>0.11744131814615801</v>
      </c>
      <c r="N3000">
        <v>7</v>
      </c>
    </row>
    <row r="3001" spans="1:14" x14ac:dyDescent="0.35">
      <c r="A3001" s="1">
        <v>4443</v>
      </c>
      <c r="B3001">
        <v>7</v>
      </c>
      <c r="C3001">
        <v>54</v>
      </c>
      <c r="D3001">
        <v>3</v>
      </c>
      <c r="E3001">
        <v>1</v>
      </c>
      <c r="F3001">
        <v>3</v>
      </c>
      <c r="G3001">
        <v>3</v>
      </c>
      <c r="H3001">
        <v>0</v>
      </c>
      <c r="I3001">
        <v>9250</v>
      </c>
      <c r="J3001">
        <v>2</v>
      </c>
      <c r="K3001">
        <v>0</v>
      </c>
      <c r="L3001" s="4">
        <v>0.88258438197252842</v>
      </c>
      <c r="M3001" s="4">
        <v>0.11741561802747159</v>
      </c>
      <c r="N3001">
        <v>7</v>
      </c>
    </row>
    <row r="3002" spans="1:14" x14ac:dyDescent="0.35">
      <c r="A3002" s="1">
        <v>2567</v>
      </c>
      <c r="B3002">
        <v>7</v>
      </c>
      <c r="C3002">
        <v>51</v>
      </c>
      <c r="D3002">
        <v>5</v>
      </c>
      <c r="E3002">
        <v>1</v>
      </c>
      <c r="F3002">
        <v>1</v>
      </c>
      <c r="G3002">
        <v>12</v>
      </c>
      <c r="H3002">
        <v>3</v>
      </c>
      <c r="I3002">
        <v>0.01</v>
      </c>
      <c r="J3002">
        <v>10</v>
      </c>
      <c r="K3002">
        <v>0</v>
      </c>
      <c r="L3002" s="4">
        <v>0.88271876411349781</v>
      </c>
      <c r="M3002" s="4">
        <v>0.1172812358865022</v>
      </c>
      <c r="N3002">
        <v>7</v>
      </c>
    </row>
    <row r="3003" spans="1:14" x14ac:dyDescent="0.35">
      <c r="A3003" s="1">
        <v>229</v>
      </c>
      <c r="B3003">
        <v>10</v>
      </c>
      <c r="C3003">
        <v>70</v>
      </c>
      <c r="D3003">
        <v>1</v>
      </c>
      <c r="E3003">
        <v>0</v>
      </c>
      <c r="F3003">
        <v>3</v>
      </c>
      <c r="G3003">
        <v>8</v>
      </c>
      <c r="H3003">
        <v>2</v>
      </c>
      <c r="I3003">
        <v>2250</v>
      </c>
      <c r="J3003">
        <v>8</v>
      </c>
      <c r="K3003">
        <v>0</v>
      </c>
      <c r="L3003" s="4">
        <v>0.88285224792736972</v>
      </c>
      <c r="M3003" s="4">
        <v>0.1171477520726303</v>
      </c>
      <c r="N3003">
        <v>7</v>
      </c>
    </row>
    <row r="3004" spans="1:14" x14ac:dyDescent="0.35">
      <c r="A3004" s="1">
        <v>2767</v>
      </c>
      <c r="B3004">
        <v>5</v>
      </c>
      <c r="C3004">
        <v>49</v>
      </c>
      <c r="D3004">
        <v>2</v>
      </c>
      <c r="E3004">
        <v>0</v>
      </c>
      <c r="F3004">
        <v>3</v>
      </c>
      <c r="G3004">
        <v>3</v>
      </c>
      <c r="H3004">
        <v>3</v>
      </c>
      <c r="I3004">
        <v>0.01</v>
      </c>
      <c r="J3004">
        <v>9</v>
      </c>
      <c r="K3004">
        <v>0</v>
      </c>
      <c r="L3004" s="4">
        <v>0.88286692098748409</v>
      </c>
      <c r="M3004" s="4">
        <v>0.11713307901251591</v>
      </c>
      <c r="N3004">
        <v>7</v>
      </c>
    </row>
    <row r="3005" spans="1:14" x14ac:dyDescent="0.35">
      <c r="A3005" s="1">
        <v>2990</v>
      </c>
      <c r="B3005">
        <v>9</v>
      </c>
      <c r="C3005">
        <v>66</v>
      </c>
      <c r="D3005">
        <v>2</v>
      </c>
      <c r="E3005">
        <v>0</v>
      </c>
      <c r="F3005">
        <v>1</v>
      </c>
      <c r="G3005">
        <v>5</v>
      </c>
      <c r="H3005">
        <v>3</v>
      </c>
      <c r="I3005">
        <v>0.01</v>
      </c>
      <c r="J3005">
        <v>10</v>
      </c>
      <c r="K3005">
        <v>1</v>
      </c>
      <c r="L3005" s="4">
        <v>0.8829631725720386</v>
      </c>
      <c r="M3005" s="4">
        <v>0.1170368274279614</v>
      </c>
      <c r="N3005">
        <v>7</v>
      </c>
    </row>
    <row r="3006" spans="1:14" x14ac:dyDescent="0.35">
      <c r="A3006" s="1">
        <v>4256</v>
      </c>
      <c r="B3006">
        <v>10</v>
      </c>
      <c r="C3006">
        <v>67</v>
      </c>
      <c r="D3006">
        <v>1</v>
      </c>
      <c r="E3006">
        <v>1</v>
      </c>
      <c r="F3006">
        <v>3</v>
      </c>
      <c r="G3006">
        <v>3</v>
      </c>
      <c r="H3006">
        <v>0</v>
      </c>
      <c r="I3006">
        <v>6000</v>
      </c>
      <c r="J3006">
        <v>2</v>
      </c>
      <c r="K3006">
        <v>1</v>
      </c>
      <c r="L3006" s="4">
        <v>0.88297139881684206</v>
      </c>
      <c r="M3006" s="4">
        <v>0.117028601183158</v>
      </c>
      <c r="N3006">
        <v>7</v>
      </c>
    </row>
    <row r="3007" spans="1:14" x14ac:dyDescent="0.35">
      <c r="A3007" s="1">
        <v>610</v>
      </c>
      <c r="B3007">
        <v>7</v>
      </c>
      <c r="C3007">
        <v>58</v>
      </c>
      <c r="D3007">
        <v>5</v>
      </c>
      <c r="E3007">
        <v>0</v>
      </c>
      <c r="F3007">
        <v>0</v>
      </c>
      <c r="G3007">
        <v>4</v>
      </c>
      <c r="H3007">
        <v>2</v>
      </c>
      <c r="I3007">
        <v>4085.03</v>
      </c>
      <c r="J3007">
        <v>9</v>
      </c>
      <c r="K3007">
        <v>0</v>
      </c>
      <c r="L3007" s="4">
        <v>0.8831416730830296</v>
      </c>
      <c r="M3007" s="4">
        <v>0.1168583269169704</v>
      </c>
      <c r="N3007">
        <v>7</v>
      </c>
    </row>
    <row r="3008" spans="1:14" x14ac:dyDescent="0.35">
      <c r="A3008" s="1">
        <v>1019</v>
      </c>
      <c r="B3008">
        <v>9</v>
      </c>
      <c r="C3008">
        <v>66</v>
      </c>
      <c r="D3008">
        <v>1</v>
      </c>
      <c r="E3008">
        <v>0</v>
      </c>
      <c r="F3008">
        <v>3</v>
      </c>
      <c r="G3008">
        <v>8</v>
      </c>
      <c r="H3008">
        <v>2</v>
      </c>
      <c r="I3008">
        <v>3026.67</v>
      </c>
      <c r="J3008">
        <v>7</v>
      </c>
      <c r="K3008">
        <v>0</v>
      </c>
      <c r="L3008" s="4">
        <v>0.88316788015996206</v>
      </c>
      <c r="M3008" s="4">
        <v>0.116832119840038</v>
      </c>
      <c r="N3008">
        <v>7</v>
      </c>
    </row>
    <row r="3009" spans="1:14" x14ac:dyDescent="0.35">
      <c r="A3009" s="1">
        <v>2869</v>
      </c>
      <c r="B3009">
        <v>6</v>
      </c>
      <c r="C3009">
        <v>55</v>
      </c>
      <c r="D3009">
        <v>2</v>
      </c>
      <c r="E3009">
        <v>0</v>
      </c>
      <c r="F3009">
        <v>0</v>
      </c>
      <c r="G3009">
        <v>4</v>
      </c>
      <c r="H3009">
        <v>2</v>
      </c>
      <c r="I3009">
        <v>420</v>
      </c>
      <c r="J3009">
        <v>1</v>
      </c>
      <c r="K3009">
        <v>0</v>
      </c>
      <c r="L3009" s="4">
        <v>0.883190547112498</v>
      </c>
      <c r="M3009" s="4">
        <v>0.116809452887502</v>
      </c>
      <c r="N3009">
        <v>7</v>
      </c>
    </row>
    <row r="3010" spans="1:14" x14ac:dyDescent="0.35">
      <c r="A3010" s="1">
        <v>3792</v>
      </c>
      <c r="B3010">
        <v>9</v>
      </c>
      <c r="C3010">
        <v>63</v>
      </c>
      <c r="D3010">
        <v>1</v>
      </c>
      <c r="E3010">
        <v>1</v>
      </c>
      <c r="F3010">
        <v>3</v>
      </c>
      <c r="G3010">
        <v>3</v>
      </c>
      <c r="H3010">
        <v>0</v>
      </c>
      <c r="I3010">
        <v>6000</v>
      </c>
      <c r="J3010">
        <v>2</v>
      </c>
      <c r="K3010">
        <v>0</v>
      </c>
      <c r="L3010" s="4">
        <v>0.88328328271125089</v>
      </c>
      <c r="M3010" s="4">
        <v>0.1167167172887492</v>
      </c>
      <c r="N3010">
        <v>7</v>
      </c>
    </row>
    <row r="3011" spans="1:14" x14ac:dyDescent="0.35">
      <c r="A3011" s="1">
        <v>2550</v>
      </c>
      <c r="B3011">
        <v>8</v>
      </c>
      <c r="C3011">
        <v>61</v>
      </c>
      <c r="D3011">
        <v>4</v>
      </c>
      <c r="E3011">
        <v>0</v>
      </c>
      <c r="F3011">
        <v>3</v>
      </c>
      <c r="G3011">
        <v>3</v>
      </c>
      <c r="H3011">
        <v>2</v>
      </c>
      <c r="I3011">
        <v>1000</v>
      </c>
      <c r="J3011">
        <v>4</v>
      </c>
      <c r="K3011">
        <v>0</v>
      </c>
      <c r="L3011" s="4">
        <v>0.88331523892835939</v>
      </c>
      <c r="M3011" s="4">
        <v>0.11668476107164059</v>
      </c>
      <c r="N3011">
        <v>7</v>
      </c>
    </row>
    <row r="3012" spans="1:14" x14ac:dyDescent="0.35">
      <c r="A3012" s="1">
        <v>1636</v>
      </c>
      <c r="B3012">
        <v>6</v>
      </c>
      <c r="C3012">
        <v>53</v>
      </c>
      <c r="D3012">
        <v>4</v>
      </c>
      <c r="E3012">
        <v>0</v>
      </c>
      <c r="F3012">
        <v>1</v>
      </c>
      <c r="G3012">
        <v>5</v>
      </c>
      <c r="H3012">
        <v>3</v>
      </c>
      <c r="I3012">
        <v>0.01</v>
      </c>
      <c r="J3012">
        <v>8</v>
      </c>
      <c r="K3012">
        <v>0</v>
      </c>
      <c r="L3012" s="4">
        <v>0.88338276591425324</v>
      </c>
      <c r="M3012" s="4">
        <v>0.1166172340857467</v>
      </c>
      <c r="N3012">
        <v>7</v>
      </c>
    </row>
    <row r="3013" spans="1:14" x14ac:dyDescent="0.35">
      <c r="A3013" s="1">
        <v>3987</v>
      </c>
      <c r="B3013">
        <v>8</v>
      </c>
      <c r="C3013">
        <v>55</v>
      </c>
      <c r="D3013">
        <v>4</v>
      </c>
      <c r="E3013">
        <v>1</v>
      </c>
      <c r="F3013">
        <v>3</v>
      </c>
      <c r="G3013">
        <v>8</v>
      </c>
      <c r="H3013">
        <v>3</v>
      </c>
      <c r="I3013">
        <v>0.01</v>
      </c>
      <c r="J3013">
        <v>8</v>
      </c>
      <c r="K3013">
        <v>0</v>
      </c>
      <c r="L3013" s="4">
        <v>0.8835585902251385</v>
      </c>
      <c r="M3013" s="4">
        <v>0.1164414097748615</v>
      </c>
      <c r="N3013">
        <v>7</v>
      </c>
    </row>
    <row r="3014" spans="1:14" x14ac:dyDescent="0.35">
      <c r="A3014" s="1">
        <v>1213</v>
      </c>
      <c r="B3014">
        <v>5</v>
      </c>
      <c r="C3014">
        <v>52</v>
      </c>
      <c r="D3014">
        <v>1</v>
      </c>
      <c r="E3014">
        <v>0</v>
      </c>
      <c r="F3014">
        <v>2</v>
      </c>
      <c r="G3014">
        <v>6</v>
      </c>
      <c r="H3014">
        <v>0</v>
      </c>
      <c r="I3014">
        <v>6000</v>
      </c>
      <c r="J3014">
        <v>4</v>
      </c>
      <c r="K3014">
        <v>0</v>
      </c>
      <c r="L3014" s="4">
        <v>0.88358740825140869</v>
      </c>
      <c r="M3014" s="4">
        <v>0.1164125917485913</v>
      </c>
      <c r="N3014">
        <v>7</v>
      </c>
    </row>
    <row r="3015" spans="1:14" x14ac:dyDescent="0.35">
      <c r="A3015" s="1">
        <v>912</v>
      </c>
      <c r="B3015">
        <v>3</v>
      </c>
      <c r="C3015">
        <v>43</v>
      </c>
      <c r="D3015">
        <v>1</v>
      </c>
      <c r="E3015">
        <v>0</v>
      </c>
      <c r="F3015">
        <v>1</v>
      </c>
      <c r="G3015">
        <v>5</v>
      </c>
      <c r="H3015">
        <v>2</v>
      </c>
      <c r="I3015">
        <v>50</v>
      </c>
      <c r="J3015">
        <v>10</v>
      </c>
      <c r="K3015">
        <v>0</v>
      </c>
      <c r="L3015" s="4">
        <v>0.88377807697386235</v>
      </c>
      <c r="M3015" s="4">
        <v>0.1162219230261376</v>
      </c>
      <c r="N3015">
        <v>7</v>
      </c>
    </row>
    <row r="3016" spans="1:14" x14ac:dyDescent="0.35">
      <c r="A3016" s="1">
        <v>2709</v>
      </c>
      <c r="B3016">
        <v>3</v>
      </c>
      <c r="C3016">
        <v>43</v>
      </c>
      <c r="D3016">
        <v>3</v>
      </c>
      <c r="E3016">
        <v>0</v>
      </c>
      <c r="F3016">
        <v>3</v>
      </c>
      <c r="G3016">
        <v>3</v>
      </c>
      <c r="H3016">
        <v>0</v>
      </c>
      <c r="I3016">
        <v>5700</v>
      </c>
      <c r="J3016">
        <v>11</v>
      </c>
      <c r="K3016">
        <v>1</v>
      </c>
      <c r="L3016" s="4">
        <v>0.88378466440059311</v>
      </c>
      <c r="M3016" s="4">
        <v>0.1162153355994069</v>
      </c>
      <c r="N3016">
        <v>7</v>
      </c>
    </row>
    <row r="3017" spans="1:14" x14ac:dyDescent="0.35">
      <c r="A3017" s="1">
        <v>2492</v>
      </c>
      <c r="B3017">
        <v>7</v>
      </c>
      <c r="C3017">
        <v>59</v>
      </c>
      <c r="D3017">
        <v>3</v>
      </c>
      <c r="E3017">
        <v>0</v>
      </c>
      <c r="F3017">
        <v>0</v>
      </c>
      <c r="G3017">
        <v>2</v>
      </c>
      <c r="H3017">
        <v>2</v>
      </c>
      <c r="I3017">
        <v>1000</v>
      </c>
      <c r="J3017">
        <v>5</v>
      </c>
      <c r="K3017">
        <v>0</v>
      </c>
      <c r="L3017" s="4">
        <v>0.8838314307782682</v>
      </c>
      <c r="M3017" s="4">
        <v>0.1161685692217318</v>
      </c>
      <c r="N3017">
        <v>7</v>
      </c>
    </row>
    <row r="3018" spans="1:14" x14ac:dyDescent="0.35">
      <c r="A3018" s="1">
        <v>3748</v>
      </c>
      <c r="B3018">
        <v>5</v>
      </c>
      <c r="C3018">
        <v>44</v>
      </c>
      <c r="D3018">
        <v>2</v>
      </c>
      <c r="E3018">
        <v>1</v>
      </c>
      <c r="F3018">
        <v>4</v>
      </c>
      <c r="G3018">
        <v>9</v>
      </c>
      <c r="H3018">
        <v>2</v>
      </c>
      <c r="I3018">
        <v>2000</v>
      </c>
      <c r="J3018">
        <v>6</v>
      </c>
      <c r="K3018">
        <v>0</v>
      </c>
      <c r="L3018" s="4">
        <v>0.88416262057692374</v>
      </c>
      <c r="M3018" s="4">
        <v>0.1158373794230762</v>
      </c>
      <c r="N3018">
        <v>7</v>
      </c>
    </row>
    <row r="3019" spans="1:14" x14ac:dyDescent="0.35">
      <c r="A3019" s="1">
        <v>3573</v>
      </c>
      <c r="B3019">
        <v>7</v>
      </c>
      <c r="C3019">
        <v>54</v>
      </c>
      <c r="D3019">
        <v>2</v>
      </c>
      <c r="E3019">
        <v>1</v>
      </c>
      <c r="F3019">
        <v>0</v>
      </c>
      <c r="G3019">
        <v>11</v>
      </c>
      <c r="H3019">
        <v>2</v>
      </c>
      <c r="I3019">
        <v>4500</v>
      </c>
      <c r="J3019">
        <v>11</v>
      </c>
      <c r="K3019">
        <v>0</v>
      </c>
      <c r="L3019" s="4">
        <v>0.88427834506415137</v>
      </c>
      <c r="M3019" s="4">
        <v>0.1157216549358487</v>
      </c>
      <c r="N3019">
        <v>7</v>
      </c>
    </row>
    <row r="3020" spans="1:14" x14ac:dyDescent="0.35">
      <c r="A3020" s="1">
        <v>1383</v>
      </c>
      <c r="B3020">
        <v>8</v>
      </c>
      <c r="C3020">
        <v>62</v>
      </c>
      <c r="D3020">
        <v>1</v>
      </c>
      <c r="E3020">
        <v>0</v>
      </c>
      <c r="F3020">
        <v>3</v>
      </c>
      <c r="G3020">
        <v>8</v>
      </c>
      <c r="H3020">
        <v>2</v>
      </c>
      <c r="I3020">
        <v>75.010000000000005</v>
      </c>
      <c r="J3020">
        <v>4</v>
      </c>
      <c r="K3020">
        <v>0</v>
      </c>
      <c r="L3020" s="4">
        <v>0.88436283618492395</v>
      </c>
      <c r="M3020" s="4">
        <v>0.11563716381507599</v>
      </c>
      <c r="N3020">
        <v>7</v>
      </c>
    </row>
    <row r="3021" spans="1:14" x14ac:dyDescent="0.35">
      <c r="A3021" s="1">
        <v>4105</v>
      </c>
      <c r="B3021">
        <v>5</v>
      </c>
      <c r="C3021">
        <v>52</v>
      </c>
      <c r="D3021">
        <v>1</v>
      </c>
      <c r="E3021">
        <v>0</v>
      </c>
      <c r="F3021">
        <v>3</v>
      </c>
      <c r="G3021">
        <v>3</v>
      </c>
      <c r="H3021">
        <v>0</v>
      </c>
      <c r="I3021">
        <v>6105.32</v>
      </c>
      <c r="J3021">
        <v>7</v>
      </c>
      <c r="K3021">
        <v>0</v>
      </c>
      <c r="L3021" s="4">
        <v>0.88440076566488923</v>
      </c>
      <c r="M3021" s="4">
        <v>0.1155992343351108</v>
      </c>
      <c r="N3021">
        <v>7</v>
      </c>
    </row>
    <row r="3022" spans="1:14" x14ac:dyDescent="0.35">
      <c r="A3022" s="1">
        <v>3129</v>
      </c>
      <c r="B3022">
        <v>6</v>
      </c>
      <c r="C3022">
        <v>54</v>
      </c>
      <c r="D3022">
        <v>5</v>
      </c>
      <c r="E3022">
        <v>0</v>
      </c>
      <c r="F3022">
        <v>0</v>
      </c>
      <c r="G3022">
        <v>4</v>
      </c>
      <c r="H3022">
        <v>2</v>
      </c>
      <c r="I3022">
        <v>2000</v>
      </c>
      <c r="J3022">
        <v>4</v>
      </c>
      <c r="K3022">
        <v>0</v>
      </c>
      <c r="L3022" s="4">
        <v>0.88445686712554394</v>
      </c>
      <c r="M3022" s="4">
        <v>0.115543132874456</v>
      </c>
      <c r="N3022">
        <v>7</v>
      </c>
    </row>
    <row r="3023" spans="1:14" x14ac:dyDescent="0.35">
      <c r="A3023" s="1">
        <v>1742</v>
      </c>
      <c r="B3023">
        <v>6</v>
      </c>
      <c r="C3023">
        <v>48</v>
      </c>
      <c r="D3023">
        <v>4</v>
      </c>
      <c r="E3023">
        <v>1</v>
      </c>
      <c r="F3023">
        <v>1</v>
      </c>
      <c r="G3023">
        <v>7</v>
      </c>
      <c r="H3023">
        <v>3</v>
      </c>
      <c r="I3023">
        <v>0.01</v>
      </c>
      <c r="J3023">
        <v>4</v>
      </c>
      <c r="K3023">
        <v>0</v>
      </c>
      <c r="L3023" s="4">
        <v>0.88448322952921177</v>
      </c>
      <c r="M3023" s="4">
        <v>0.1155167704707882</v>
      </c>
      <c r="N3023">
        <v>7</v>
      </c>
    </row>
    <row r="3024" spans="1:14" x14ac:dyDescent="0.35">
      <c r="A3024" s="1">
        <v>266</v>
      </c>
      <c r="B3024">
        <v>11</v>
      </c>
      <c r="C3024">
        <v>70</v>
      </c>
      <c r="D3024">
        <v>5</v>
      </c>
      <c r="E3024">
        <v>1</v>
      </c>
      <c r="F3024">
        <v>3</v>
      </c>
      <c r="G3024">
        <v>3</v>
      </c>
      <c r="H3024">
        <v>0</v>
      </c>
      <c r="I3024">
        <v>18000</v>
      </c>
      <c r="J3024">
        <v>8</v>
      </c>
      <c r="K3024">
        <v>0</v>
      </c>
      <c r="L3024" s="4">
        <v>0.88450937179116607</v>
      </c>
      <c r="M3024" s="4">
        <v>0.11549062820883391</v>
      </c>
      <c r="N3024">
        <v>7</v>
      </c>
    </row>
    <row r="3025" spans="1:14" x14ac:dyDescent="0.35">
      <c r="A3025" s="1">
        <v>2126</v>
      </c>
      <c r="B3025">
        <v>8</v>
      </c>
      <c r="C3025">
        <v>51</v>
      </c>
      <c r="D3025">
        <v>5</v>
      </c>
      <c r="E3025">
        <v>2</v>
      </c>
      <c r="F3025">
        <v>1</v>
      </c>
      <c r="G3025">
        <v>5</v>
      </c>
      <c r="H3025">
        <v>3</v>
      </c>
      <c r="I3025">
        <v>0.01</v>
      </c>
      <c r="J3025">
        <v>5</v>
      </c>
      <c r="K3025">
        <v>0</v>
      </c>
      <c r="L3025" s="4">
        <v>0.88474883626768075</v>
      </c>
      <c r="M3025" s="4">
        <v>0.11525116373231931</v>
      </c>
      <c r="N3025">
        <v>7</v>
      </c>
    </row>
    <row r="3026" spans="1:14" x14ac:dyDescent="0.35">
      <c r="A3026" s="1">
        <v>3715</v>
      </c>
      <c r="B3026">
        <v>8</v>
      </c>
      <c r="C3026">
        <v>61</v>
      </c>
      <c r="D3026">
        <v>3</v>
      </c>
      <c r="E3026">
        <v>0</v>
      </c>
      <c r="F3026">
        <v>3</v>
      </c>
      <c r="G3026">
        <v>3</v>
      </c>
      <c r="H3026">
        <v>3</v>
      </c>
      <c r="I3026">
        <v>0.01</v>
      </c>
      <c r="J3026">
        <v>8</v>
      </c>
      <c r="K3026">
        <v>0</v>
      </c>
      <c r="L3026" s="4">
        <v>0.8847688257901728</v>
      </c>
      <c r="M3026" s="4">
        <v>0.1152311742098272</v>
      </c>
      <c r="N3026">
        <v>7</v>
      </c>
    </row>
    <row r="3027" spans="1:14" x14ac:dyDescent="0.35">
      <c r="A3027" s="1">
        <v>2711</v>
      </c>
      <c r="B3027">
        <v>7</v>
      </c>
      <c r="C3027">
        <v>61</v>
      </c>
      <c r="D3027">
        <v>1</v>
      </c>
      <c r="E3027">
        <v>0</v>
      </c>
      <c r="F3027">
        <v>2</v>
      </c>
      <c r="G3027">
        <v>0</v>
      </c>
      <c r="H3027">
        <v>0</v>
      </c>
      <c r="I3027">
        <v>6000</v>
      </c>
      <c r="J3027">
        <v>11</v>
      </c>
      <c r="K3027">
        <v>1</v>
      </c>
      <c r="L3027" s="4">
        <v>0.88483624206266576</v>
      </c>
      <c r="M3027" s="4">
        <v>0.1151637579373343</v>
      </c>
      <c r="N3027">
        <v>7</v>
      </c>
    </row>
    <row r="3028" spans="1:14" x14ac:dyDescent="0.35">
      <c r="A3028" s="1">
        <v>1588</v>
      </c>
      <c r="B3028">
        <v>11</v>
      </c>
      <c r="C3028">
        <v>68</v>
      </c>
      <c r="D3028">
        <v>0</v>
      </c>
      <c r="E3028">
        <v>2</v>
      </c>
      <c r="F3028">
        <v>0</v>
      </c>
      <c r="G3028">
        <v>11</v>
      </c>
      <c r="H3028">
        <v>0</v>
      </c>
      <c r="I3028">
        <v>15000</v>
      </c>
      <c r="J3028">
        <v>11</v>
      </c>
      <c r="K3028">
        <v>0</v>
      </c>
      <c r="L3028" s="4">
        <v>0.88483949271384232</v>
      </c>
      <c r="M3028" s="4">
        <v>0.11516050728615761</v>
      </c>
      <c r="N3028">
        <v>7</v>
      </c>
    </row>
    <row r="3029" spans="1:14" x14ac:dyDescent="0.35">
      <c r="A3029" s="1">
        <v>381</v>
      </c>
      <c r="B3029">
        <v>9</v>
      </c>
      <c r="C3029">
        <v>66</v>
      </c>
      <c r="D3029">
        <v>1</v>
      </c>
      <c r="E3029">
        <v>0</v>
      </c>
      <c r="F3029">
        <v>1</v>
      </c>
      <c r="G3029">
        <v>12</v>
      </c>
      <c r="H3029">
        <v>3</v>
      </c>
      <c r="I3029">
        <v>0.01</v>
      </c>
      <c r="J3029">
        <v>5</v>
      </c>
      <c r="K3029">
        <v>1</v>
      </c>
      <c r="L3029" s="4">
        <v>0.88486643762488359</v>
      </c>
      <c r="M3029" s="4">
        <v>0.11513356237511641</v>
      </c>
      <c r="N3029">
        <v>7</v>
      </c>
    </row>
    <row r="3030" spans="1:14" x14ac:dyDescent="0.35">
      <c r="A3030" s="1">
        <v>3446</v>
      </c>
      <c r="B3030">
        <v>6</v>
      </c>
      <c r="C3030">
        <v>50</v>
      </c>
      <c r="D3030">
        <v>3</v>
      </c>
      <c r="E3030">
        <v>1</v>
      </c>
      <c r="F3030">
        <v>0</v>
      </c>
      <c r="G3030">
        <v>4</v>
      </c>
      <c r="H3030">
        <v>2</v>
      </c>
      <c r="I3030">
        <v>3000</v>
      </c>
      <c r="J3030">
        <v>1</v>
      </c>
      <c r="K3030">
        <v>0</v>
      </c>
      <c r="L3030" s="4">
        <v>0.88490776844664509</v>
      </c>
      <c r="M3030" s="4">
        <v>0.11509223155335491</v>
      </c>
      <c r="N3030">
        <v>7</v>
      </c>
    </row>
    <row r="3031" spans="1:14" x14ac:dyDescent="0.35">
      <c r="A3031" s="1">
        <v>3409</v>
      </c>
      <c r="B3031">
        <v>6</v>
      </c>
      <c r="C3031">
        <v>57</v>
      </c>
      <c r="D3031">
        <v>2</v>
      </c>
      <c r="E3031">
        <v>0</v>
      </c>
      <c r="F3031">
        <v>0</v>
      </c>
      <c r="G3031">
        <v>4</v>
      </c>
      <c r="H3031">
        <v>0</v>
      </c>
      <c r="I3031">
        <v>6053.35</v>
      </c>
      <c r="J3031">
        <v>6</v>
      </c>
      <c r="K3031">
        <v>0</v>
      </c>
      <c r="L3031" s="4">
        <v>0.8849148818717627</v>
      </c>
      <c r="M3031" s="4">
        <v>0.1150851181282373</v>
      </c>
      <c r="N3031">
        <v>7</v>
      </c>
    </row>
    <row r="3032" spans="1:14" x14ac:dyDescent="0.35">
      <c r="A3032" s="1">
        <v>3326</v>
      </c>
      <c r="B3032">
        <v>10</v>
      </c>
      <c r="C3032">
        <v>65</v>
      </c>
      <c r="D3032">
        <v>5</v>
      </c>
      <c r="E3032">
        <v>1</v>
      </c>
      <c r="F3032">
        <v>1</v>
      </c>
      <c r="G3032">
        <v>5</v>
      </c>
      <c r="H3032">
        <v>2</v>
      </c>
      <c r="I3032">
        <v>500</v>
      </c>
      <c r="J3032">
        <v>15</v>
      </c>
      <c r="K3032">
        <v>0</v>
      </c>
      <c r="L3032" s="4">
        <v>0.88493789180919535</v>
      </c>
      <c r="M3032" s="4">
        <v>0.1150621081908047</v>
      </c>
      <c r="N3032">
        <v>7</v>
      </c>
    </row>
    <row r="3033" spans="1:14" x14ac:dyDescent="0.35">
      <c r="A3033" s="1">
        <v>3101</v>
      </c>
      <c r="B3033">
        <v>9</v>
      </c>
      <c r="C3033">
        <v>62</v>
      </c>
      <c r="D3033">
        <v>0</v>
      </c>
      <c r="E3033">
        <v>1</v>
      </c>
      <c r="F3033">
        <v>1</v>
      </c>
      <c r="G3033">
        <v>7</v>
      </c>
      <c r="H3033">
        <v>3</v>
      </c>
      <c r="I3033">
        <v>0.01</v>
      </c>
      <c r="J3033">
        <v>5</v>
      </c>
      <c r="K3033">
        <v>0</v>
      </c>
      <c r="L3033" s="4">
        <v>0.8849714345106936</v>
      </c>
      <c r="M3033" s="4">
        <v>0.1150285654893064</v>
      </c>
      <c r="N3033">
        <v>7</v>
      </c>
    </row>
    <row r="3034" spans="1:14" x14ac:dyDescent="0.35">
      <c r="A3034" s="1">
        <v>3221</v>
      </c>
      <c r="B3034">
        <v>8</v>
      </c>
      <c r="C3034">
        <v>54</v>
      </c>
      <c r="D3034">
        <v>0</v>
      </c>
      <c r="E3034">
        <v>2</v>
      </c>
      <c r="F3034">
        <v>1</v>
      </c>
      <c r="G3034">
        <v>7</v>
      </c>
      <c r="H3034">
        <v>2</v>
      </c>
      <c r="I3034">
        <v>4885.03</v>
      </c>
      <c r="J3034">
        <v>8</v>
      </c>
      <c r="K3034">
        <v>0</v>
      </c>
      <c r="L3034" s="4">
        <v>0.88518147882879306</v>
      </c>
      <c r="M3034" s="4">
        <v>0.1148185211712069</v>
      </c>
      <c r="N3034">
        <v>7</v>
      </c>
    </row>
    <row r="3035" spans="1:14" x14ac:dyDescent="0.35">
      <c r="A3035" s="1">
        <v>4162</v>
      </c>
      <c r="B3035">
        <v>7</v>
      </c>
      <c r="C3035">
        <v>61</v>
      </c>
      <c r="D3035">
        <v>2</v>
      </c>
      <c r="E3035">
        <v>0</v>
      </c>
      <c r="F3035">
        <v>0</v>
      </c>
      <c r="G3035">
        <v>4</v>
      </c>
      <c r="H3035">
        <v>0</v>
      </c>
      <c r="I3035">
        <v>6000</v>
      </c>
      <c r="J3035">
        <v>1</v>
      </c>
      <c r="K3035">
        <v>0</v>
      </c>
      <c r="L3035" s="4">
        <v>0.88526977966286002</v>
      </c>
      <c r="M3035" s="4">
        <v>0.11473022033714</v>
      </c>
      <c r="N3035">
        <v>7</v>
      </c>
    </row>
    <row r="3036" spans="1:14" x14ac:dyDescent="0.35">
      <c r="A3036" s="1">
        <v>4058</v>
      </c>
      <c r="B3036">
        <v>8</v>
      </c>
      <c r="C3036">
        <v>64</v>
      </c>
      <c r="D3036">
        <v>3</v>
      </c>
      <c r="E3036">
        <v>0</v>
      </c>
      <c r="F3036">
        <v>3</v>
      </c>
      <c r="G3036">
        <v>3</v>
      </c>
      <c r="H3036">
        <v>0</v>
      </c>
      <c r="I3036">
        <v>10000</v>
      </c>
      <c r="J3036">
        <v>29</v>
      </c>
      <c r="K3036">
        <v>0</v>
      </c>
      <c r="L3036" s="4">
        <v>0.88531701364403792</v>
      </c>
      <c r="M3036" s="4">
        <v>0.11468298635596209</v>
      </c>
      <c r="N3036">
        <v>7</v>
      </c>
    </row>
    <row r="3037" spans="1:14" x14ac:dyDescent="0.35">
      <c r="A3037" s="1">
        <v>4425</v>
      </c>
      <c r="B3037">
        <v>5</v>
      </c>
      <c r="C3037">
        <v>48</v>
      </c>
      <c r="D3037">
        <v>2</v>
      </c>
      <c r="E3037">
        <v>1</v>
      </c>
      <c r="F3037">
        <v>0</v>
      </c>
      <c r="G3037">
        <v>4</v>
      </c>
      <c r="H3037">
        <v>0</v>
      </c>
      <c r="I3037">
        <v>6000</v>
      </c>
      <c r="J3037">
        <v>1</v>
      </c>
      <c r="K3037">
        <v>0</v>
      </c>
      <c r="L3037" s="4">
        <v>0.8853358469553132</v>
      </c>
      <c r="M3037" s="4">
        <v>0.1146641530446867</v>
      </c>
      <c r="N3037">
        <v>7</v>
      </c>
    </row>
    <row r="3038" spans="1:14" x14ac:dyDescent="0.35">
      <c r="A3038" s="1">
        <v>1089</v>
      </c>
      <c r="B3038">
        <v>8</v>
      </c>
      <c r="C3038">
        <v>51</v>
      </c>
      <c r="D3038">
        <v>5</v>
      </c>
      <c r="E3038">
        <v>2</v>
      </c>
      <c r="F3038">
        <v>0</v>
      </c>
      <c r="G3038">
        <v>11</v>
      </c>
      <c r="H3038">
        <v>3</v>
      </c>
      <c r="I3038">
        <v>0.01</v>
      </c>
      <c r="J3038">
        <v>4</v>
      </c>
      <c r="K3038">
        <v>0</v>
      </c>
      <c r="L3038" s="4">
        <v>0.88533863743314745</v>
      </c>
      <c r="M3038" s="4">
        <v>0.1146613625668526</v>
      </c>
      <c r="N3038">
        <v>7</v>
      </c>
    </row>
    <row r="3039" spans="1:14" x14ac:dyDescent="0.35">
      <c r="A3039" s="1">
        <v>888</v>
      </c>
      <c r="B3039">
        <v>7</v>
      </c>
      <c r="C3039">
        <v>54</v>
      </c>
      <c r="D3039">
        <v>2</v>
      </c>
      <c r="E3039">
        <v>1</v>
      </c>
      <c r="F3039">
        <v>2</v>
      </c>
      <c r="G3039">
        <v>0</v>
      </c>
      <c r="H3039">
        <v>2</v>
      </c>
      <c r="I3039">
        <v>1000</v>
      </c>
      <c r="J3039">
        <v>4</v>
      </c>
      <c r="K3039">
        <v>0</v>
      </c>
      <c r="L3039" s="4">
        <v>0.88540939307020183</v>
      </c>
      <c r="M3039" s="4">
        <v>0.11459060692979819</v>
      </c>
      <c r="N3039">
        <v>7</v>
      </c>
    </row>
    <row r="3040" spans="1:14" x14ac:dyDescent="0.35">
      <c r="A3040" s="1">
        <v>763</v>
      </c>
      <c r="B3040">
        <v>6</v>
      </c>
      <c r="C3040">
        <v>55</v>
      </c>
      <c r="D3040">
        <v>0</v>
      </c>
      <c r="E3040">
        <v>0</v>
      </c>
      <c r="F3040">
        <v>3</v>
      </c>
      <c r="G3040">
        <v>3</v>
      </c>
      <c r="H3040">
        <v>2</v>
      </c>
      <c r="I3040">
        <v>1000</v>
      </c>
      <c r="J3040">
        <v>4</v>
      </c>
      <c r="K3040">
        <v>0</v>
      </c>
      <c r="L3040" s="4">
        <v>0.8854806692872762</v>
      </c>
      <c r="M3040" s="4">
        <v>0.1145193307127238</v>
      </c>
      <c r="N3040">
        <v>7</v>
      </c>
    </row>
    <row r="3041" spans="1:14" x14ac:dyDescent="0.35">
      <c r="A3041" s="1">
        <v>3570</v>
      </c>
      <c r="B3041">
        <v>4</v>
      </c>
      <c r="C3041">
        <v>41</v>
      </c>
      <c r="D3041">
        <v>1</v>
      </c>
      <c r="E3041">
        <v>1</v>
      </c>
      <c r="F3041">
        <v>1</v>
      </c>
      <c r="G3041">
        <v>12</v>
      </c>
      <c r="H3041">
        <v>3</v>
      </c>
      <c r="I3041">
        <v>0.01</v>
      </c>
      <c r="J3041">
        <v>7</v>
      </c>
      <c r="K3041">
        <v>0</v>
      </c>
      <c r="L3041" s="4">
        <v>0.88559243013873534</v>
      </c>
      <c r="M3041" s="4">
        <v>0.1144075698612646</v>
      </c>
      <c r="N3041">
        <v>7</v>
      </c>
    </row>
    <row r="3042" spans="1:14" x14ac:dyDescent="0.35">
      <c r="A3042" s="1">
        <v>3097</v>
      </c>
      <c r="B3042">
        <v>5</v>
      </c>
      <c r="C3042">
        <v>51</v>
      </c>
      <c r="D3042">
        <v>5</v>
      </c>
      <c r="E3042">
        <v>0</v>
      </c>
      <c r="F3042">
        <v>0</v>
      </c>
      <c r="G3042">
        <v>11</v>
      </c>
      <c r="H3042">
        <v>1</v>
      </c>
      <c r="I3042">
        <v>30000</v>
      </c>
      <c r="J3042">
        <v>4</v>
      </c>
      <c r="K3042">
        <v>0</v>
      </c>
      <c r="L3042" s="4">
        <v>0.88572768306869398</v>
      </c>
      <c r="M3042" s="4">
        <v>0.114272316931306</v>
      </c>
      <c r="N3042">
        <v>7</v>
      </c>
    </row>
    <row r="3043" spans="1:14" x14ac:dyDescent="0.35">
      <c r="A3043" s="1">
        <v>4185</v>
      </c>
      <c r="B3043">
        <v>11</v>
      </c>
      <c r="C3043">
        <v>74</v>
      </c>
      <c r="D3043">
        <v>5</v>
      </c>
      <c r="E3043">
        <v>0</v>
      </c>
      <c r="F3043">
        <v>2</v>
      </c>
      <c r="G3043">
        <v>1</v>
      </c>
      <c r="H3043">
        <v>2</v>
      </c>
      <c r="I3043">
        <v>3800</v>
      </c>
      <c r="J3043">
        <v>11</v>
      </c>
      <c r="K3043">
        <v>0</v>
      </c>
      <c r="L3043" s="4">
        <v>0.88581685636812479</v>
      </c>
      <c r="M3043" s="4">
        <v>0.11418314363187521</v>
      </c>
      <c r="N3043">
        <v>7</v>
      </c>
    </row>
    <row r="3044" spans="1:14" x14ac:dyDescent="0.35">
      <c r="A3044" s="1">
        <v>2236</v>
      </c>
      <c r="B3044">
        <v>8</v>
      </c>
      <c r="C3044">
        <v>52</v>
      </c>
      <c r="D3044">
        <v>5</v>
      </c>
      <c r="E3044">
        <v>2</v>
      </c>
      <c r="F3044">
        <v>0</v>
      </c>
      <c r="G3044">
        <v>2</v>
      </c>
      <c r="H3044">
        <v>3</v>
      </c>
      <c r="I3044">
        <v>0.01</v>
      </c>
      <c r="J3044">
        <v>8</v>
      </c>
      <c r="K3044">
        <v>0</v>
      </c>
      <c r="L3044" s="4">
        <v>0.88590874900712646</v>
      </c>
      <c r="M3044" s="4">
        <v>0.11409125099287359</v>
      </c>
      <c r="N3044">
        <v>7</v>
      </c>
    </row>
    <row r="3045" spans="1:14" x14ac:dyDescent="0.35">
      <c r="A3045" s="1">
        <v>3683</v>
      </c>
      <c r="B3045">
        <v>9</v>
      </c>
      <c r="C3045">
        <v>67</v>
      </c>
      <c r="D3045">
        <v>2</v>
      </c>
      <c r="E3045">
        <v>0</v>
      </c>
      <c r="F3045">
        <v>0</v>
      </c>
      <c r="G3045">
        <v>4</v>
      </c>
      <c r="H3045">
        <v>3</v>
      </c>
      <c r="I3045">
        <v>0.01</v>
      </c>
      <c r="J3045">
        <v>8</v>
      </c>
      <c r="K3045">
        <v>0</v>
      </c>
      <c r="L3045" s="4">
        <v>0.88590966143057392</v>
      </c>
      <c r="M3045" s="4">
        <v>0.1140903385694261</v>
      </c>
      <c r="N3045">
        <v>7</v>
      </c>
    </row>
    <row r="3046" spans="1:14" x14ac:dyDescent="0.35">
      <c r="A3046" s="1">
        <v>2034</v>
      </c>
      <c r="B3046">
        <v>6</v>
      </c>
      <c r="C3046">
        <v>45</v>
      </c>
      <c r="D3046">
        <v>2</v>
      </c>
      <c r="E3046">
        <v>2</v>
      </c>
      <c r="F3046">
        <v>0</v>
      </c>
      <c r="G3046">
        <v>11</v>
      </c>
      <c r="H3046">
        <v>2</v>
      </c>
      <c r="I3046">
        <v>1000</v>
      </c>
      <c r="J3046">
        <v>1</v>
      </c>
      <c r="K3046">
        <v>0</v>
      </c>
      <c r="L3046" s="4">
        <v>0.88591760068859737</v>
      </c>
      <c r="M3046" s="4">
        <v>0.1140823993114026</v>
      </c>
      <c r="N3046">
        <v>7</v>
      </c>
    </row>
    <row r="3047" spans="1:14" x14ac:dyDescent="0.35">
      <c r="A3047" s="1">
        <v>2773</v>
      </c>
      <c r="B3047">
        <v>5</v>
      </c>
      <c r="C3047">
        <v>45</v>
      </c>
      <c r="D3047">
        <v>4</v>
      </c>
      <c r="E3047">
        <v>1</v>
      </c>
      <c r="F3047">
        <v>0</v>
      </c>
      <c r="G3047">
        <v>4</v>
      </c>
      <c r="H3047">
        <v>3</v>
      </c>
      <c r="I3047">
        <v>0.01</v>
      </c>
      <c r="J3047">
        <v>7</v>
      </c>
      <c r="K3047">
        <v>0</v>
      </c>
      <c r="L3047" s="4">
        <v>0.88595114781105222</v>
      </c>
      <c r="M3047" s="4">
        <v>0.11404885218894779</v>
      </c>
      <c r="N3047">
        <v>7</v>
      </c>
    </row>
    <row r="3048" spans="1:14" x14ac:dyDescent="0.35">
      <c r="A3048" s="1">
        <v>3383</v>
      </c>
      <c r="B3048">
        <v>5</v>
      </c>
      <c r="C3048">
        <v>52</v>
      </c>
      <c r="D3048">
        <v>1</v>
      </c>
      <c r="E3048">
        <v>0</v>
      </c>
      <c r="F3048">
        <v>0</v>
      </c>
      <c r="G3048">
        <v>4</v>
      </c>
      <c r="H3048">
        <v>2</v>
      </c>
      <c r="I3048">
        <v>3000</v>
      </c>
      <c r="J3048">
        <v>5</v>
      </c>
      <c r="K3048">
        <v>0</v>
      </c>
      <c r="L3048" s="4">
        <v>0.88600748336512491</v>
      </c>
      <c r="M3048" s="4">
        <v>0.1139925166348751</v>
      </c>
      <c r="N3048">
        <v>7</v>
      </c>
    </row>
    <row r="3049" spans="1:14" x14ac:dyDescent="0.35">
      <c r="A3049" s="1">
        <v>2059</v>
      </c>
      <c r="B3049">
        <v>8</v>
      </c>
      <c r="C3049">
        <v>66</v>
      </c>
      <c r="D3049">
        <v>2</v>
      </c>
      <c r="E3049">
        <v>0</v>
      </c>
      <c r="F3049">
        <v>0</v>
      </c>
      <c r="G3049">
        <v>2</v>
      </c>
      <c r="H3049">
        <v>1</v>
      </c>
      <c r="I3049">
        <v>51000</v>
      </c>
      <c r="J3049">
        <v>9</v>
      </c>
      <c r="K3049">
        <v>0</v>
      </c>
      <c r="L3049" s="4">
        <v>0.88601902726888171</v>
      </c>
      <c r="M3049" s="4">
        <v>0.1139809727311183</v>
      </c>
      <c r="N3049">
        <v>7</v>
      </c>
    </row>
    <row r="3050" spans="1:14" x14ac:dyDescent="0.35">
      <c r="A3050" s="1">
        <v>2658</v>
      </c>
      <c r="B3050">
        <v>8</v>
      </c>
      <c r="C3050">
        <v>63</v>
      </c>
      <c r="D3050">
        <v>2</v>
      </c>
      <c r="E3050">
        <v>0</v>
      </c>
      <c r="F3050">
        <v>1</v>
      </c>
      <c r="G3050">
        <v>5</v>
      </c>
      <c r="H3050">
        <v>2</v>
      </c>
      <c r="I3050">
        <v>500</v>
      </c>
      <c r="J3050">
        <v>1</v>
      </c>
      <c r="K3050">
        <v>0</v>
      </c>
      <c r="L3050" s="4">
        <v>0.88602224450053313</v>
      </c>
      <c r="M3050" s="4">
        <v>0.1139777554994669</v>
      </c>
      <c r="N3050">
        <v>7</v>
      </c>
    </row>
    <row r="3051" spans="1:14" x14ac:dyDescent="0.35">
      <c r="A3051" s="1">
        <v>794</v>
      </c>
      <c r="B3051">
        <v>8</v>
      </c>
      <c r="C3051">
        <v>62</v>
      </c>
      <c r="D3051">
        <v>3</v>
      </c>
      <c r="E3051">
        <v>0</v>
      </c>
      <c r="F3051">
        <v>3</v>
      </c>
      <c r="G3051">
        <v>3</v>
      </c>
      <c r="H3051">
        <v>2</v>
      </c>
      <c r="I3051">
        <v>1000</v>
      </c>
      <c r="J3051">
        <v>9</v>
      </c>
      <c r="K3051">
        <v>0</v>
      </c>
      <c r="L3051" s="4">
        <v>0.88611444021701846</v>
      </c>
      <c r="M3051" s="4">
        <v>0.11388555978298159</v>
      </c>
      <c r="N3051">
        <v>7</v>
      </c>
    </row>
    <row r="3052" spans="1:14" x14ac:dyDescent="0.35">
      <c r="A3052" s="1">
        <v>2779</v>
      </c>
      <c r="B3052">
        <v>11</v>
      </c>
      <c r="C3052">
        <v>64</v>
      </c>
      <c r="D3052">
        <v>1</v>
      </c>
      <c r="E3052">
        <v>2</v>
      </c>
      <c r="F3052">
        <v>3</v>
      </c>
      <c r="G3052">
        <v>8</v>
      </c>
      <c r="H3052">
        <v>3</v>
      </c>
      <c r="I3052">
        <v>0.01</v>
      </c>
      <c r="J3052">
        <v>8</v>
      </c>
      <c r="K3052">
        <v>0</v>
      </c>
      <c r="L3052" s="4">
        <v>0.88630594757597236</v>
      </c>
      <c r="M3052" s="4">
        <v>0.11369405242402771</v>
      </c>
      <c r="N3052">
        <v>7</v>
      </c>
    </row>
    <row r="3053" spans="1:14" x14ac:dyDescent="0.35">
      <c r="A3053" s="1">
        <v>1341</v>
      </c>
      <c r="B3053">
        <v>5</v>
      </c>
      <c r="C3053">
        <v>45</v>
      </c>
      <c r="D3053">
        <v>3</v>
      </c>
      <c r="E3053">
        <v>1</v>
      </c>
      <c r="F3053">
        <v>1</v>
      </c>
      <c r="G3053">
        <v>12</v>
      </c>
      <c r="H3053">
        <v>2</v>
      </c>
      <c r="I3053">
        <v>1000</v>
      </c>
      <c r="J3053">
        <v>4</v>
      </c>
      <c r="K3053">
        <v>0</v>
      </c>
      <c r="L3053" s="4">
        <v>0.88638193105594676</v>
      </c>
      <c r="M3053" s="4">
        <v>0.1136180689440532</v>
      </c>
      <c r="N3053">
        <v>7</v>
      </c>
    </row>
    <row r="3054" spans="1:14" x14ac:dyDescent="0.35">
      <c r="A3054" s="1">
        <v>2980</v>
      </c>
      <c r="B3054">
        <v>5</v>
      </c>
      <c r="C3054">
        <v>51</v>
      </c>
      <c r="D3054">
        <v>2</v>
      </c>
      <c r="E3054">
        <v>0</v>
      </c>
      <c r="F3054">
        <v>0</v>
      </c>
      <c r="G3054">
        <v>10</v>
      </c>
      <c r="H3054">
        <v>2</v>
      </c>
      <c r="I3054">
        <v>0.02</v>
      </c>
      <c r="J3054">
        <v>5</v>
      </c>
      <c r="K3054">
        <v>0</v>
      </c>
      <c r="L3054" s="4">
        <v>0.88640071217951966</v>
      </c>
      <c r="M3054" s="4">
        <v>0.1135992878204804</v>
      </c>
      <c r="N3054">
        <v>7</v>
      </c>
    </row>
    <row r="3055" spans="1:14" x14ac:dyDescent="0.35">
      <c r="A3055" s="1">
        <v>549</v>
      </c>
      <c r="B3055">
        <v>7</v>
      </c>
      <c r="C3055">
        <v>59</v>
      </c>
      <c r="D3055">
        <v>2</v>
      </c>
      <c r="E3055">
        <v>0</v>
      </c>
      <c r="F3055">
        <v>0</v>
      </c>
      <c r="G3055">
        <v>4</v>
      </c>
      <c r="H3055">
        <v>3</v>
      </c>
      <c r="I3055">
        <v>0.01</v>
      </c>
      <c r="J3055">
        <v>8</v>
      </c>
      <c r="K3055">
        <v>0</v>
      </c>
      <c r="L3055" s="4">
        <v>0.88651907512083927</v>
      </c>
      <c r="M3055" s="4">
        <v>0.1134809248791607</v>
      </c>
      <c r="N3055">
        <v>7</v>
      </c>
    </row>
    <row r="3056" spans="1:14" x14ac:dyDescent="0.35">
      <c r="A3056" s="1">
        <v>3701</v>
      </c>
      <c r="B3056">
        <v>8</v>
      </c>
      <c r="C3056">
        <v>61</v>
      </c>
      <c r="D3056">
        <v>4</v>
      </c>
      <c r="E3056">
        <v>0</v>
      </c>
      <c r="F3056">
        <v>3</v>
      </c>
      <c r="G3056">
        <v>8</v>
      </c>
      <c r="H3056">
        <v>2</v>
      </c>
      <c r="I3056">
        <v>100</v>
      </c>
      <c r="J3056">
        <v>2</v>
      </c>
      <c r="K3056">
        <v>0</v>
      </c>
      <c r="L3056" s="4">
        <v>0.88651966081903255</v>
      </c>
      <c r="M3056" s="4">
        <v>0.1134803391809675</v>
      </c>
      <c r="N3056">
        <v>7</v>
      </c>
    </row>
    <row r="3057" spans="1:14" x14ac:dyDescent="0.35">
      <c r="A3057" s="1">
        <v>3125</v>
      </c>
      <c r="B3057">
        <v>8</v>
      </c>
      <c r="C3057">
        <v>56</v>
      </c>
      <c r="D3057">
        <v>4</v>
      </c>
      <c r="E3057">
        <v>1</v>
      </c>
      <c r="F3057">
        <v>1</v>
      </c>
      <c r="G3057">
        <v>12</v>
      </c>
      <c r="H3057">
        <v>3</v>
      </c>
      <c r="I3057">
        <v>0.01</v>
      </c>
      <c r="J3057">
        <v>5</v>
      </c>
      <c r="K3057">
        <v>0</v>
      </c>
      <c r="L3057" s="4">
        <v>0.88652296665650154</v>
      </c>
      <c r="M3057" s="4">
        <v>0.1134770333434985</v>
      </c>
      <c r="N3057">
        <v>7</v>
      </c>
    </row>
    <row r="3058" spans="1:14" x14ac:dyDescent="0.35">
      <c r="A3058" s="1">
        <v>2366</v>
      </c>
      <c r="B3058">
        <v>8</v>
      </c>
      <c r="C3058">
        <v>65</v>
      </c>
      <c r="D3058">
        <v>0</v>
      </c>
      <c r="E3058">
        <v>0</v>
      </c>
      <c r="F3058">
        <v>3</v>
      </c>
      <c r="G3058">
        <v>3</v>
      </c>
      <c r="H3058">
        <v>0</v>
      </c>
      <c r="I3058">
        <v>10000</v>
      </c>
      <c r="J3058">
        <v>4</v>
      </c>
      <c r="K3058">
        <v>0</v>
      </c>
      <c r="L3058" s="4">
        <v>0.88666978354626114</v>
      </c>
      <c r="M3058" s="4">
        <v>0.11333021645373879</v>
      </c>
      <c r="N3058">
        <v>7</v>
      </c>
    </row>
    <row r="3059" spans="1:14" x14ac:dyDescent="0.35">
      <c r="A3059" s="1">
        <v>4236</v>
      </c>
      <c r="B3059">
        <v>7</v>
      </c>
      <c r="C3059">
        <v>58</v>
      </c>
      <c r="D3059">
        <v>3</v>
      </c>
      <c r="E3059">
        <v>0</v>
      </c>
      <c r="F3059">
        <v>1</v>
      </c>
      <c r="G3059">
        <v>5</v>
      </c>
      <c r="H3059">
        <v>3</v>
      </c>
      <c r="I3059">
        <v>0.01</v>
      </c>
      <c r="J3059">
        <v>4</v>
      </c>
      <c r="K3059">
        <v>0</v>
      </c>
      <c r="L3059" s="4">
        <v>0.88703948397736587</v>
      </c>
      <c r="M3059" s="4">
        <v>0.1129605160226341</v>
      </c>
      <c r="N3059">
        <v>7</v>
      </c>
    </row>
    <row r="3060" spans="1:14" x14ac:dyDescent="0.35">
      <c r="A3060" s="1">
        <v>1201</v>
      </c>
      <c r="B3060">
        <v>10</v>
      </c>
      <c r="C3060">
        <v>65</v>
      </c>
      <c r="D3060">
        <v>5</v>
      </c>
      <c r="E3060">
        <v>1</v>
      </c>
      <c r="F3060">
        <v>0</v>
      </c>
      <c r="G3060">
        <v>4</v>
      </c>
      <c r="H3060">
        <v>3</v>
      </c>
      <c r="I3060">
        <v>0.01</v>
      </c>
      <c r="J3060">
        <v>7</v>
      </c>
      <c r="K3060">
        <v>1</v>
      </c>
      <c r="L3060" s="4">
        <v>0.88707730914437111</v>
      </c>
      <c r="M3060" s="4">
        <v>0.11292269085562889</v>
      </c>
      <c r="N3060">
        <v>7</v>
      </c>
    </row>
    <row r="3061" spans="1:14" x14ac:dyDescent="0.35">
      <c r="A3061" s="1">
        <v>683</v>
      </c>
      <c r="B3061">
        <v>8</v>
      </c>
      <c r="C3061">
        <v>63</v>
      </c>
      <c r="D3061">
        <v>1</v>
      </c>
      <c r="E3061">
        <v>0</v>
      </c>
      <c r="F3061">
        <v>3</v>
      </c>
      <c r="G3061">
        <v>3</v>
      </c>
      <c r="H3061">
        <v>2</v>
      </c>
      <c r="I3061">
        <v>2500</v>
      </c>
      <c r="J3061">
        <v>5</v>
      </c>
      <c r="K3061">
        <v>0</v>
      </c>
      <c r="L3061" s="4">
        <v>0.88714894739844885</v>
      </c>
      <c r="M3061" s="4">
        <v>0.1128510526015512</v>
      </c>
      <c r="N3061">
        <v>7</v>
      </c>
    </row>
    <row r="3062" spans="1:14" x14ac:dyDescent="0.35">
      <c r="A3062" s="1">
        <v>676</v>
      </c>
      <c r="B3062">
        <v>5</v>
      </c>
      <c r="C3062">
        <v>51</v>
      </c>
      <c r="D3062">
        <v>2</v>
      </c>
      <c r="E3062">
        <v>0</v>
      </c>
      <c r="F3062">
        <v>1</v>
      </c>
      <c r="G3062">
        <v>7</v>
      </c>
      <c r="H3062">
        <v>2</v>
      </c>
      <c r="I3062">
        <v>100.01</v>
      </c>
      <c r="J3062">
        <v>8</v>
      </c>
      <c r="K3062">
        <v>0</v>
      </c>
      <c r="L3062" s="4">
        <v>0.88719778232003532</v>
      </c>
      <c r="M3062" s="4">
        <v>0.11280221767996471</v>
      </c>
      <c r="N3062">
        <v>7</v>
      </c>
    </row>
    <row r="3063" spans="1:14" x14ac:dyDescent="0.35">
      <c r="A3063" s="1">
        <v>1091</v>
      </c>
      <c r="B3063">
        <v>3</v>
      </c>
      <c r="C3063">
        <v>42</v>
      </c>
      <c r="D3063">
        <v>4</v>
      </c>
      <c r="E3063">
        <v>0</v>
      </c>
      <c r="F3063">
        <v>0</v>
      </c>
      <c r="G3063">
        <v>4</v>
      </c>
      <c r="H3063">
        <v>3</v>
      </c>
      <c r="I3063">
        <v>0.01</v>
      </c>
      <c r="J3063">
        <v>5</v>
      </c>
      <c r="K3063">
        <v>0</v>
      </c>
      <c r="L3063" s="4">
        <v>0.8873587496581955</v>
      </c>
      <c r="M3063" s="4">
        <v>0.1126412503418045</v>
      </c>
      <c r="N3063">
        <v>7</v>
      </c>
    </row>
    <row r="3064" spans="1:14" x14ac:dyDescent="0.35">
      <c r="A3064" s="1">
        <v>759</v>
      </c>
      <c r="B3064">
        <v>10</v>
      </c>
      <c r="C3064">
        <v>71</v>
      </c>
      <c r="D3064">
        <v>3</v>
      </c>
      <c r="E3064">
        <v>0</v>
      </c>
      <c r="F3064">
        <v>0</v>
      </c>
      <c r="G3064">
        <v>11</v>
      </c>
      <c r="H3064">
        <v>2</v>
      </c>
      <c r="I3064">
        <v>2000.01</v>
      </c>
      <c r="J3064">
        <v>8</v>
      </c>
      <c r="K3064">
        <v>0</v>
      </c>
      <c r="L3064" s="4">
        <v>0.88736435717733142</v>
      </c>
      <c r="M3064" s="4">
        <v>0.11263564282266859</v>
      </c>
      <c r="N3064">
        <v>7</v>
      </c>
    </row>
    <row r="3065" spans="1:14" x14ac:dyDescent="0.35">
      <c r="A3065" s="1">
        <v>714</v>
      </c>
      <c r="B3065">
        <v>6</v>
      </c>
      <c r="C3065">
        <v>55</v>
      </c>
      <c r="D3065">
        <v>4</v>
      </c>
      <c r="E3065">
        <v>0</v>
      </c>
      <c r="F3065">
        <v>0</v>
      </c>
      <c r="G3065">
        <v>4</v>
      </c>
      <c r="H3065">
        <v>2</v>
      </c>
      <c r="I3065">
        <v>5000</v>
      </c>
      <c r="J3065">
        <v>4</v>
      </c>
      <c r="K3065">
        <v>1</v>
      </c>
      <c r="L3065" s="4">
        <v>0.8873913186008946</v>
      </c>
      <c r="M3065" s="4">
        <v>0.1126086813991054</v>
      </c>
      <c r="N3065">
        <v>7</v>
      </c>
    </row>
    <row r="3066" spans="1:14" x14ac:dyDescent="0.35">
      <c r="A3066" s="1">
        <v>1666</v>
      </c>
      <c r="B3066">
        <v>5</v>
      </c>
      <c r="C3066">
        <v>50</v>
      </c>
      <c r="D3066">
        <v>3</v>
      </c>
      <c r="E3066">
        <v>0</v>
      </c>
      <c r="F3066">
        <v>3</v>
      </c>
      <c r="G3066">
        <v>3</v>
      </c>
      <c r="H3066">
        <v>2</v>
      </c>
      <c r="I3066">
        <v>0.02</v>
      </c>
      <c r="J3066">
        <v>7</v>
      </c>
      <c r="K3066">
        <v>0</v>
      </c>
      <c r="L3066" s="4">
        <v>0.88744440221673671</v>
      </c>
      <c r="M3066" s="4">
        <v>0.11255559778326329</v>
      </c>
      <c r="N3066">
        <v>7</v>
      </c>
    </row>
    <row r="3067" spans="1:14" x14ac:dyDescent="0.35">
      <c r="A3067" s="1">
        <v>57</v>
      </c>
      <c r="B3067">
        <v>2</v>
      </c>
      <c r="C3067">
        <v>37</v>
      </c>
      <c r="D3067">
        <v>5</v>
      </c>
      <c r="E3067">
        <v>0</v>
      </c>
      <c r="F3067">
        <v>3</v>
      </c>
      <c r="G3067">
        <v>3</v>
      </c>
      <c r="H3067">
        <v>2</v>
      </c>
      <c r="I3067">
        <v>3000</v>
      </c>
      <c r="J3067">
        <v>4</v>
      </c>
      <c r="K3067">
        <v>1</v>
      </c>
      <c r="L3067" s="4">
        <v>0.88749613762270496</v>
      </c>
      <c r="M3067" s="4">
        <v>0.11250386237729509</v>
      </c>
      <c r="N3067">
        <v>7</v>
      </c>
    </row>
    <row r="3068" spans="1:14" x14ac:dyDescent="0.35">
      <c r="A3068" s="1">
        <v>4388</v>
      </c>
      <c r="B3068">
        <v>12</v>
      </c>
      <c r="C3068">
        <v>68</v>
      </c>
      <c r="D3068">
        <v>4</v>
      </c>
      <c r="E3068">
        <v>2</v>
      </c>
      <c r="F3068">
        <v>1</v>
      </c>
      <c r="G3068">
        <v>7</v>
      </c>
      <c r="H3068">
        <v>3</v>
      </c>
      <c r="I3068">
        <v>0.01</v>
      </c>
      <c r="J3068">
        <v>9</v>
      </c>
      <c r="K3068">
        <v>0</v>
      </c>
      <c r="L3068" s="4">
        <v>0.88753569567286072</v>
      </c>
      <c r="M3068" s="4">
        <v>0.11246430432713921</v>
      </c>
      <c r="N3068">
        <v>7</v>
      </c>
    </row>
    <row r="3069" spans="1:14" x14ac:dyDescent="0.35">
      <c r="A3069" s="1">
        <v>4083</v>
      </c>
      <c r="B3069">
        <v>6</v>
      </c>
      <c r="C3069">
        <v>53</v>
      </c>
      <c r="D3069">
        <v>5</v>
      </c>
      <c r="E3069">
        <v>0</v>
      </c>
      <c r="F3069">
        <v>1</v>
      </c>
      <c r="G3069">
        <v>7</v>
      </c>
      <c r="H3069">
        <v>3</v>
      </c>
      <c r="I3069">
        <v>0.01</v>
      </c>
      <c r="J3069">
        <v>5</v>
      </c>
      <c r="K3069">
        <v>0</v>
      </c>
      <c r="L3069" s="4">
        <v>0.88755418195421376</v>
      </c>
      <c r="M3069" s="4">
        <v>0.1124458180457862</v>
      </c>
      <c r="N3069">
        <v>7</v>
      </c>
    </row>
    <row r="3070" spans="1:14" x14ac:dyDescent="0.35">
      <c r="A3070" s="1">
        <v>900</v>
      </c>
      <c r="B3070">
        <v>8</v>
      </c>
      <c r="C3070">
        <v>65</v>
      </c>
      <c r="D3070">
        <v>1</v>
      </c>
      <c r="E3070">
        <v>0</v>
      </c>
      <c r="F3070">
        <v>1</v>
      </c>
      <c r="G3070">
        <v>7</v>
      </c>
      <c r="H3070">
        <v>1</v>
      </c>
      <c r="I3070">
        <v>23287.39</v>
      </c>
      <c r="J3070">
        <v>8</v>
      </c>
      <c r="K3070">
        <v>0</v>
      </c>
      <c r="L3070" s="4">
        <v>0.88755832491909648</v>
      </c>
      <c r="M3070" s="4">
        <v>0.1124416750809035</v>
      </c>
      <c r="N3070">
        <v>7</v>
      </c>
    </row>
    <row r="3071" spans="1:14" x14ac:dyDescent="0.35">
      <c r="A3071" s="1">
        <v>910</v>
      </c>
      <c r="B3071">
        <v>9</v>
      </c>
      <c r="C3071">
        <v>62</v>
      </c>
      <c r="D3071">
        <v>5</v>
      </c>
      <c r="E3071">
        <v>1</v>
      </c>
      <c r="F3071">
        <v>3</v>
      </c>
      <c r="G3071">
        <v>3</v>
      </c>
      <c r="H3071">
        <v>0</v>
      </c>
      <c r="I3071">
        <v>6053.34</v>
      </c>
      <c r="J3071">
        <v>4</v>
      </c>
      <c r="K3071">
        <v>0</v>
      </c>
      <c r="L3071" s="4">
        <v>0.88758195647523841</v>
      </c>
      <c r="M3071" s="4">
        <v>0.1124180435247616</v>
      </c>
      <c r="N3071">
        <v>7</v>
      </c>
    </row>
    <row r="3072" spans="1:14" x14ac:dyDescent="0.35">
      <c r="A3072" s="1">
        <v>931</v>
      </c>
      <c r="B3072">
        <v>5</v>
      </c>
      <c r="C3072">
        <v>51</v>
      </c>
      <c r="D3072">
        <v>1</v>
      </c>
      <c r="E3072">
        <v>0</v>
      </c>
      <c r="F3072">
        <v>3</v>
      </c>
      <c r="G3072">
        <v>3</v>
      </c>
      <c r="H3072">
        <v>2</v>
      </c>
      <c r="I3072">
        <v>3000</v>
      </c>
      <c r="J3072">
        <v>8</v>
      </c>
      <c r="K3072">
        <v>0</v>
      </c>
      <c r="L3072" s="4">
        <v>0.88758914705383274</v>
      </c>
      <c r="M3072" s="4">
        <v>0.1124108529461673</v>
      </c>
      <c r="N3072">
        <v>7</v>
      </c>
    </row>
    <row r="3073" spans="1:14" x14ac:dyDescent="0.35">
      <c r="A3073" s="1">
        <v>3001</v>
      </c>
      <c r="B3073">
        <v>5</v>
      </c>
      <c r="C3073">
        <v>53</v>
      </c>
      <c r="D3073">
        <v>1</v>
      </c>
      <c r="E3073">
        <v>0</v>
      </c>
      <c r="F3073">
        <v>1</v>
      </c>
      <c r="G3073">
        <v>7</v>
      </c>
      <c r="H3073">
        <v>0</v>
      </c>
      <c r="I3073">
        <v>6000</v>
      </c>
      <c r="J3073">
        <v>2</v>
      </c>
      <c r="K3073">
        <v>0</v>
      </c>
      <c r="L3073" s="4">
        <v>0.88762002459331413</v>
      </c>
      <c r="M3073" s="4">
        <v>0.1123799754066859</v>
      </c>
      <c r="N3073">
        <v>7</v>
      </c>
    </row>
    <row r="3074" spans="1:14" x14ac:dyDescent="0.35">
      <c r="A3074" s="1">
        <v>3354</v>
      </c>
      <c r="B3074">
        <v>10</v>
      </c>
      <c r="C3074">
        <v>67</v>
      </c>
      <c r="D3074">
        <v>1</v>
      </c>
      <c r="E3074">
        <v>1</v>
      </c>
      <c r="F3074">
        <v>3</v>
      </c>
      <c r="G3074">
        <v>8</v>
      </c>
      <c r="H3074">
        <v>1</v>
      </c>
      <c r="I3074">
        <v>20666.88</v>
      </c>
      <c r="J3074">
        <v>3</v>
      </c>
      <c r="K3074">
        <v>0</v>
      </c>
      <c r="L3074" s="4">
        <v>0.88769562721055195</v>
      </c>
      <c r="M3074" s="4">
        <v>0.11230437278944801</v>
      </c>
      <c r="N3074">
        <v>7</v>
      </c>
    </row>
    <row r="3075" spans="1:14" x14ac:dyDescent="0.35">
      <c r="A3075" s="1">
        <v>1477</v>
      </c>
      <c r="B3075">
        <v>7</v>
      </c>
      <c r="C3075">
        <v>57</v>
      </c>
      <c r="D3075">
        <v>3</v>
      </c>
      <c r="E3075">
        <v>0</v>
      </c>
      <c r="F3075">
        <v>3</v>
      </c>
      <c r="G3075">
        <v>8</v>
      </c>
      <c r="H3075">
        <v>3</v>
      </c>
      <c r="I3075">
        <v>0.01</v>
      </c>
      <c r="J3075">
        <v>9</v>
      </c>
      <c r="K3075">
        <v>0</v>
      </c>
      <c r="L3075" s="4">
        <v>0.88771096893442836</v>
      </c>
      <c r="M3075" s="4">
        <v>0.1122890310655716</v>
      </c>
      <c r="N3075">
        <v>7</v>
      </c>
    </row>
    <row r="3076" spans="1:14" x14ac:dyDescent="0.35">
      <c r="A3076" s="1">
        <v>2098</v>
      </c>
      <c r="B3076">
        <v>5</v>
      </c>
      <c r="C3076">
        <v>50</v>
      </c>
      <c r="D3076">
        <v>3</v>
      </c>
      <c r="E3076">
        <v>0</v>
      </c>
      <c r="F3076">
        <v>3</v>
      </c>
      <c r="G3076">
        <v>3</v>
      </c>
      <c r="H3076">
        <v>2</v>
      </c>
      <c r="I3076">
        <v>3000</v>
      </c>
      <c r="J3076">
        <v>1</v>
      </c>
      <c r="K3076">
        <v>0</v>
      </c>
      <c r="L3076" s="4">
        <v>0.88773142325287446</v>
      </c>
      <c r="M3076" s="4">
        <v>0.11226857674712561</v>
      </c>
      <c r="N3076">
        <v>7</v>
      </c>
    </row>
    <row r="3077" spans="1:14" x14ac:dyDescent="0.35">
      <c r="A3077" s="1">
        <v>1733</v>
      </c>
      <c r="B3077">
        <v>9</v>
      </c>
      <c r="C3077">
        <v>68</v>
      </c>
      <c r="D3077">
        <v>5</v>
      </c>
      <c r="E3077">
        <v>0</v>
      </c>
      <c r="F3077">
        <v>2</v>
      </c>
      <c r="G3077">
        <v>1</v>
      </c>
      <c r="H3077">
        <v>0</v>
      </c>
      <c r="I3077">
        <v>8500</v>
      </c>
      <c r="J3077">
        <v>20</v>
      </c>
      <c r="K3077">
        <v>0</v>
      </c>
      <c r="L3077" s="4">
        <v>0.88774745482960049</v>
      </c>
      <c r="M3077" s="4">
        <v>0.1122525451703995</v>
      </c>
      <c r="N3077">
        <v>7</v>
      </c>
    </row>
    <row r="3078" spans="1:14" x14ac:dyDescent="0.35">
      <c r="A3078" s="1">
        <v>287</v>
      </c>
      <c r="B3078">
        <v>3</v>
      </c>
      <c r="C3078">
        <v>46</v>
      </c>
      <c r="D3078">
        <v>1</v>
      </c>
      <c r="E3078">
        <v>0</v>
      </c>
      <c r="F3078">
        <v>0</v>
      </c>
      <c r="G3078">
        <v>2</v>
      </c>
      <c r="H3078">
        <v>0</v>
      </c>
      <c r="I3078">
        <v>6684.25</v>
      </c>
      <c r="J3078">
        <v>8</v>
      </c>
      <c r="K3078">
        <v>0</v>
      </c>
      <c r="L3078" s="4">
        <v>0.88777277684558387</v>
      </c>
      <c r="M3078" s="4">
        <v>0.1122272231544162</v>
      </c>
      <c r="N3078">
        <v>7</v>
      </c>
    </row>
    <row r="3079" spans="1:14" x14ac:dyDescent="0.35">
      <c r="A3079" s="1">
        <v>3023</v>
      </c>
      <c r="B3079">
        <v>6</v>
      </c>
      <c r="C3079">
        <v>53</v>
      </c>
      <c r="D3079">
        <v>4</v>
      </c>
      <c r="E3079">
        <v>0</v>
      </c>
      <c r="F3079">
        <v>3</v>
      </c>
      <c r="G3079">
        <v>3</v>
      </c>
      <c r="H3079">
        <v>3</v>
      </c>
      <c r="I3079">
        <v>0.01</v>
      </c>
      <c r="J3079">
        <v>9</v>
      </c>
      <c r="K3079">
        <v>0</v>
      </c>
      <c r="L3079" s="4">
        <v>0.88789792673187562</v>
      </c>
      <c r="M3079" s="4">
        <v>0.1121020732681243</v>
      </c>
      <c r="N3079">
        <v>7</v>
      </c>
    </row>
    <row r="3080" spans="1:14" x14ac:dyDescent="0.35">
      <c r="A3080" s="1">
        <v>2443</v>
      </c>
      <c r="B3080">
        <v>6</v>
      </c>
      <c r="C3080">
        <v>52</v>
      </c>
      <c r="D3080">
        <v>5</v>
      </c>
      <c r="E3080">
        <v>0</v>
      </c>
      <c r="F3080">
        <v>3</v>
      </c>
      <c r="G3080">
        <v>8</v>
      </c>
      <c r="H3080">
        <v>3</v>
      </c>
      <c r="I3080">
        <v>0.01</v>
      </c>
      <c r="J3080">
        <v>4</v>
      </c>
      <c r="K3080">
        <v>0</v>
      </c>
      <c r="L3080" s="4">
        <v>0.88789807015695832</v>
      </c>
      <c r="M3080" s="4">
        <v>0.11210192984304169</v>
      </c>
      <c r="N3080">
        <v>7</v>
      </c>
    </row>
    <row r="3081" spans="1:14" x14ac:dyDescent="0.35">
      <c r="A3081" s="1">
        <v>1040</v>
      </c>
      <c r="B3081">
        <v>5</v>
      </c>
      <c r="C3081">
        <v>51</v>
      </c>
      <c r="D3081">
        <v>1</v>
      </c>
      <c r="E3081">
        <v>0</v>
      </c>
      <c r="F3081">
        <v>0</v>
      </c>
      <c r="G3081">
        <v>11</v>
      </c>
      <c r="H3081">
        <v>3</v>
      </c>
      <c r="I3081">
        <v>0.01</v>
      </c>
      <c r="J3081">
        <v>10</v>
      </c>
      <c r="K3081">
        <v>0</v>
      </c>
      <c r="L3081" s="4">
        <v>0.88807875216522036</v>
      </c>
      <c r="M3081" s="4">
        <v>0.11192124783477959</v>
      </c>
      <c r="N3081">
        <v>7</v>
      </c>
    </row>
    <row r="3082" spans="1:14" x14ac:dyDescent="0.35">
      <c r="A3082" s="1">
        <v>1043</v>
      </c>
      <c r="B3082">
        <v>8</v>
      </c>
      <c r="C3082">
        <v>57</v>
      </c>
      <c r="D3082">
        <v>5</v>
      </c>
      <c r="E3082">
        <v>1</v>
      </c>
      <c r="F3082">
        <v>1</v>
      </c>
      <c r="G3082">
        <v>7</v>
      </c>
      <c r="H3082">
        <v>2</v>
      </c>
      <c r="I3082">
        <v>2000</v>
      </c>
      <c r="J3082">
        <v>2</v>
      </c>
      <c r="K3082">
        <v>0</v>
      </c>
      <c r="L3082" s="4">
        <v>0.88808787341141249</v>
      </c>
      <c r="M3082" s="4">
        <v>0.1119121265885875</v>
      </c>
      <c r="N3082">
        <v>7</v>
      </c>
    </row>
    <row r="3083" spans="1:14" x14ac:dyDescent="0.35">
      <c r="A3083" s="1">
        <v>860</v>
      </c>
      <c r="B3083">
        <v>6</v>
      </c>
      <c r="C3083">
        <v>49</v>
      </c>
      <c r="D3083">
        <v>4</v>
      </c>
      <c r="E3083">
        <v>1</v>
      </c>
      <c r="F3083">
        <v>2</v>
      </c>
      <c r="G3083">
        <v>6</v>
      </c>
      <c r="H3083">
        <v>2</v>
      </c>
      <c r="I3083">
        <v>2000</v>
      </c>
      <c r="J3083">
        <v>4</v>
      </c>
      <c r="K3083">
        <v>0</v>
      </c>
      <c r="L3083" s="4">
        <v>0.88809842172471143</v>
      </c>
      <c r="M3083" s="4">
        <v>0.1119015782752886</v>
      </c>
      <c r="N3083">
        <v>7</v>
      </c>
    </row>
    <row r="3084" spans="1:14" x14ac:dyDescent="0.35">
      <c r="A3084" s="1">
        <v>1202</v>
      </c>
      <c r="B3084">
        <v>12</v>
      </c>
      <c r="C3084">
        <v>74</v>
      </c>
      <c r="D3084">
        <v>5</v>
      </c>
      <c r="E3084">
        <v>1</v>
      </c>
      <c r="F3084">
        <v>1</v>
      </c>
      <c r="G3084">
        <v>12</v>
      </c>
      <c r="H3084">
        <v>1</v>
      </c>
      <c r="I3084">
        <v>20513.04</v>
      </c>
      <c r="J3084">
        <v>3</v>
      </c>
      <c r="K3084">
        <v>0</v>
      </c>
      <c r="L3084" s="4">
        <v>0.88812846610501872</v>
      </c>
      <c r="M3084" s="4">
        <v>0.11187153389498131</v>
      </c>
      <c r="N3084">
        <v>7</v>
      </c>
    </row>
    <row r="3085" spans="1:14" x14ac:dyDescent="0.35">
      <c r="A3085" s="1">
        <v>513</v>
      </c>
      <c r="B3085">
        <v>8</v>
      </c>
      <c r="C3085">
        <v>58</v>
      </c>
      <c r="D3085">
        <v>5</v>
      </c>
      <c r="E3085">
        <v>1</v>
      </c>
      <c r="F3085">
        <v>3</v>
      </c>
      <c r="G3085">
        <v>3</v>
      </c>
      <c r="H3085">
        <v>0</v>
      </c>
      <c r="I3085">
        <v>6000</v>
      </c>
      <c r="J3085">
        <v>2</v>
      </c>
      <c r="K3085">
        <v>0</v>
      </c>
      <c r="L3085" s="4">
        <v>0.88814724345982388</v>
      </c>
      <c r="M3085" s="4">
        <v>0.11185275654017619</v>
      </c>
      <c r="N3085">
        <v>7</v>
      </c>
    </row>
    <row r="3086" spans="1:14" x14ac:dyDescent="0.35">
      <c r="A3086" s="1">
        <v>1419</v>
      </c>
      <c r="B3086">
        <v>7</v>
      </c>
      <c r="C3086">
        <v>60</v>
      </c>
      <c r="D3086">
        <v>3</v>
      </c>
      <c r="E3086">
        <v>0</v>
      </c>
      <c r="F3086">
        <v>3</v>
      </c>
      <c r="G3086">
        <v>3</v>
      </c>
      <c r="H3086">
        <v>0</v>
      </c>
      <c r="I3086">
        <v>10884.25</v>
      </c>
      <c r="J3086">
        <v>8</v>
      </c>
      <c r="K3086">
        <v>0</v>
      </c>
      <c r="L3086" s="4">
        <v>0.8881872877780006</v>
      </c>
      <c r="M3086" s="4">
        <v>0.1118127122219994</v>
      </c>
      <c r="N3086">
        <v>7</v>
      </c>
    </row>
    <row r="3087" spans="1:14" x14ac:dyDescent="0.35">
      <c r="A3087" s="1">
        <v>3728</v>
      </c>
      <c r="B3087">
        <v>8</v>
      </c>
      <c r="C3087">
        <v>65</v>
      </c>
      <c r="D3087">
        <v>4</v>
      </c>
      <c r="E3087">
        <v>0</v>
      </c>
      <c r="F3087">
        <v>0</v>
      </c>
      <c r="G3087">
        <v>4</v>
      </c>
      <c r="H3087">
        <v>0</v>
      </c>
      <c r="I3087">
        <v>12000</v>
      </c>
      <c r="J3087">
        <v>8</v>
      </c>
      <c r="K3087">
        <v>1</v>
      </c>
      <c r="L3087" s="4">
        <v>0.88837305500464547</v>
      </c>
      <c r="M3087" s="4">
        <v>0.1116269449953545</v>
      </c>
      <c r="N3087">
        <v>7</v>
      </c>
    </row>
    <row r="3088" spans="1:14" x14ac:dyDescent="0.35">
      <c r="A3088" s="1">
        <v>2535</v>
      </c>
      <c r="B3088">
        <v>6</v>
      </c>
      <c r="C3088">
        <v>51</v>
      </c>
      <c r="D3088">
        <v>2</v>
      </c>
      <c r="E3088">
        <v>1</v>
      </c>
      <c r="F3088">
        <v>0</v>
      </c>
      <c r="G3088">
        <v>4</v>
      </c>
      <c r="H3088">
        <v>2</v>
      </c>
      <c r="I3088">
        <v>2000</v>
      </c>
      <c r="J3088">
        <v>1</v>
      </c>
      <c r="K3088">
        <v>0</v>
      </c>
      <c r="L3088" s="4">
        <v>0.88847244801732306</v>
      </c>
      <c r="M3088" s="4">
        <v>0.111527551982677</v>
      </c>
      <c r="N3088">
        <v>7</v>
      </c>
    </row>
    <row r="3089" spans="1:14" x14ac:dyDescent="0.35">
      <c r="A3089" s="1">
        <v>1220</v>
      </c>
      <c r="B3089">
        <v>7</v>
      </c>
      <c r="C3089">
        <v>58</v>
      </c>
      <c r="D3089">
        <v>1</v>
      </c>
      <c r="E3089">
        <v>0</v>
      </c>
      <c r="F3089">
        <v>3</v>
      </c>
      <c r="G3089">
        <v>8</v>
      </c>
      <c r="H3089">
        <v>3</v>
      </c>
      <c r="I3089">
        <v>0.01</v>
      </c>
      <c r="J3089">
        <v>8</v>
      </c>
      <c r="K3089">
        <v>0</v>
      </c>
      <c r="L3089" s="4">
        <v>0.88859048454284251</v>
      </c>
      <c r="M3089" s="4">
        <v>0.11140951545715751</v>
      </c>
      <c r="N3089">
        <v>7</v>
      </c>
    </row>
    <row r="3090" spans="1:14" x14ac:dyDescent="0.35">
      <c r="A3090" s="1">
        <v>3297</v>
      </c>
      <c r="B3090">
        <v>9</v>
      </c>
      <c r="C3090">
        <v>62</v>
      </c>
      <c r="D3090">
        <v>1</v>
      </c>
      <c r="E3090">
        <v>1</v>
      </c>
      <c r="F3090">
        <v>3</v>
      </c>
      <c r="G3090">
        <v>8</v>
      </c>
      <c r="H3090">
        <v>2</v>
      </c>
      <c r="I3090">
        <v>1500</v>
      </c>
      <c r="J3090">
        <v>9</v>
      </c>
      <c r="K3090">
        <v>0</v>
      </c>
      <c r="L3090" s="4">
        <v>0.88869181896950922</v>
      </c>
      <c r="M3090" s="4">
        <v>0.1113081810304908</v>
      </c>
      <c r="N3090">
        <v>7</v>
      </c>
    </row>
    <row r="3091" spans="1:14" x14ac:dyDescent="0.35">
      <c r="A3091" s="1">
        <v>4133</v>
      </c>
      <c r="B3091">
        <v>6</v>
      </c>
      <c r="C3091">
        <v>56</v>
      </c>
      <c r="D3091">
        <v>2</v>
      </c>
      <c r="E3091">
        <v>0</v>
      </c>
      <c r="F3091">
        <v>3</v>
      </c>
      <c r="G3091">
        <v>8</v>
      </c>
      <c r="H3091">
        <v>0</v>
      </c>
      <c r="I3091">
        <v>9800</v>
      </c>
      <c r="J3091">
        <v>8</v>
      </c>
      <c r="K3091">
        <v>0</v>
      </c>
      <c r="L3091" s="4">
        <v>0.88877321701051226</v>
      </c>
      <c r="M3091" s="4">
        <v>0.11122678298948779</v>
      </c>
      <c r="N3091">
        <v>7</v>
      </c>
    </row>
    <row r="3092" spans="1:14" x14ac:dyDescent="0.35">
      <c r="A3092" s="1">
        <v>1528</v>
      </c>
      <c r="B3092">
        <v>9</v>
      </c>
      <c r="C3092">
        <v>68</v>
      </c>
      <c r="D3092">
        <v>1</v>
      </c>
      <c r="E3092">
        <v>0</v>
      </c>
      <c r="F3092">
        <v>1</v>
      </c>
      <c r="G3092">
        <v>7</v>
      </c>
      <c r="H3092">
        <v>2</v>
      </c>
      <c r="I3092">
        <v>5000</v>
      </c>
      <c r="J3092">
        <v>5</v>
      </c>
      <c r="K3092">
        <v>0</v>
      </c>
      <c r="L3092" s="4">
        <v>0.88896142898843744</v>
      </c>
      <c r="M3092" s="4">
        <v>0.1110385710115625</v>
      </c>
      <c r="N3092">
        <v>7</v>
      </c>
    </row>
    <row r="3093" spans="1:14" x14ac:dyDescent="0.35">
      <c r="A3093" s="1">
        <v>1583</v>
      </c>
      <c r="B3093">
        <v>7</v>
      </c>
      <c r="C3093">
        <v>58</v>
      </c>
      <c r="D3093">
        <v>4</v>
      </c>
      <c r="E3093">
        <v>0</v>
      </c>
      <c r="F3093">
        <v>3</v>
      </c>
      <c r="G3093">
        <v>3</v>
      </c>
      <c r="H3093">
        <v>2</v>
      </c>
      <c r="I3093">
        <v>480</v>
      </c>
      <c r="J3093">
        <v>10</v>
      </c>
      <c r="K3093">
        <v>1</v>
      </c>
      <c r="L3093" s="4">
        <v>0.88899624876721772</v>
      </c>
      <c r="M3093" s="4">
        <v>0.11100375123278231</v>
      </c>
      <c r="N3093">
        <v>7</v>
      </c>
    </row>
    <row r="3094" spans="1:14" x14ac:dyDescent="0.35">
      <c r="A3094" s="1">
        <v>2141</v>
      </c>
      <c r="B3094">
        <v>7</v>
      </c>
      <c r="C3094">
        <v>58</v>
      </c>
      <c r="D3094">
        <v>4</v>
      </c>
      <c r="E3094">
        <v>0</v>
      </c>
      <c r="F3094">
        <v>3</v>
      </c>
      <c r="G3094">
        <v>3</v>
      </c>
      <c r="H3094">
        <v>2</v>
      </c>
      <c r="I3094">
        <v>5000</v>
      </c>
      <c r="J3094">
        <v>4</v>
      </c>
      <c r="K3094">
        <v>0</v>
      </c>
      <c r="L3094" s="4">
        <v>0.88903843280354167</v>
      </c>
      <c r="M3094" s="4">
        <v>0.11096156719645831</v>
      </c>
      <c r="N3094">
        <v>7</v>
      </c>
    </row>
    <row r="3095" spans="1:14" x14ac:dyDescent="0.35">
      <c r="A3095" s="1">
        <v>1573</v>
      </c>
      <c r="B3095">
        <v>11</v>
      </c>
      <c r="C3095">
        <v>72</v>
      </c>
      <c r="D3095">
        <v>2</v>
      </c>
      <c r="E3095">
        <v>1</v>
      </c>
      <c r="F3095">
        <v>2</v>
      </c>
      <c r="G3095">
        <v>6</v>
      </c>
      <c r="H3095">
        <v>1</v>
      </c>
      <c r="I3095">
        <v>29175.56</v>
      </c>
      <c r="J3095">
        <v>16</v>
      </c>
      <c r="K3095">
        <v>0</v>
      </c>
      <c r="L3095" s="4">
        <v>0.88904779877388285</v>
      </c>
      <c r="M3095" s="4">
        <v>0.11095220122611719</v>
      </c>
      <c r="N3095">
        <v>7</v>
      </c>
    </row>
    <row r="3096" spans="1:14" x14ac:dyDescent="0.35">
      <c r="A3096" s="1">
        <v>4146</v>
      </c>
      <c r="B3096">
        <v>6</v>
      </c>
      <c r="C3096">
        <v>51</v>
      </c>
      <c r="D3096">
        <v>1</v>
      </c>
      <c r="E3096">
        <v>1</v>
      </c>
      <c r="F3096">
        <v>0</v>
      </c>
      <c r="G3096">
        <v>11</v>
      </c>
      <c r="H3096">
        <v>2</v>
      </c>
      <c r="I3096">
        <v>2480</v>
      </c>
      <c r="J3096">
        <v>5</v>
      </c>
      <c r="K3096">
        <v>0</v>
      </c>
      <c r="L3096" s="4">
        <v>0.88908631544346872</v>
      </c>
      <c r="M3096" s="4">
        <v>0.11091368455653131</v>
      </c>
      <c r="N3096">
        <v>7</v>
      </c>
    </row>
    <row r="3097" spans="1:14" x14ac:dyDescent="0.35">
      <c r="A3097" s="1">
        <v>1374</v>
      </c>
      <c r="B3097">
        <v>6</v>
      </c>
      <c r="C3097">
        <v>51</v>
      </c>
      <c r="D3097">
        <v>3</v>
      </c>
      <c r="E3097">
        <v>1</v>
      </c>
      <c r="F3097">
        <v>3</v>
      </c>
      <c r="G3097">
        <v>3</v>
      </c>
      <c r="H3097">
        <v>0</v>
      </c>
      <c r="I3097">
        <v>6000</v>
      </c>
      <c r="J3097">
        <v>5</v>
      </c>
      <c r="K3097">
        <v>0</v>
      </c>
      <c r="L3097" s="4">
        <v>0.88911285154335418</v>
      </c>
      <c r="M3097" s="4">
        <v>0.11088714845664591</v>
      </c>
      <c r="N3097">
        <v>7</v>
      </c>
    </row>
    <row r="3098" spans="1:14" x14ac:dyDescent="0.35">
      <c r="A3098" s="1">
        <v>374</v>
      </c>
      <c r="B3098">
        <v>8</v>
      </c>
      <c r="C3098">
        <v>61</v>
      </c>
      <c r="D3098">
        <v>4</v>
      </c>
      <c r="E3098">
        <v>0</v>
      </c>
      <c r="F3098">
        <v>4</v>
      </c>
      <c r="G3098">
        <v>9</v>
      </c>
      <c r="H3098">
        <v>2</v>
      </c>
      <c r="I3098">
        <v>1200</v>
      </c>
      <c r="J3098">
        <v>6</v>
      </c>
      <c r="K3098">
        <v>1</v>
      </c>
      <c r="L3098" s="4">
        <v>0.88920786659002615</v>
      </c>
      <c r="M3098" s="4">
        <v>0.1107921334099739</v>
      </c>
      <c r="N3098">
        <v>7</v>
      </c>
    </row>
    <row r="3099" spans="1:14" x14ac:dyDescent="0.35">
      <c r="A3099" s="1">
        <v>4108</v>
      </c>
      <c r="B3099">
        <v>9</v>
      </c>
      <c r="C3099">
        <v>64</v>
      </c>
      <c r="D3099">
        <v>5</v>
      </c>
      <c r="E3099">
        <v>1</v>
      </c>
      <c r="F3099">
        <v>0</v>
      </c>
      <c r="G3099">
        <v>2</v>
      </c>
      <c r="H3099">
        <v>0</v>
      </c>
      <c r="I3099">
        <v>12106.7</v>
      </c>
      <c r="J3099">
        <v>6</v>
      </c>
      <c r="K3099">
        <v>0</v>
      </c>
      <c r="L3099" s="4">
        <v>0.88929268447082532</v>
      </c>
      <c r="M3099" s="4">
        <v>0.11070731552917459</v>
      </c>
      <c r="N3099">
        <v>7</v>
      </c>
    </row>
    <row r="3100" spans="1:14" x14ac:dyDescent="0.35">
      <c r="A3100" s="1">
        <v>111</v>
      </c>
      <c r="B3100">
        <v>11</v>
      </c>
      <c r="C3100">
        <v>72</v>
      </c>
      <c r="D3100">
        <v>1</v>
      </c>
      <c r="E3100">
        <v>1</v>
      </c>
      <c r="F3100">
        <v>0</v>
      </c>
      <c r="G3100">
        <v>4</v>
      </c>
      <c r="H3100">
        <v>2</v>
      </c>
      <c r="I3100">
        <v>480</v>
      </c>
      <c r="J3100">
        <v>11</v>
      </c>
      <c r="K3100">
        <v>0</v>
      </c>
      <c r="L3100" s="4">
        <v>0.88929823761607041</v>
      </c>
      <c r="M3100" s="4">
        <v>0.11070176238392961</v>
      </c>
      <c r="N3100">
        <v>7</v>
      </c>
    </row>
    <row r="3101" spans="1:14" x14ac:dyDescent="0.35">
      <c r="A3101" s="1">
        <v>3681</v>
      </c>
      <c r="B3101">
        <v>8</v>
      </c>
      <c r="C3101">
        <v>65</v>
      </c>
      <c r="D3101">
        <v>1</v>
      </c>
      <c r="E3101">
        <v>0</v>
      </c>
      <c r="F3101">
        <v>3</v>
      </c>
      <c r="G3101">
        <v>3</v>
      </c>
      <c r="H3101">
        <v>0</v>
      </c>
      <c r="I3101">
        <v>6500</v>
      </c>
      <c r="J3101">
        <v>8</v>
      </c>
      <c r="K3101">
        <v>0</v>
      </c>
      <c r="L3101" s="4">
        <v>0.88933519758210922</v>
      </c>
      <c r="M3101" s="4">
        <v>0.1106648024178908</v>
      </c>
      <c r="N3101">
        <v>7</v>
      </c>
    </row>
    <row r="3102" spans="1:14" x14ac:dyDescent="0.35">
      <c r="A3102" s="1">
        <v>2813</v>
      </c>
      <c r="B3102">
        <v>8</v>
      </c>
      <c r="C3102">
        <v>63</v>
      </c>
      <c r="D3102">
        <v>1</v>
      </c>
      <c r="E3102">
        <v>0</v>
      </c>
      <c r="F3102">
        <v>3</v>
      </c>
      <c r="G3102">
        <v>8</v>
      </c>
      <c r="H3102">
        <v>2</v>
      </c>
      <c r="I3102">
        <v>3000</v>
      </c>
      <c r="J3102">
        <v>8</v>
      </c>
      <c r="K3102">
        <v>0</v>
      </c>
      <c r="L3102" s="4">
        <v>0.88941018432702346</v>
      </c>
      <c r="M3102" s="4">
        <v>0.1105898156729766</v>
      </c>
      <c r="N3102">
        <v>7</v>
      </c>
    </row>
    <row r="3103" spans="1:14" x14ac:dyDescent="0.35">
      <c r="A3103" s="1">
        <v>4342</v>
      </c>
      <c r="B3103">
        <v>6</v>
      </c>
      <c r="C3103">
        <v>50</v>
      </c>
      <c r="D3103">
        <v>1</v>
      </c>
      <c r="E3103">
        <v>1</v>
      </c>
      <c r="F3103">
        <v>3</v>
      </c>
      <c r="G3103">
        <v>8</v>
      </c>
      <c r="H3103">
        <v>2</v>
      </c>
      <c r="I3103">
        <v>3000</v>
      </c>
      <c r="J3103">
        <v>8</v>
      </c>
      <c r="K3103">
        <v>0</v>
      </c>
      <c r="L3103" s="4">
        <v>0.88947416504436894</v>
      </c>
      <c r="M3103" s="4">
        <v>0.11052583495563099</v>
      </c>
      <c r="N3103">
        <v>7</v>
      </c>
    </row>
    <row r="3104" spans="1:14" x14ac:dyDescent="0.35">
      <c r="A3104" s="1">
        <v>301</v>
      </c>
      <c r="B3104">
        <v>5</v>
      </c>
      <c r="C3104">
        <v>50</v>
      </c>
      <c r="D3104">
        <v>1</v>
      </c>
      <c r="E3104">
        <v>0</v>
      </c>
      <c r="F3104">
        <v>3</v>
      </c>
      <c r="G3104">
        <v>8</v>
      </c>
      <c r="H3104">
        <v>3</v>
      </c>
      <c r="I3104">
        <v>0.01</v>
      </c>
      <c r="J3104">
        <v>5</v>
      </c>
      <c r="K3104">
        <v>0</v>
      </c>
      <c r="L3104" s="4">
        <v>0.88956666348341817</v>
      </c>
      <c r="M3104" s="4">
        <v>0.1104333365165818</v>
      </c>
      <c r="N3104">
        <v>7</v>
      </c>
    </row>
    <row r="3105" spans="1:14" x14ac:dyDescent="0.35">
      <c r="A3105" s="1">
        <v>4294</v>
      </c>
      <c r="B3105">
        <v>7</v>
      </c>
      <c r="C3105">
        <v>60</v>
      </c>
      <c r="D3105">
        <v>5</v>
      </c>
      <c r="E3105">
        <v>0</v>
      </c>
      <c r="F3105">
        <v>1</v>
      </c>
      <c r="G3105">
        <v>5</v>
      </c>
      <c r="H3105">
        <v>0</v>
      </c>
      <c r="I3105">
        <v>11000</v>
      </c>
      <c r="J3105">
        <v>2</v>
      </c>
      <c r="K3105">
        <v>0</v>
      </c>
      <c r="L3105" s="4">
        <v>0.88959547053351307</v>
      </c>
      <c r="M3105" s="4">
        <v>0.110404529466487</v>
      </c>
      <c r="N3105">
        <v>7</v>
      </c>
    </row>
    <row r="3106" spans="1:14" x14ac:dyDescent="0.35">
      <c r="A3106" s="1">
        <v>4054</v>
      </c>
      <c r="B3106">
        <v>7</v>
      </c>
      <c r="C3106">
        <v>60</v>
      </c>
      <c r="D3106">
        <v>1</v>
      </c>
      <c r="E3106">
        <v>0</v>
      </c>
      <c r="F3106">
        <v>2</v>
      </c>
      <c r="G3106">
        <v>1</v>
      </c>
      <c r="H3106">
        <v>2</v>
      </c>
      <c r="I3106">
        <v>1000.01</v>
      </c>
      <c r="J3106">
        <v>6</v>
      </c>
      <c r="K3106">
        <v>0</v>
      </c>
      <c r="L3106" s="4">
        <v>0.88962020883752513</v>
      </c>
      <c r="M3106" s="4">
        <v>0.1103797911624749</v>
      </c>
      <c r="N3106">
        <v>7</v>
      </c>
    </row>
    <row r="3107" spans="1:14" x14ac:dyDescent="0.35">
      <c r="A3107" s="1">
        <v>3947</v>
      </c>
      <c r="B3107">
        <v>10</v>
      </c>
      <c r="C3107">
        <v>73</v>
      </c>
      <c r="D3107">
        <v>1</v>
      </c>
      <c r="E3107">
        <v>0</v>
      </c>
      <c r="F3107">
        <v>3</v>
      </c>
      <c r="G3107">
        <v>3</v>
      </c>
      <c r="H3107">
        <v>0</v>
      </c>
      <c r="I3107">
        <v>6000</v>
      </c>
      <c r="J3107">
        <v>1</v>
      </c>
      <c r="K3107">
        <v>0</v>
      </c>
      <c r="L3107" s="4">
        <v>0.88970446942440473</v>
      </c>
      <c r="M3107" s="4">
        <v>0.1102955305755953</v>
      </c>
      <c r="N3107">
        <v>7</v>
      </c>
    </row>
    <row r="3108" spans="1:14" x14ac:dyDescent="0.35">
      <c r="A3108" s="1">
        <v>2285</v>
      </c>
      <c r="B3108">
        <v>5</v>
      </c>
      <c r="C3108">
        <v>52</v>
      </c>
      <c r="D3108">
        <v>1</v>
      </c>
      <c r="E3108">
        <v>0</v>
      </c>
      <c r="F3108">
        <v>3</v>
      </c>
      <c r="G3108">
        <v>8</v>
      </c>
      <c r="H3108">
        <v>1</v>
      </c>
      <c r="I3108">
        <v>20754.14</v>
      </c>
      <c r="J3108">
        <v>3</v>
      </c>
      <c r="K3108">
        <v>0</v>
      </c>
      <c r="L3108" s="4">
        <v>0.88970948472452749</v>
      </c>
      <c r="M3108" s="4">
        <v>0.1102905152754725</v>
      </c>
      <c r="N3108">
        <v>7</v>
      </c>
    </row>
    <row r="3109" spans="1:14" x14ac:dyDescent="0.35">
      <c r="A3109" s="1">
        <v>133</v>
      </c>
      <c r="B3109">
        <v>6</v>
      </c>
      <c r="C3109">
        <v>50</v>
      </c>
      <c r="D3109">
        <v>1</v>
      </c>
      <c r="E3109">
        <v>1</v>
      </c>
      <c r="F3109">
        <v>3</v>
      </c>
      <c r="G3109">
        <v>8</v>
      </c>
      <c r="H3109">
        <v>2</v>
      </c>
      <c r="I3109">
        <v>600</v>
      </c>
      <c r="J3109">
        <v>9</v>
      </c>
      <c r="K3109">
        <v>0</v>
      </c>
      <c r="L3109" s="4">
        <v>0.88972773830186158</v>
      </c>
      <c r="M3109" s="4">
        <v>0.1102722616981384</v>
      </c>
      <c r="N3109">
        <v>7</v>
      </c>
    </row>
    <row r="3110" spans="1:14" x14ac:dyDescent="0.35">
      <c r="A3110" s="1">
        <v>2793</v>
      </c>
      <c r="B3110">
        <v>11</v>
      </c>
      <c r="C3110">
        <v>77</v>
      </c>
      <c r="D3110">
        <v>2</v>
      </c>
      <c r="E3110">
        <v>0</v>
      </c>
      <c r="F3110">
        <v>3</v>
      </c>
      <c r="G3110">
        <v>3</v>
      </c>
      <c r="H3110">
        <v>0</v>
      </c>
      <c r="I3110">
        <v>19500</v>
      </c>
      <c r="J3110">
        <v>2</v>
      </c>
      <c r="K3110">
        <v>0</v>
      </c>
      <c r="L3110" s="4">
        <v>0.88972840102828732</v>
      </c>
      <c r="M3110" s="4">
        <v>0.1102715989717126</v>
      </c>
      <c r="N3110">
        <v>7</v>
      </c>
    </row>
    <row r="3111" spans="1:14" x14ac:dyDescent="0.35">
      <c r="A3111" s="1">
        <v>2797</v>
      </c>
      <c r="B3111">
        <v>6</v>
      </c>
      <c r="C3111">
        <v>52</v>
      </c>
      <c r="D3111">
        <v>1</v>
      </c>
      <c r="E3111">
        <v>1</v>
      </c>
      <c r="F3111">
        <v>3</v>
      </c>
      <c r="G3111">
        <v>3</v>
      </c>
      <c r="H3111">
        <v>0</v>
      </c>
      <c r="I3111">
        <v>6000</v>
      </c>
      <c r="J3111">
        <v>6</v>
      </c>
      <c r="K3111">
        <v>0</v>
      </c>
      <c r="L3111" s="4">
        <v>0.88973084586197215</v>
      </c>
      <c r="M3111" s="4">
        <v>0.11026915413802781</v>
      </c>
      <c r="N3111">
        <v>7</v>
      </c>
    </row>
    <row r="3112" spans="1:14" x14ac:dyDescent="0.35">
      <c r="A3112" s="1">
        <v>2717</v>
      </c>
      <c r="B3112">
        <v>6</v>
      </c>
      <c r="C3112">
        <v>50</v>
      </c>
      <c r="D3112">
        <v>5</v>
      </c>
      <c r="E3112">
        <v>1</v>
      </c>
      <c r="F3112">
        <v>0</v>
      </c>
      <c r="G3112">
        <v>4</v>
      </c>
      <c r="H3112">
        <v>2</v>
      </c>
      <c r="I3112">
        <v>1000</v>
      </c>
      <c r="J3112">
        <v>6</v>
      </c>
      <c r="K3112">
        <v>0</v>
      </c>
      <c r="L3112" s="4">
        <v>0.88984430432027317</v>
      </c>
      <c r="M3112" s="4">
        <v>0.1101556956797268</v>
      </c>
      <c r="N3112">
        <v>7</v>
      </c>
    </row>
    <row r="3113" spans="1:14" x14ac:dyDescent="0.35">
      <c r="A3113" s="1">
        <v>426</v>
      </c>
      <c r="B3113">
        <v>8</v>
      </c>
      <c r="C3113">
        <v>64</v>
      </c>
      <c r="D3113">
        <v>1</v>
      </c>
      <c r="E3113">
        <v>0</v>
      </c>
      <c r="F3113">
        <v>4</v>
      </c>
      <c r="G3113">
        <v>9</v>
      </c>
      <c r="H3113">
        <v>0</v>
      </c>
      <c r="I3113">
        <v>6053.35</v>
      </c>
      <c r="J3113">
        <v>5</v>
      </c>
      <c r="K3113">
        <v>1</v>
      </c>
      <c r="L3113" s="4">
        <v>0.8899010774005377</v>
      </c>
      <c r="M3113" s="4">
        <v>0.1100989225994623</v>
      </c>
      <c r="N3113">
        <v>7</v>
      </c>
    </row>
    <row r="3114" spans="1:14" x14ac:dyDescent="0.35">
      <c r="A3114" s="1">
        <v>613</v>
      </c>
      <c r="B3114">
        <v>10</v>
      </c>
      <c r="C3114">
        <v>65</v>
      </c>
      <c r="D3114">
        <v>1</v>
      </c>
      <c r="E3114">
        <v>2</v>
      </c>
      <c r="F3114">
        <v>0</v>
      </c>
      <c r="G3114">
        <v>4</v>
      </c>
      <c r="H3114">
        <v>0</v>
      </c>
      <c r="I3114">
        <v>18106.689999999999</v>
      </c>
      <c r="J3114">
        <v>6</v>
      </c>
      <c r="K3114">
        <v>0</v>
      </c>
      <c r="L3114" s="4">
        <v>0.89008119171257638</v>
      </c>
      <c r="M3114" s="4">
        <v>0.10991880828742361</v>
      </c>
      <c r="N3114">
        <v>7</v>
      </c>
    </row>
    <row r="3115" spans="1:14" x14ac:dyDescent="0.35">
      <c r="A3115" s="1">
        <v>1094</v>
      </c>
      <c r="B3115">
        <v>6</v>
      </c>
      <c r="C3115">
        <v>58</v>
      </c>
      <c r="D3115">
        <v>2</v>
      </c>
      <c r="E3115">
        <v>0</v>
      </c>
      <c r="F3115">
        <v>0</v>
      </c>
      <c r="G3115">
        <v>2</v>
      </c>
      <c r="H3115">
        <v>0</v>
      </c>
      <c r="I3115">
        <v>6000</v>
      </c>
      <c r="J3115">
        <v>4</v>
      </c>
      <c r="K3115">
        <v>0</v>
      </c>
      <c r="L3115" s="4">
        <v>0.89009092844805737</v>
      </c>
      <c r="M3115" s="4">
        <v>0.1099090715519426</v>
      </c>
      <c r="N3115">
        <v>8</v>
      </c>
    </row>
    <row r="3116" spans="1:14" x14ac:dyDescent="0.35">
      <c r="A3116" s="1">
        <v>1553</v>
      </c>
      <c r="B3116">
        <v>6</v>
      </c>
      <c r="C3116">
        <v>51</v>
      </c>
      <c r="D3116">
        <v>0</v>
      </c>
      <c r="E3116">
        <v>1</v>
      </c>
      <c r="F3116">
        <v>3</v>
      </c>
      <c r="G3116">
        <v>3</v>
      </c>
      <c r="H3116">
        <v>2</v>
      </c>
      <c r="I3116">
        <v>2000</v>
      </c>
      <c r="J3116">
        <v>9</v>
      </c>
      <c r="K3116">
        <v>0</v>
      </c>
      <c r="L3116" s="4">
        <v>0.89013601839946033</v>
      </c>
      <c r="M3116" s="4">
        <v>0.1098639816005396</v>
      </c>
      <c r="N3116">
        <v>8</v>
      </c>
    </row>
    <row r="3117" spans="1:14" x14ac:dyDescent="0.35">
      <c r="A3117" s="1">
        <v>3676</v>
      </c>
      <c r="B3117">
        <v>9</v>
      </c>
      <c r="C3117">
        <v>70</v>
      </c>
      <c r="D3117">
        <v>1</v>
      </c>
      <c r="E3117">
        <v>0</v>
      </c>
      <c r="F3117">
        <v>2</v>
      </c>
      <c r="G3117">
        <v>1</v>
      </c>
      <c r="H3117">
        <v>0</v>
      </c>
      <c r="I3117">
        <v>12000</v>
      </c>
      <c r="J3117">
        <v>8</v>
      </c>
      <c r="K3117">
        <v>0</v>
      </c>
      <c r="L3117" s="4">
        <v>0.89020676056734316</v>
      </c>
      <c r="M3117" s="4">
        <v>0.1097932394326568</v>
      </c>
      <c r="N3117">
        <v>8</v>
      </c>
    </row>
    <row r="3118" spans="1:14" x14ac:dyDescent="0.35">
      <c r="A3118" s="1">
        <v>4349</v>
      </c>
      <c r="B3118">
        <v>6</v>
      </c>
      <c r="C3118">
        <v>44</v>
      </c>
      <c r="D3118">
        <v>5</v>
      </c>
      <c r="E3118">
        <v>2</v>
      </c>
      <c r="F3118">
        <v>1</v>
      </c>
      <c r="G3118">
        <v>12</v>
      </c>
      <c r="H3118">
        <v>2</v>
      </c>
      <c r="I3118">
        <v>500</v>
      </c>
      <c r="J3118">
        <v>9</v>
      </c>
      <c r="K3118">
        <v>0</v>
      </c>
      <c r="L3118" s="4">
        <v>0.89020883960088049</v>
      </c>
      <c r="M3118" s="4">
        <v>0.1097911603991195</v>
      </c>
      <c r="N3118">
        <v>8</v>
      </c>
    </row>
    <row r="3119" spans="1:14" x14ac:dyDescent="0.35">
      <c r="A3119" s="1">
        <v>3821</v>
      </c>
      <c r="B3119">
        <v>5</v>
      </c>
      <c r="C3119">
        <v>53</v>
      </c>
      <c r="D3119">
        <v>2</v>
      </c>
      <c r="E3119">
        <v>0</v>
      </c>
      <c r="F3119">
        <v>1</v>
      </c>
      <c r="G3119">
        <v>7</v>
      </c>
      <c r="H3119">
        <v>0</v>
      </c>
      <c r="I3119">
        <v>6000</v>
      </c>
      <c r="J3119">
        <v>2</v>
      </c>
      <c r="K3119">
        <v>0</v>
      </c>
      <c r="L3119" s="4">
        <v>0.89021708720298298</v>
      </c>
      <c r="M3119" s="4">
        <v>0.109782912797017</v>
      </c>
      <c r="N3119">
        <v>8</v>
      </c>
    </row>
    <row r="3120" spans="1:14" x14ac:dyDescent="0.35">
      <c r="A3120" s="1">
        <v>2450</v>
      </c>
      <c r="B3120">
        <v>9</v>
      </c>
      <c r="C3120">
        <v>65</v>
      </c>
      <c r="D3120">
        <v>4</v>
      </c>
      <c r="E3120">
        <v>0</v>
      </c>
      <c r="F3120">
        <v>3</v>
      </c>
      <c r="G3120">
        <v>8</v>
      </c>
      <c r="H3120">
        <v>3</v>
      </c>
      <c r="I3120">
        <v>0.01</v>
      </c>
      <c r="J3120">
        <v>5</v>
      </c>
      <c r="K3120">
        <v>0</v>
      </c>
      <c r="L3120" s="4">
        <v>0.89021794744479577</v>
      </c>
      <c r="M3120" s="4">
        <v>0.10978205255520419</v>
      </c>
      <c r="N3120">
        <v>8</v>
      </c>
    </row>
    <row r="3121" spans="1:14" x14ac:dyDescent="0.35">
      <c r="A3121" s="1">
        <v>263</v>
      </c>
      <c r="B3121">
        <v>6</v>
      </c>
      <c r="C3121">
        <v>51</v>
      </c>
      <c r="D3121">
        <v>3</v>
      </c>
      <c r="E3121">
        <v>1</v>
      </c>
      <c r="F3121">
        <v>0</v>
      </c>
      <c r="G3121">
        <v>4</v>
      </c>
      <c r="H3121">
        <v>2</v>
      </c>
      <c r="I3121">
        <v>4000</v>
      </c>
      <c r="J3121">
        <v>5</v>
      </c>
      <c r="K3121">
        <v>0</v>
      </c>
      <c r="L3121" s="4">
        <v>0.8902377324331312</v>
      </c>
      <c r="M3121" s="4">
        <v>0.1097622675668688</v>
      </c>
      <c r="N3121">
        <v>8</v>
      </c>
    </row>
    <row r="3122" spans="1:14" x14ac:dyDescent="0.35">
      <c r="A3122" s="1">
        <v>5</v>
      </c>
      <c r="B3122">
        <v>7</v>
      </c>
      <c r="C3122">
        <v>58</v>
      </c>
      <c r="D3122">
        <v>3</v>
      </c>
      <c r="E3122">
        <v>0</v>
      </c>
      <c r="F3122">
        <v>3</v>
      </c>
      <c r="G3122">
        <v>8</v>
      </c>
      <c r="H3122">
        <v>2</v>
      </c>
      <c r="I3122">
        <v>240</v>
      </c>
      <c r="J3122">
        <v>1</v>
      </c>
      <c r="K3122">
        <v>0</v>
      </c>
      <c r="L3122" s="4">
        <v>0.8902821201335871</v>
      </c>
      <c r="M3122" s="4">
        <v>0.1097178798664129</v>
      </c>
      <c r="N3122">
        <v>8</v>
      </c>
    </row>
    <row r="3123" spans="1:14" x14ac:dyDescent="0.35">
      <c r="A3123" s="1">
        <v>3743</v>
      </c>
      <c r="B3123">
        <v>10</v>
      </c>
      <c r="C3123">
        <v>69</v>
      </c>
      <c r="D3123">
        <v>3</v>
      </c>
      <c r="E3123">
        <v>1</v>
      </c>
      <c r="F3123">
        <v>0</v>
      </c>
      <c r="G3123">
        <v>2</v>
      </c>
      <c r="H3123">
        <v>0</v>
      </c>
      <c r="I3123">
        <v>6105.32</v>
      </c>
      <c r="J3123">
        <v>8</v>
      </c>
      <c r="K3123">
        <v>0</v>
      </c>
      <c r="L3123" s="4">
        <v>0.89043410618331176</v>
      </c>
      <c r="M3123" s="4">
        <v>0.1095658938166882</v>
      </c>
      <c r="N3123">
        <v>8</v>
      </c>
    </row>
    <row r="3124" spans="1:14" x14ac:dyDescent="0.35">
      <c r="A3124" s="1">
        <v>569</v>
      </c>
      <c r="B3124">
        <v>7</v>
      </c>
      <c r="C3124">
        <v>59</v>
      </c>
      <c r="D3124">
        <v>2</v>
      </c>
      <c r="E3124">
        <v>0</v>
      </c>
      <c r="F3124">
        <v>0</v>
      </c>
      <c r="G3124">
        <v>11</v>
      </c>
      <c r="H3124">
        <v>3</v>
      </c>
      <c r="I3124">
        <v>0.01</v>
      </c>
      <c r="J3124">
        <v>7</v>
      </c>
      <c r="K3124">
        <v>0</v>
      </c>
      <c r="L3124" s="4">
        <v>0.8904532416793749</v>
      </c>
      <c r="M3124" s="4">
        <v>0.1095467583206251</v>
      </c>
      <c r="N3124">
        <v>8</v>
      </c>
    </row>
    <row r="3125" spans="1:14" x14ac:dyDescent="0.35">
      <c r="A3125" s="1">
        <v>1519</v>
      </c>
      <c r="B3125">
        <v>8</v>
      </c>
      <c r="C3125">
        <v>54</v>
      </c>
      <c r="D3125">
        <v>4</v>
      </c>
      <c r="E3125">
        <v>2</v>
      </c>
      <c r="F3125">
        <v>3</v>
      </c>
      <c r="G3125">
        <v>3</v>
      </c>
      <c r="H3125">
        <v>0</v>
      </c>
      <c r="I3125">
        <v>6053.35</v>
      </c>
      <c r="J3125">
        <v>5</v>
      </c>
      <c r="K3125">
        <v>0</v>
      </c>
      <c r="L3125" s="4">
        <v>0.89056168993004692</v>
      </c>
      <c r="M3125" s="4">
        <v>0.1094383100699531</v>
      </c>
      <c r="N3125">
        <v>8</v>
      </c>
    </row>
    <row r="3126" spans="1:14" x14ac:dyDescent="0.35">
      <c r="A3126" s="1">
        <v>3138</v>
      </c>
      <c r="B3126">
        <v>9</v>
      </c>
      <c r="C3126">
        <v>66</v>
      </c>
      <c r="D3126">
        <v>0</v>
      </c>
      <c r="E3126">
        <v>1</v>
      </c>
      <c r="F3126">
        <v>0</v>
      </c>
      <c r="G3126">
        <v>4</v>
      </c>
      <c r="H3126">
        <v>0</v>
      </c>
      <c r="I3126">
        <v>6000</v>
      </c>
      <c r="J3126">
        <v>3</v>
      </c>
      <c r="K3126">
        <v>1</v>
      </c>
      <c r="L3126" s="4">
        <v>0.89061561664498567</v>
      </c>
      <c r="M3126" s="4">
        <v>0.10938438335501439</v>
      </c>
      <c r="N3126">
        <v>8</v>
      </c>
    </row>
    <row r="3127" spans="1:14" x14ac:dyDescent="0.35">
      <c r="A3127" s="1">
        <v>2258</v>
      </c>
      <c r="B3127">
        <v>6</v>
      </c>
      <c r="C3127">
        <v>56</v>
      </c>
      <c r="D3127">
        <v>0</v>
      </c>
      <c r="E3127">
        <v>0</v>
      </c>
      <c r="F3127">
        <v>3</v>
      </c>
      <c r="G3127">
        <v>3</v>
      </c>
      <c r="H3127">
        <v>2</v>
      </c>
      <c r="I3127">
        <v>3000</v>
      </c>
      <c r="J3127">
        <v>8</v>
      </c>
      <c r="K3127">
        <v>0</v>
      </c>
      <c r="L3127" s="4">
        <v>0.8906305276148081</v>
      </c>
      <c r="M3127" s="4">
        <v>0.1093694723851919</v>
      </c>
      <c r="N3127">
        <v>8</v>
      </c>
    </row>
    <row r="3128" spans="1:14" x14ac:dyDescent="0.35">
      <c r="A3128" s="1">
        <v>1302</v>
      </c>
      <c r="B3128">
        <v>10</v>
      </c>
      <c r="C3128">
        <v>67</v>
      </c>
      <c r="D3128">
        <v>4</v>
      </c>
      <c r="E3128">
        <v>1</v>
      </c>
      <c r="F3128">
        <v>3</v>
      </c>
      <c r="G3128">
        <v>3</v>
      </c>
      <c r="H3128">
        <v>0</v>
      </c>
      <c r="I3128">
        <v>6000</v>
      </c>
      <c r="J3128">
        <v>4</v>
      </c>
      <c r="K3128">
        <v>0</v>
      </c>
      <c r="L3128" s="4">
        <v>0.89063187938377575</v>
      </c>
      <c r="M3128" s="4">
        <v>0.10936812061622431</v>
      </c>
      <c r="N3128">
        <v>8</v>
      </c>
    </row>
    <row r="3129" spans="1:14" x14ac:dyDescent="0.35">
      <c r="A3129" s="1">
        <v>564</v>
      </c>
      <c r="B3129">
        <v>8</v>
      </c>
      <c r="C3129">
        <v>58</v>
      </c>
      <c r="D3129">
        <v>1</v>
      </c>
      <c r="E3129">
        <v>1</v>
      </c>
      <c r="F3129">
        <v>3</v>
      </c>
      <c r="G3129">
        <v>3</v>
      </c>
      <c r="H3129">
        <v>3</v>
      </c>
      <c r="I3129">
        <v>0.01</v>
      </c>
      <c r="J3129">
        <v>9</v>
      </c>
      <c r="K3129">
        <v>0</v>
      </c>
      <c r="L3129" s="4">
        <v>0.89084975279981604</v>
      </c>
      <c r="M3129" s="4">
        <v>0.109150247200184</v>
      </c>
      <c r="N3129">
        <v>8</v>
      </c>
    </row>
    <row r="3130" spans="1:14" x14ac:dyDescent="0.35">
      <c r="A3130" s="1">
        <v>1832</v>
      </c>
      <c r="B3130">
        <v>6</v>
      </c>
      <c r="C3130">
        <v>52</v>
      </c>
      <c r="D3130">
        <v>5</v>
      </c>
      <c r="E3130">
        <v>1</v>
      </c>
      <c r="F3130">
        <v>0</v>
      </c>
      <c r="G3130">
        <v>2</v>
      </c>
      <c r="H3130">
        <v>0</v>
      </c>
      <c r="I3130">
        <v>6000.01</v>
      </c>
      <c r="J3130">
        <v>8</v>
      </c>
      <c r="K3130">
        <v>0</v>
      </c>
      <c r="L3130" s="4">
        <v>0.89089063445760397</v>
      </c>
      <c r="M3130" s="4">
        <v>0.1091093655423961</v>
      </c>
      <c r="N3130">
        <v>8</v>
      </c>
    </row>
    <row r="3131" spans="1:14" x14ac:dyDescent="0.35">
      <c r="A3131" s="1">
        <v>863</v>
      </c>
      <c r="B3131">
        <v>3</v>
      </c>
      <c r="C3131">
        <v>41</v>
      </c>
      <c r="D3131">
        <v>0</v>
      </c>
      <c r="E3131">
        <v>1</v>
      </c>
      <c r="F3131">
        <v>1</v>
      </c>
      <c r="G3131">
        <v>7</v>
      </c>
      <c r="H3131">
        <v>0</v>
      </c>
      <c r="I3131">
        <v>6000</v>
      </c>
      <c r="J3131">
        <v>3</v>
      </c>
      <c r="K3131">
        <v>0</v>
      </c>
      <c r="L3131" s="4">
        <v>0.8908929432744298</v>
      </c>
      <c r="M3131" s="4">
        <v>0.1091070567255702</v>
      </c>
      <c r="N3131">
        <v>8</v>
      </c>
    </row>
    <row r="3132" spans="1:14" x14ac:dyDescent="0.35">
      <c r="A3132" s="1">
        <v>2173</v>
      </c>
      <c r="B3132">
        <v>12</v>
      </c>
      <c r="C3132">
        <v>75</v>
      </c>
      <c r="D3132">
        <v>4</v>
      </c>
      <c r="E3132">
        <v>1</v>
      </c>
      <c r="F3132">
        <v>0</v>
      </c>
      <c r="G3132">
        <v>4</v>
      </c>
      <c r="H3132">
        <v>2</v>
      </c>
      <c r="I3132">
        <v>1000</v>
      </c>
      <c r="J3132">
        <v>9</v>
      </c>
      <c r="K3132">
        <v>0</v>
      </c>
      <c r="L3132" s="4">
        <v>0.89100395250881537</v>
      </c>
      <c r="M3132" s="4">
        <v>0.10899604749118461</v>
      </c>
      <c r="N3132">
        <v>8</v>
      </c>
    </row>
    <row r="3133" spans="1:14" x14ac:dyDescent="0.35">
      <c r="A3133" s="1">
        <v>2994</v>
      </c>
      <c r="B3133">
        <v>6</v>
      </c>
      <c r="C3133">
        <v>44</v>
      </c>
      <c r="D3133">
        <v>4</v>
      </c>
      <c r="E3133">
        <v>2</v>
      </c>
      <c r="F3133">
        <v>3</v>
      </c>
      <c r="G3133">
        <v>8</v>
      </c>
      <c r="H3133">
        <v>2</v>
      </c>
      <c r="I3133">
        <v>420</v>
      </c>
      <c r="J3133">
        <v>9</v>
      </c>
      <c r="K3133">
        <v>0</v>
      </c>
      <c r="L3133" s="4">
        <v>0.89105801945124941</v>
      </c>
      <c r="M3133" s="4">
        <v>0.1089419805487505</v>
      </c>
      <c r="N3133">
        <v>8</v>
      </c>
    </row>
    <row r="3134" spans="1:14" x14ac:dyDescent="0.35">
      <c r="A3134" s="1">
        <v>2354</v>
      </c>
      <c r="B3134">
        <v>5</v>
      </c>
      <c r="C3134">
        <v>51</v>
      </c>
      <c r="D3134">
        <v>2</v>
      </c>
      <c r="E3134">
        <v>0</v>
      </c>
      <c r="F3134">
        <v>2</v>
      </c>
      <c r="G3134">
        <v>1</v>
      </c>
      <c r="H3134">
        <v>3</v>
      </c>
      <c r="I3134">
        <v>0.01</v>
      </c>
      <c r="J3134">
        <v>8</v>
      </c>
      <c r="K3134">
        <v>0</v>
      </c>
      <c r="L3134" s="4">
        <v>0.89110638360862615</v>
      </c>
      <c r="M3134" s="4">
        <v>0.1088936163913739</v>
      </c>
      <c r="N3134">
        <v>8</v>
      </c>
    </row>
    <row r="3135" spans="1:14" x14ac:dyDescent="0.35">
      <c r="A3135" s="1">
        <v>2471</v>
      </c>
      <c r="B3135">
        <v>7</v>
      </c>
      <c r="C3135">
        <v>59</v>
      </c>
      <c r="D3135">
        <v>5</v>
      </c>
      <c r="E3135">
        <v>0</v>
      </c>
      <c r="F3135">
        <v>3</v>
      </c>
      <c r="G3135">
        <v>8</v>
      </c>
      <c r="H3135">
        <v>0</v>
      </c>
      <c r="I3135">
        <v>6000</v>
      </c>
      <c r="J3135">
        <v>6</v>
      </c>
      <c r="K3135">
        <v>0</v>
      </c>
      <c r="L3135" s="4">
        <v>0.89116298177291842</v>
      </c>
      <c r="M3135" s="4">
        <v>0.1088370182270815</v>
      </c>
      <c r="N3135">
        <v>8</v>
      </c>
    </row>
    <row r="3136" spans="1:14" x14ac:dyDescent="0.35">
      <c r="A3136" s="1">
        <v>2644</v>
      </c>
      <c r="B3136">
        <v>4</v>
      </c>
      <c r="C3136">
        <v>43</v>
      </c>
      <c r="D3136">
        <v>3</v>
      </c>
      <c r="E3136">
        <v>1</v>
      </c>
      <c r="F3136">
        <v>0</v>
      </c>
      <c r="G3136">
        <v>4</v>
      </c>
      <c r="H3136">
        <v>2</v>
      </c>
      <c r="I3136">
        <v>1500</v>
      </c>
      <c r="J3136">
        <v>5</v>
      </c>
      <c r="K3136">
        <v>0</v>
      </c>
      <c r="L3136" s="4">
        <v>0.89121801123882372</v>
      </c>
      <c r="M3136" s="4">
        <v>0.1087819887611763</v>
      </c>
      <c r="N3136">
        <v>8</v>
      </c>
    </row>
    <row r="3137" spans="1:14" x14ac:dyDescent="0.35">
      <c r="A3137" s="1">
        <v>1786</v>
      </c>
      <c r="B3137">
        <v>11</v>
      </c>
      <c r="C3137">
        <v>76</v>
      </c>
      <c r="D3137">
        <v>1</v>
      </c>
      <c r="E3137">
        <v>0</v>
      </c>
      <c r="F3137">
        <v>4</v>
      </c>
      <c r="G3137">
        <v>9</v>
      </c>
      <c r="H3137">
        <v>1</v>
      </c>
      <c r="I3137">
        <v>20367.689999999999</v>
      </c>
      <c r="J3137">
        <v>3</v>
      </c>
      <c r="K3137">
        <v>1</v>
      </c>
      <c r="L3137" s="4">
        <v>0.89130912316452204</v>
      </c>
      <c r="M3137" s="4">
        <v>0.108690876835478</v>
      </c>
      <c r="N3137">
        <v>8</v>
      </c>
    </row>
    <row r="3138" spans="1:14" x14ac:dyDescent="0.35">
      <c r="A3138" s="1">
        <v>2466</v>
      </c>
      <c r="B3138">
        <v>9</v>
      </c>
      <c r="C3138">
        <v>63</v>
      </c>
      <c r="D3138">
        <v>4</v>
      </c>
      <c r="E3138">
        <v>1</v>
      </c>
      <c r="F3138">
        <v>3</v>
      </c>
      <c r="G3138">
        <v>3</v>
      </c>
      <c r="H3138">
        <v>1</v>
      </c>
      <c r="I3138">
        <v>22652.89</v>
      </c>
      <c r="J3138">
        <v>14</v>
      </c>
      <c r="K3138">
        <v>0</v>
      </c>
      <c r="L3138" s="4">
        <v>0.89134582961591335</v>
      </c>
      <c r="M3138" s="4">
        <v>0.1086541703840867</v>
      </c>
      <c r="N3138">
        <v>8</v>
      </c>
    </row>
    <row r="3139" spans="1:14" x14ac:dyDescent="0.35">
      <c r="A3139" s="1">
        <v>2923</v>
      </c>
      <c r="B3139">
        <v>7</v>
      </c>
      <c r="C3139">
        <v>58</v>
      </c>
      <c r="D3139">
        <v>2</v>
      </c>
      <c r="E3139">
        <v>0</v>
      </c>
      <c r="F3139">
        <v>3</v>
      </c>
      <c r="G3139">
        <v>8</v>
      </c>
      <c r="H3139">
        <v>3</v>
      </c>
      <c r="I3139">
        <v>0.01</v>
      </c>
      <c r="J3139">
        <v>5</v>
      </c>
      <c r="K3139">
        <v>0</v>
      </c>
      <c r="L3139" s="4">
        <v>0.89154121160923094</v>
      </c>
      <c r="M3139" s="4">
        <v>0.1084587883907691</v>
      </c>
      <c r="N3139">
        <v>8</v>
      </c>
    </row>
    <row r="3140" spans="1:14" x14ac:dyDescent="0.35">
      <c r="A3140" s="1">
        <v>4168</v>
      </c>
      <c r="B3140">
        <v>8</v>
      </c>
      <c r="C3140">
        <v>64</v>
      </c>
      <c r="D3140">
        <v>4</v>
      </c>
      <c r="E3140">
        <v>0</v>
      </c>
      <c r="F3140">
        <v>0</v>
      </c>
      <c r="G3140">
        <v>2</v>
      </c>
      <c r="H3140">
        <v>2</v>
      </c>
      <c r="I3140">
        <v>360</v>
      </c>
      <c r="J3140">
        <v>10</v>
      </c>
      <c r="K3140">
        <v>0</v>
      </c>
      <c r="L3140" s="4">
        <v>0.89160915714801658</v>
      </c>
      <c r="M3140" s="4">
        <v>0.1083908428519835</v>
      </c>
      <c r="N3140">
        <v>8</v>
      </c>
    </row>
    <row r="3141" spans="1:14" x14ac:dyDescent="0.35">
      <c r="A3141" s="1">
        <v>2083</v>
      </c>
      <c r="B3141">
        <v>4</v>
      </c>
      <c r="C3141">
        <v>48</v>
      </c>
      <c r="D3141">
        <v>4</v>
      </c>
      <c r="E3141">
        <v>0</v>
      </c>
      <c r="F3141">
        <v>3</v>
      </c>
      <c r="G3141">
        <v>3</v>
      </c>
      <c r="H3141">
        <v>0</v>
      </c>
      <c r="I3141">
        <v>12160.99</v>
      </c>
      <c r="J3141">
        <v>6</v>
      </c>
      <c r="K3141">
        <v>0</v>
      </c>
      <c r="L3141" s="4">
        <v>0.89170129813523247</v>
      </c>
      <c r="M3141" s="4">
        <v>0.1082987018647676</v>
      </c>
      <c r="N3141">
        <v>8</v>
      </c>
    </row>
    <row r="3142" spans="1:14" x14ac:dyDescent="0.35">
      <c r="A3142" s="1">
        <v>886</v>
      </c>
      <c r="B3142">
        <v>8</v>
      </c>
      <c r="C3142">
        <v>62</v>
      </c>
      <c r="D3142">
        <v>5</v>
      </c>
      <c r="E3142">
        <v>0</v>
      </c>
      <c r="F3142">
        <v>3</v>
      </c>
      <c r="G3142">
        <v>3</v>
      </c>
      <c r="H3142">
        <v>2</v>
      </c>
      <c r="I3142">
        <v>3000</v>
      </c>
      <c r="J3142">
        <v>3</v>
      </c>
      <c r="K3142">
        <v>1</v>
      </c>
      <c r="L3142" s="4">
        <v>0.89175023035636991</v>
      </c>
      <c r="M3142" s="4">
        <v>0.1082497696436301</v>
      </c>
      <c r="N3142">
        <v>8</v>
      </c>
    </row>
    <row r="3143" spans="1:14" x14ac:dyDescent="0.35">
      <c r="A3143" s="1">
        <v>4234</v>
      </c>
      <c r="B3143">
        <v>10</v>
      </c>
      <c r="C3143">
        <v>74</v>
      </c>
      <c r="D3143">
        <v>2</v>
      </c>
      <c r="E3143">
        <v>0</v>
      </c>
      <c r="F3143">
        <v>0</v>
      </c>
      <c r="G3143">
        <v>11</v>
      </c>
      <c r="H3143">
        <v>0</v>
      </c>
      <c r="I3143">
        <v>12107.64</v>
      </c>
      <c r="J3143">
        <v>12</v>
      </c>
      <c r="K3143">
        <v>1</v>
      </c>
      <c r="L3143" s="4">
        <v>0.89176201974476821</v>
      </c>
      <c r="M3143" s="4">
        <v>0.10823798025523169</v>
      </c>
      <c r="N3143">
        <v>8</v>
      </c>
    </row>
    <row r="3144" spans="1:14" x14ac:dyDescent="0.35">
      <c r="A3144" s="1">
        <v>4247</v>
      </c>
      <c r="B3144">
        <v>5</v>
      </c>
      <c r="C3144">
        <v>46</v>
      </c>
      <c r="D3144">
        <v>4</v>
      </c>
      <c r="E3144">
        <v>1</v>
      </c>
      <c r="F3144">
        <v>1</v>
      </c>
      <c r="G3144">
        <v>7</v>
      </c>
      <c r="H3144">
        <v>2</v>
      </c>
      <c r="I3144">
        <v>500</v>
      </c>
      <c r="J3144">
        <v>8</v>
      </c>
      <c r="K3144">
        <v>0</v>
      </c>
      <c r="L3144" s="4">
        <v>0.89177481636528388</v>
      </c>
      <c r="M3144" s="4">
        <v>0.1082251836347162</v>
      </c>
      <c r="N3144">
        <v>8</v>
      </c>
    </row>
    <row r="3145" spans="1:14" x14ac:dyDescent="0.35">
      <c r="A3145" s="1">
        <v>217</v>
      </c>
      <c r="B3145">
        <v>6</v>
      </c>
      <c r="C3145">
        <v>54</v>
      </c>
      <c r="D3145">
        <v>5</v>
      </c>
      <c r="E3145">
        <v>0</v>
      </c>
      <c r="F3145">
        <v>3</v>
      </c>
      <c r="G3145">
        <v>3</v>
      </c>
      <c r="H3145">
        <v>2</v>
      </c>
      <c r="I3145">
        <v>50</v>
      </c>
      <c r="J3145">
        <v>11</v>
      </c>
      <c r="K3145">
        <v>0</v>
      </c>
      <c r="L3145" s="4">
        <v>0.89180004614925223</v>
      </c>
      <c r="M3145" s="4">
        <v>0.10819995385074779</v>
      </c>
      <c r="N3145">
        <v>8</v>
      </c>
    </row>
    <row r="3146" spans="1:14" x14ac:dyDescent="0.35">
      <c r="A3146" s="1">
        <v>3740</v>
      </c>
      <c r="B3146">
        <v>9</v>
      </c>
      <c r="C3146">
        <v>63</v>
      </c>
      <c r="D3146">
        <v>4</v>
      </c>
      <c r="E3146">
        <v>1</v>
      </c>
      <c r="F3146">
        <v>3</v>
      </c>
      <c r="G3146">
        <v>3</v>
      </c>
      <c r="H3146">
        <v>1</v>
      </c>
      <c r="I3146">
        <v>22140.78</v>
      </c>
      <c r="J3146">
        <v>10</v>
      </c>
      <c r="K3146">
        <v>0</v>
      </c>
      <c r="L3146" s="4">
        <v>0.89192221954679152</v>
      </c>
      <c r="M3146" s="4">
        <v>0.1080777804532085</v>
      </c>
      <c r="N3146">
        <v>8</v>
      </c>
    </row>
    <row r="3147" spans="1:14" x14ac:dyDescent="0.35">
      <c r="A3147" s="1">
        <v>1219</v>
      </c>
      <c r="B3147">
        <v>9</v>
      </c>
      <c r="C3147">
        <v>63</v>
      </c>
      <c r="D3147">
        <v>4</v>
      </c>
      <c r="E3147">
        <v>1</v>
      </c>
      <c r="F3147">
        <v>0</v>
      </c>
      <c r="G3147">
        <v>4</v>
      </c>
      <c r="H3147">
        <v>2</v>
      </c>
      <c r="I3147">
        <v>500</v>
      </c>
      <c r="J3147">
        <v>9</v>
      </c>
      <c r="K3147">
        <v>0</v>
      </c>
      <c r="L3147" s="4">
        <v>0.89195887456822753</v>
      </c>
      <c r="M3147" s="4">
        <v>0.10804112543177249</v>
      </c>
      <c r="N3147">
        <v>8</v>
      </c>
    </row>
    <row r="3148" spans="1:14" x14ac:dyDescent="0.35">
      <c r="A3148" s="1">
        <v>4278</v>
      </c>
      <c r="B3148">
        <v>8</v>
      </c>
      <c r="C3148">
        <v>64</v>
      </c>
      <c r="D3148">
        <v>2</v>
      </c>
      <c r="E3148">
        <v>0</v>
      </c>
      <c r="F3148">
        <v>2</v>
      </c>
      <c r="G3148">
        <v>1</v>
      </c>
      <c r="H3148">
        <v>2</v>
      </c>
      <c r="I3148">
        <v>1000</v>
      </c>
      <c r="J3148">
        <v>5</v>
      </c>
      <c r="K3148">
        <v>0</v>
      </c>
      <c r="L3148" s="4">
        <v>0.89200948653297996</v>
      </c>
      <c r="M3148" s="4">
        <v>0.10799051346702</v>
      </c>
      <c r="N3148">
        <v>8</v>
      </c>
    </row>
    <row r="3149" spans="1:14" x14ac:dyDescent="0.35">
      <c r="A3149" s="1">
        <v>1741</v>
      </c>
      <c r="B3149">
        <v>5</v>
      </c>
      <c r="C3149">
        <v>51</v>
      </c>
      <c r="D3149">
        <v>2</v>
      </c>
      <c r="E3149">
        <v>0</v>
      </c>
      <c r="F3149">
        <v>1</v>
      </c>
      <c r="G3149">
        <v>7</v>
      </c>
      <c r="H3149">
        <v>3</v>
      </c>
      <c r="I3149">
        <v>0.01</v>
      </c>
      <c r="J3149">
        <v>4</v>
      </c>
      <c r="K3149">
        <v>0</v>
      </c>
      <c r="L3149" s="4">
        <v>0.8920394684927293</v>
      </c>
      <c r="M3149" s="4">
        <v>0.10796053150727079</v>
      </c>
      <c r="N3149">
        <v>8</v>
      </c>
    </row>
    <row r="3150" spans="1:14" x14ac:dyDescent="0.35">
      <c r="A3150" s="1">
        <v>1278</v>
      </c>
      <c r="B3150">
        <v>7</v>
      </c>
      <c r="C3150">
        <v>51</v>
      </c>
      <c r="D3150">
        <v>2</v>
      </c>
      <c r="E3150">
        <v>2</v>
      </c>
      <c r="F3150">
        <v>0</v>
      </c>
      <c r="G3150">
        <v>4</v>
      </c>
      <c r="H3150">
        <v>2</v>
      </c>
      <c r="I3150">
        <v>3000</v>
      </c>
      <c r="J3150">
        <v>11</v>
      </c>
      <c r="K3150">
        <v>0</v>
      </c>
      <c r="L3150" s="4">
        <v>0.89211499528275384</v>
      </c>
      <c r="M3150" s="4">
        <v>0.1078850047172462</v>
      </c>
      <c r="N3150">
        <v>8</v>
      </c>
    </row>
    <row r="3151" spans="1:14" x14ac:dyDescent="0.35">
      <c r="A3151" s="1">
        <v>1531</v>
      </c>
      <c r="B3151">
        <v>5</v>
      </c>
      <c r="C3151">
        <v>54</v>
      </c>
      <c r="D3151">
        <v>1</v>
      </c>
      <c r="E3151">
        <v>0</v>
      </c>
      <c r="F3151">
        <v>2</v>
      </c>
      <c r="G3151">
        <v>1</v>
      </c>
      <c r="H3151">
        <v>0</v>
      </c>
      <c r="I3151">
        <v>12000</v>
      </c>
      <c r="J3151">
        <v>1</v>
      </c>
      <c r="K3151">
        <v>0</v>
      </c>
      <c r="L3151" s="4">
        <v>0.89225043642130908</v>
      </c>
      <c r="M3151" s="4">
        <v>0.10774956357869089</v>
      </c>
      <c r="N3151">
        <v>8</v>
      </c>
    </row>
    <row r="3152" spans="1:14" x14ac:dyDescent="0.35">
      <c r="A3152" s="1">
        <v>821</v>
      </c>
      <c r="B3152">
        <v>8</v>
      </c>
      <c r="C3152">
        <v>60</v>
      </c>
      <c r="D3152">
        <v>1</v>
      </c>
      <c r="E3152">
        <v>1</v>
      </c>
      <c r="F3152">
        <v>3</v>
      </c>
      <c r="G3152">
        <v>8</v>
      </c>
      <c r="H3152">
        <v>0</v>
      </c>
      <c r="I3152">
        <v>6000</v>
      </c>
      <c r="J3152">
        <v>2</v>
      </c>
      <c r="K3152">
        <v>0</v>
      </c>
      <c r="L3152" s="4">
        <v>0.89230826255962659</v>
      </c>
      <c r="M3152" s="4">
        <v>0.1076917374403734</v>
      </c>
      <c r="N3152">
        <v>8</v>
      </c>
    </row>
    <row r="3153" spans="1:14" x14ac:dyDescent="0.35">
      <c r="A3153" s="1">
        <v>2490</v>
      </c>
      <c r="B3153">
        <v>7</v>
      </c>
      <c r="C3153">
        <v>61</v>
      </c>
      <c r="D3153">
        <v>2</v>
      </c>
      <c r="E3153">
        <v>0</v>
      </c>
      <c r="F3153">
        <v>3</v>
      </c>
      <c r="G3153">
        <v>3</v>
      </c>
      <c r="H3153">
        <v>0</v>
      </c>
      <c r="I3153">
        <v>6000</v>
      </c>
      <c r="J3153">
        <v>6</v>
      </c>
      <c r="K3153">
        <v>0</v>
      </c>
      <c r="L3153" s="4">
        <v>0.89251272778377455</v>
      </c>
      <c r="M3153" s="4">
        <v>0.10748727221622539</v>
      </c>
      <c r="N3153">
        <v>8</v>
      </c>
    </row>
    <row r="3154" spans="1:14" x14ac:dyDescent="0.35">
      <c r="A3154" s="1">
        <v>1147</v>
      </c>
      <c r="B3154">
        <v>8</v>
      </c>
      <c r="C3154">
        <v>65</v>
      </c>
      <c r="D3154">
        <v>2</v>
      </c>
      <c r="E3154">
        <v>0</v>
      </c>
      <c r="F3154">
        <v>3</v>
      </c>
      <c r="G3154">
        <v>3</v>
      </c>
      <c r="H3154">
        <v>0</v>
      </c>
      <c r="I3154">
        <v>6000</v>
      </c>
      <c r="J3154">
        <v>2</v>
      </c>
      <c r="K3154">
        <v>0</v>
      </c>
      <c r="L3154" s="4">
        <v>0.89271579475245888</v>
      </c>
      <c r="M3154" s="4">
        <v>0.10728420524754111</v>
      </c>
      <c r="N3154">
        <v>8</v>
      </c>
    </row>
    <row r="3155" spans="1:14" x14ac:dyDescent="0.35">
      <c r="A3155" s="1">
        <v>3653</v>
      </c>
      <c r="B3155">
        <v>4</v>
      </c>
      <c r="C3155">
        <v>46</v>
      </c>
      <c r="D3155">
        <v>5</v>
      </c>
      <c r="E3155">
        <v>0</v>
      </c>
      <c r="F3155">
        <v>3</v>
      </c>
      <c r="G3155">
        <v>3</v>
      </c>
      <c r="H3155">
        <v>2</v>
      </c>
      <c r="I3155">
        <v>1000</v>
      </c>
      <c r="J3155">
        <v>7</v>
      </c>
      <c r="K3155">
        <v>0</v>
      </c>
      <c r="L3155" s="4">
        <v>0.89272797742932852</v>
      </c>
      <c r="M3155" s="4">
        <v>0.1072720225706715</v>
      </c>
      <c r="N3155">
        <v>8</v>
      </c>
    </row>
    <row r="3156" spans="1:14" x14ac:dyDescent="0.35">
      <c r="A3156" s="1">
        <v>2602</v>
      </c>
      <c r="B3156">
        <v>9</v>
      </c>
      <c r="C3156">
        <v>70</v>
      </c>
      <c r="D3156">
        <v>2</v>
      </c>
      <c r="E3156">
        <v>0</v>
      </c>
      <c r="F3156">
        <v>1</v>
      </c>
      <c r="G3156">
        <v>7</v>
      </c>
      <c r="H3156">
        <v>0</v>
      </c>
      <c r="I3156">
        <v>6000</v>
      </c>
      <c r="J3156">
        <v>19</v>
      </c>
      <c r="K3156">
        <v>0</v>
      </c>
      <c r="L3156" s="4">
        <v>0.89275546191442789</v>
      </c>
      <c r="M3156" s="4">
        <v>0.10724453808557211</v>
      </c>
      <c r="N3156">
        <v>8</v>
      </c>
    </row>
    <row r="3157" spans="1:14" x14ac:dyDescent="0.35">
      <c r="A3157" s="1">
        <v>1107</v>
      </c>
      <c r="B3157">
        <v>6</v>
      </c>
      <c r="C3157">
        <v>51</v>
      </c>
      <c r="D3157">
        <v>4</v>
      </c>
      <c r="E3157">
        <v>1</v>
      </c>
      <c r="F3157">
        <v>0</v>
      </c>
      <c r="G3157">
        <v>4</v>
      </c>
      <c r="H3157">
        <v>2</v>
      </c>
      <c r="I3157">
        <v>1200</v>
      </c>
      <c r="J3157">
        <v>8</v>
      </c>
      <c r="K3157">
        <v>0</v>
      </c>
      <c r="L3157" s="4">
        <v>0.8928444143734835</v>
      </c>
      <c r="M3157" s="4">
        <v>0.1071555856265166</v>
      </c>
      <c r="N3157">
        <v>8</v>
      </c>
    </row>
    <row r="3158" spans="1:14" x14ac:dyDescent="0.35">
      <c r="A3158" s="1">
        <v>1995</v>
      </c>
      <c r="B3158">
        <v>6</v>
      </c>
      <c r="C3158">
        <v>51</v>
      </c>
      <c r="D3158">
        <v>1</v>
      </c>
      <c r="E3158">
        <v>1</v>
      </c>
      <c r="F3158">
        <v>3</v>
      </c>
      <c r="G3158">
        <v>3</v>
      </c>
      <c r="H3158">
        <v>2</v>
      </c>
      <c r="I3158">
        <v>4000</v>
      </c>
      <c r="J3158">
        <v>5</v>
      </c>
      <c r="K3158">
        <v>0</v>
      </c>
      <c r="L3158" s="4">
        <v>0.8928655515702395</v>
      </c>
      <c r="M3158" s="4">
        <v>0.1071344484297606</v>
      </c>
      <c r="N3158">
        <v>8</v>
      </c>
    </row>
    <row r="3159" spans="1:14" x14ac:dyDescent="0.35">
      <c r="A3159" s="1">
        <v>738</v>
      </c>
      <c r="B3159">
        <v>7</v>
      </c>
      <c r="C3159">
        <v>50</v>
      </c>
      <c r="D3159">
        <v>5</v>
      </c>
      <c r="E3159">
        <v>2</v>
      </c>
      <c r="F3159">
        <v>3</v>
      </c>
      <c r="G3159">
        <v>3</v>
      </c>
      <c r="H3159">
        <v>0</v>
      </c>
      <c r="I3159">
        <v>5800</v>
      </c>
      <c r="J3159">
        <v>8</v>
      </c>
      <c r="K3159">
        <v>0</v>
      </c>
      <c r="L3159" s="4">
        <v>0.89305835375343467</v>
      </c>
      <c r="M3159" s="4">
        <v>0.10694164624656539</v>
      </c>
      <c r="N3159">
        <v>8</v>
      </c>
    </row>
    <row r="3160" spans="1:14" x14ac:dyDescent="0.35">
      <c r="A3160" s="1">
        <v>1696</v>
      </c>
      <c r="B3160">
        <v>8</v>
      </c>
      <c r="C3160">
        <v>63</v>
      </c>
      <c r="D3160">
        <v>5</v>
      </c>
      <c r="E3160">
        <v>0</v>
      </c>
      <c r="F3160">
        <v>1</v>
      </c>
      <c r="G3160">
        <v>7</v>
      </c>
      <c r="H3160">
        <v>2</v>
      </c>
      <c r="I3160">
        <v>2600</v>
      </c>
      <c r="J3160">
        <v>12</v>
      </c>
      <c r="K3160">
        <v>1</v>
      </c>
      <c r="L3160" s="4">
        <v>0.8931287398990303</v>
      </c>
      <c r="M3160" s="4">
        <v>0.1068712601009697</v>
      </c>
      <c r="N3160">
        <v>8</v>
      </c>
    </row>
    <row r="3161" spans="1:14" x14ac:dyDescent="0.35">
      <c r="A3161" s="1">
        <v>4079</v>
      </c>
      <c r="B3161">
        <v>9</v>
      </c>
      <c r="C3161">
        <v>62</v>
      </c>
      <c r="D3161">
        <v>5</v>
      </c>
      <c r="E3161">
        <v>1</v>
      </c>
      <c r="F3161">
        <v>0</v>
      </c>
      <c r="G3161">
        <v>4</v>
      </c>
      <c r="H3161">
        <v>3</v>
      </c>
      <c r="I3161">
        <v>0.01</v>
      </c>
      <c r="J3161">
        <v>8</v>
      </c>
      <c r="K3161">
        <v>0</v>
      </c>
      <c r="L3161" s="4">
        <v>0.89313190683896371</v>
      </c>
      <c r="M3161" s="4">
        <v>0.10686809316103631</v>
      </c>
      <c r="N3161">
        <v>8</v>
      </c>
    </row>
    <row r="3162" spans="1:14" x14ac:dyDescent="0.35">
      <c r="A3162" s="1">
        <v>1215</v>
      </c>
      <c r="B3162">
        <v>10</v>
      </c>
      <c r="C3162">
        <v>63</v>
      </c>
      <c r="D3162">
        <v>1</v>
      </c>
      <c r="E3162">
        <v>2</v>
      </c>
      <c r="F3162">
        <v>3</v>
      </c>
      <c r="G3162">
        <v>8</v>
      </c>
      <c r="H3162">
        <v>1</v>
      </c>
      <c r="I3162">
        <v>20003.55</v>
      </c>
      <c r="J3162">
        <v>3</v>
      </c>
      <c r="K3162">
        <v>0</v>
      </c>
      <c r="L3162" s="4">
        <v>0.89314399846433645</v>
      </c>
      <c r="M3162" s="4">
        <v>0.10685600153566351</v>
      </c>
      <c r="N3162">
        <v>8</v>
      </c>
    </row>
    <row r="3163" spans="1:14" x14ac:dyDescent="0.35">
      <c r="A3163" s="1">
        <v>3551</v>
      </c>
      <c r="B3163">
        <v>11</v>
      </c>
      <c r="C3163">
        <v>70</v>
      </c>
      <c r="D3163">
        <v>4</v>
      </c>
      <c r="E3163">
        <v>1</v>
      </c>
      <c r="F3163">
        <v>3</v>
      </c>
      <c r="G3163">
        <v>3</v>
      </c>
      <c r="H3163">
        <v>2</v>
      </c>
      <c r="I3163">
        <v>50</v>
      </c>
      <c r="J3163">
        <v>10</v>
      </c>
      <c r="K3163">
        <v>0</v>
      </c>
      <c r="L3163" s="4">
        <v>0.89320601634567065</v>
      </c>
      <c r="M3163" s="4">
        <v>0.10679398365432929</v>
      </c>
      <c r="N3163">
        <v>8</v>
      </c>
    </row>
    <row r="3164" spans="1:14" x14ac:dyDescent="0.35">
      <c r="A3164" s="1">
        <v>1445</v>
      </c>
      <c r="B3164">
        <v>10</v>
      </c>
      <c r="C3164">
        <v>70</v>
      </c>
      <c r="D3164">
        <v>4</v>
      </c>
      <c r="E3164">
        <v>0</v>
      </c>
      <c r="F3164">
        <v>3</v>
      </c>
      <c r="G3164">
        <v>3</v>
      </c>
      <c r="H3164">
        <v>3</v>
      </c>
      <c r="I3164">
        <v>0.01</v>
      </c>
      <c r="J3164">
        <v>4</v>
      </c>
      <c r="K3164">
        <v>1</v>
      </c>
      <c r="L3164" s="4">
        <v>0.89321014158402745</v>
      </c>
      <c r="M3164" s="4">
        <v>0.10678985841597249</v>
      </c>
      <c r="N3164">
        <v>8</v>
      </c>
    </row>
    <row r="3165" spans="1:14" x14ac:dyDescent="0.35">
      <c r="A3165" s="1">
        <v>2806</v>
      </c>
      <c r="B3165">
        <v>10</v>
      </c>
      <c r="C3165">
        <v>74</v>
      </c>
      <c r="D3165">
        <v>0</v>
      </c>
      <c r="E3165">
        <v>0</v>
      </c>
      <c r="F3165">
        <v>3</v>
      </c>
      <c r="G3165">
        <v>3</v>
      </c>
      <c r="H3165">
        <v>1</v>
      </c>
      <c r="I3165">
        <v>20678.849999999999</v>
      </c>
      <c r="J3165">
        <v>15</v>
      </c>
      <c r="K3165">
        <v>0</v>
      </c>
      <c r="L3165" s="4">
        <v>0.89321085679650425</v>
      </c>
      <c r="M3165" s="4">
        <v>0.1067891432034957</v>
      </c>
      <c r="N3165">
        <v>8</v>
      </c>
    </row>
    <row r="3166" spans="1:14" x14ac:dyDescent="0.35">
      <c r="A3166" s="1">
        <v>3854</v>
      </c>
      <c r="B3166">
        <v>7</v>
      </c>
      <c r="C3166">
        <v>62</v>
      </c>
      <c r="D3166">
        <v>3</v>
      </c>
      <c r="E3166">
        <v>0</v>
      </c>
      <c r="F3166">
        <v>0</v>
      </c>
      <c r="G3166">
        <v>4</v>
      </c>
      <c r="H3166">
        <v>0</v>
      </c>
      <c r="I3166">
        <v>6000</v>
      </c>
      <c r="J3166">
        <v>5</v>
      </c>
      <c r="K3166">
        <v>0</v>
      </c>
      <c r="L3166" s="4">
        <v>0.89327554820751465</v>
      </c>
      <c r="M3166" s="4">
        <v>0.10672445179248539</v>
      </c>
      <c r="N3166">
        <v>8</v>
      </c>
    </row>
    <row r="3167" spans="1:14" x14ac:dyDescent="0.35">
      <c r="A3167" s="1">
        <v>300</v>
      </c>
      <c r="B3167">
        <v>6</v>
      </c>
      <c r="C3167">
        <v>50</v>
      </c>
      <c r="D3167">
        <v>2</v>
      </c>
      <c r="E3167">
        <v>1</v>
      </c>
      <c r="F3167">
        <v>2</v>
      </c>
      <c r="G3167">
        <v>6</v>
      </c>
      <c r="H3167">
        <v>3</v>
      </c>
      <c r="I3167">
        <v>0.01</v>
      </c>
      <c r="J3167">
        <v>5</v>
      </c>
      <c r="K3167">
        <v>0</v>
      </c>
      <c r="L3167" s="4">
        <v>0.89330752693453785</v>
      </c>
      <c r="M3167" s="4">
        <v>0.1066924730654622</v>
      </c>
      <c r="N3167">
        <v>8</v>
      </c>
    </row>
    <row r="3168" spans="1:14" x14ac:dyDescent="0.35">
      <c r="A3168" s="1">
        <v>1289</v>
      </c>
      <c r="B3168">
        <v>6</v>
      </c>
      <c r="C3168">
        <v>45</v>
      </c>
      <c r="D3168">
        <v>5</v>
      </c>
      <c r="E3168">
        <v>2</v>
      </c>
      <c r="F3168">
        <v>1</v>
      </c>
      <c r="G3168">
        <v>7</v>
      </c>
      <c r="H3168">
        <v>2</v>
      </c>
      <c r="I3168">
        <v>300</v>
      </c>
      <c r="J3168">
        <v>9</v>
      </c>
      <c r="K3168">
        <v>0</v>
      </c>
      <c r="L3168" s="4">
        <v>0.89339750001229834</v>
      </c>
      <c r="M3168" s="4">
        <v>0.1066024999877016</v>
      </c>
      <c r="N3168">
        <v>8</v>
      </c>
    </row>
    <row r="3169" spans="1:14" x14ac:dyDescent="0.35">
      <c r="A3169" s="1">
        <v>2796</v>
      </c>
      <c r="B3169">
        <v>5</v>
      </c>
      <c r="C3169">
        <v>50</v>
      </c>
      <c r="D3169">
        <v>4</v>
      </c>
      <c r="E3169">
        <v>0</v>
      </c>
      <c r="F3169">
        <v>1</v>
      </c>
      <c r="G3169">
        <v>12</v>
      </c>
      <c r="H3169">
        <v>3</v>
      </c>
      <c r="I3169">
        <v>0.01</v>
      </c>
      <c r="J3169">
        <v>8</v>
      </c>
      <c r="K3169">
        <v>0</v>
      </c>
      <c r="L3169" s="4">
        <v>0.89345066845912025</v>
      </c>
      <c r="M3169" s="4">
        <v>0.1065493315408798</v>
      </c>
      <c r="N3169">
        <v>8</v>
      </c>
    </row>
    <row r="3170" spans="1:14" x14ac:dyDescent="0.35">
      <c r="A3170" s="1">
        <v>4419</v>
      </c>
      <c r="B3170">
        <v>5</v>
      </c>
      <c r="C3170">
        <v>53</v>
      </c>
      <c r="D3170">
        <v>0</v>
      </c>
      <c r="E3170">
        <v>0</v>
      </c>
      <c r="F3170">
        <v>2</v>
      </c>
      <c r="G3170">
        <v>1</v>
      </c>
      <c r="H3170">
        <v>2</v>
      </c>
      <c r="I3170">
        <v>600</v>
      </c>
      <c r="J3170">
        <v>5</v>
      </c>
      <c r="K3170">
        <v>0</v>
      </c>
      <c r="L3170" s="4">
        <v>0.89366264874176582</v>
      </c>
      <c r="M3170" s="4">
        <v>0.10633735125823419</v>
      </c>
      <c r="N3170">
        <v>8</v>
      </c>
    </row>
    <row r="3171" spans="1:14" x14ac:dyDescent="0.35">
      <c r="A3171" s="1">
        <v>1892</v>
      </c>
      <c r="B3171">
        <v>8</v>
      </c>
      <c r="C3171">
        <v>66</v>
      </c>
      <c r="D3171">
        <v>2</v>
      </c>
      <c r="E3171">
        <v>0</v>
      </c>
      <c r="F3171">
        <v>1</v>
      </c>
      <c r="G3171">
        <v>7</v>
      </c>
      <c r="H3171">
        <v>0</v>
      </c>
      <c r="I3171">
        <v>13000</v>
      </c>
      <c r="J3171">
        <v>5</v>
      </c>
      <c r="K3171">
        <v>0</v>
      </c>
      <c r="L3171" s="4">
        <v>0.89368385816219931</v>
      </c>
      <c r="M3171" s="4">
        <v>0.10631614183780071</v>
      </c>
      <c r="N3171">
        <v>8</v>
      </c>
    </row>
    <row r="3172" spans="1:14" x14ac:dyDescent="0.35">
      <c r="A3172" s="1">
        <v>4002</v>
      </c>
      <c r="B3172">
        <v>9</v>
      </c>
      <c r="C3172">
        <v>58</v>
      </c>
      <c r="D3172">
        <v>3</v>
      </c>
      <c r="E3172">
        <v>2</v>
      </c>
      <c r="F3172">
        <v>0</v>
      </c>
      <c r="G3172">
        <v>4</v>
      </c>
      <c r="H3172">
        <v>3</v>
      </c>
      <c r="I3172">
        <v>0.01</v>
      </c>
      <c r="J3172">
        <v>5</v>
      </c>
      <c r="K3172">
        <v>1</v>
      </c>
      <c r="L3172" s="4">
        <v>0.89370618647515776</v>
      </c>
      <c r="M3172" s="4">
        <v>0.1062938135248423</v>
      </c>
      <c r="N3172">
        <v>8</v>
      </c>
    </row>
    <row r="3173" spans="1:14" x14ac:dyDescent="0.35">
      <c r="A3173" s="1">
        <v>1216</v>
      </c>
      <c r="B3173">
        <v>4</v>
      </c>
      <c r="C3173">
        <v>48</v>
      </c>
      <c r="D3173">
        <v>2</v>
      </c>
      <c r="E3173">
        <v>0</v>
      </c>
      <c r="F3173">
        <v>1</v>
      </c>
      <c r="G3173">
        <v>7</v>
      </c>
      <c r="H3173">
        <v>2</v>
      </c>
      <c r="I3173">
        <v>3200</v>
      </c>
      <c r="J3173">
        <v>1</v>
      </c>
      <c r="K3173">
        <v>0</v>
      </c>
      <c r="L3173" s="4">
        <v>0.89374967490726975</v>
      </c>
      <c r="M3173" s="4">
        <v>0.10625032509273021</v>
      </c>
      <c r="N3173">
        <v>8</v>
      </c>
    </row>
    <row r="3174" spans="1:14" x14ac:dyDescent="0.35">
      <c r="A3174" s="1">
        <v>2672</v>
      </c>
      <c r="B3174">
        <v>3</v>
      </c>
      <c r="C3174">
        <v>43</v>
      </c>
      <c r="D3174">
        <v>3</v>
      </c>
      <c r="E3174">
        <v>0</v>
      </c>
      <c r="F3174">
        <v>3</v>
      </c>
      <c r="G3174">
        <v>3</v>
      </c>
      <c r="H3174">
        <v>2</v>
      </c>
      <c r="I3174">
        <v>100.01</v>
      </c>
      <c r="J3174">
        <v>8</v>
      </c>
      <c r="K3174">
        <v>1</v>
      </c>
      <c r="L3174" s="4">
        <v>0.89375362697225846</v>
      </c>
      <c r="M3174" s="4">
        <v>0.10624637302774161</v>
      </c>
      <c r="N3174">
        <v>8</v>
      </c>
    </row>
    <row r="3175" spans="1:14" x14ac:dyDescent="0.35">
      <c r="A3175" s="1">
        <v>2167</v>
      </c>
      <c r="B3175">
        <v>10</v>
      </c>
      <c r="C3175">
        <v>72</v>
      </c>
      <c r="D3175">
        <v>3</v>
      </c>
      <c r="E3175">
        <v>0</v>
      </c>
      <c r="F3175">
        <v>1</v>
      </c>
      <c r="G3175">
        <v>7</v>
      </c>
      <c r="H3175">
        <v>2</v>
      </c>
      <c r="I3175">
        <v>3000</v>
      </c>
      <c r="J3175">
        <v>7</v>
      </c>
      <c r="K3175">
        <v>1</v>
      </c>
      <c r="L3175" s="4">
        <v>0.89382409437465526</v>
      </c>
      <c r="M3175" s="4">
        <v>0.10617590562534469</v>
      </c>
      <c r="N3175">
        <v>8</v>
      </c>
    </row>
    <row r="3176" spans="1:14" x14ac:dyDescent="0.35">
      <c r="A3176" s="1">
        <v>528</v>
      </c>
      <c r="B3176">
        <v>9</v>
      </c>
      <c r="C3176">
        <v>64</v>
      </c>
      <c r="D3176">
        <v>3</v>
      </c>
      <c r="E3176">
        <v>1</v>
      </c>
      <c r="F3176">
        <v>3</v>
      </c>
      <c r="G3176">
        <v>3</v>
      </c>
      <c r="H3176">
        <v>0</v>
      </c>
      <c r="I3176">
        <v>7000</v>
      </c>
      <c r="J3176">
        <v>5</v>
      </c>
      <c r="K3176">
        <v>0</v>
      </c>
      <c r="L3176" s="4">
        <v>0.89389966243087193</v>
      </c>
      <c r="M3176" s="4">
        <v>0.10610033756912809</v>
      </c>
      <c r="N3176">
        <v>8</v>
      </c>
    </row>
    <row r="3177" spans="1:14" x14ac:dyDescent="0.35">
      <c r="A3177" s="1">
        <v>2802</v>
      </c>
      <c r="B3177">
        <v>6</v>
      </c>
      <c r="C3177">
        <v>51</v>
      </c>
      <c r="D3177">
        <v>3</v>
      </c>
      <c r="E3177">
        <v>1</v>
      </c>
      <c r="F3177">
        <v>0</v>
      </c>
      <c r="G3177">
        <v>11</v>
      </c>
      <c r="H3177">
        <v>2</v>
      </c>
      <c r="I3177">
        <v>1000</v>
      </c>
      <c r="J3177">
        <v>9</v>
      </c>
      <c r="K3177">
        <v>0</v>
      </c>
      <c r="L3177" s="4">
        <v>0.8939075411444124</v>
      </c>
      <c r="M3177" s="4">
        <v>0.1060924588555876</v>
      </c>
      <c r="N3177">
        <v>8</v>
      </c>
    </row>
    <row r="3178" spans="1:14" x14ac:dyDescent="0.35">
      <c r="A3178" s="1">
        <v>4009</v>
      </c>
      <c r="B3178">
        <v>9</v>
      </c>
      <c r="C3178">
        <v>71</v>
      </c>
      <c r="D3178">
        <v>1</v>
      </c>
      <c r="E3178">
        <v>0</v>
      </c>
      <c r="F3178">
        <v>0</v>
      </c>
      <c r="G3178">
        <v>4</v>
      </c>
      <c r="H3178">
        <v>0</v>
      </c>
      <c r="I3178">
        <v>6000</v>
      </c>
      <c r="J3178">
        <v>1</v>
      </c>
      <c r="K3178">
        <v>0</v>
      </c>
      <c r="L3178" s="4">
        <v>0.89390932809954837</v>
      </c>
      <c r="M3178" s="4">
        <v>0.1060906719004517</v>
      </c>
      <c r="N3178">
        <v>8</v>
      </c>
    </row>
    <row r="3179" spans="1:14" x14ac:dyDescent="0.35">
      <c r="A3179" s="1">
        <v>737</v>
      </c>
      <c r="B3179">
        <v>4</v>
      </c>
      <c r="C3179">
        <v>47</v>
      </c>
      <c r="D3179">
        <v>3</v>
      </c>
      <c r="E3179">
        <v>0</v>
      </c>
      <c r="F3179">
        <v>0</v>
      </c>
      <c r="G3179">
        <v>11</v>
      </c>
      <c r="H3179">
        <v>3</v>
      </c>
      <c r="I3179">
        <v>0.01</v>
      </c>
      <c r="J3179">
        <v>5</v>
      </c>
      <c r="K3179">
        <v>0</v>
      </c>
      <c r="L3179" s="4">
        <v>0.89409948430475195</v>
      </c>
      <c r="M3179" s="4">
        <v>0.1059005156952481</v>
      </c>
      <c r="N3179">
        <v>8</v>
      </c>
    </row>
    <row r="3180" spans="1:14" x14ac:dyDescent="0.35">
      <c r="A3180" s="1">
        <v>2596</v>
      </c>
      <c r="B3180">
        <v>6</v>
      </c>
      <c r="C3180">
        <v>54</v>
      </c>
      <c r="D3180">
        <v>6</v>
      </c>
      <c r="E3180">
        <v>0</v>
      </c>
      <c r="F3180">
        <v>3</v>
      </c>
      <c r="G3180">
        <v>3</v>
      </c>
      <c r="H3180">
        <v>2</v>
      </c>
      <c r="I3180">
        <v>3000</v>
      </c>
      <c r="J3180">
        <v>9</v>
      </c>
      <c r="K3180">
        <v>0</v>
      </c>
      <c r="L3180" s="4">
        <v>0.89410549704121622</v>
      </c>
      <c r="M3180" s="4">
        <v>0.1058945029587838</v>
      </c>
      <c r="N3180">
        <v>8</v>
      </c>
    </row>
    <row r="3181" spans="1:14" x14ac:dyDescent="0.35">
      <c r="A3181" s="1">
        <v>1908</v>
      </c>
      <c r="B3181">
        <v>8</v>
      </c>
      <c r="C3181">
        <v>67</v>
      </c>
      <c r="D3181">
        <v>2</v>
      </c>
      <c r="E3181">
        <v>0</v>
      </c>
      <c r="F3181">
        <v>0</v>
      </c>
      <c r="G3181">
        <v>4</v>
      </c>
      <c r="H3181">
        <v>0</v>
      </c>
      <c r="I3181">
        <v>20000</v>
      </c>
      <c r="J3181">
        <v>4</v>
      </c>
      <c r="K3181">
        <v>0</v>
      </c>
      <c r="L3181" s="4">
        <v>0.89418513770492181</v>
      </c>
      <c r="M3181" s="4">
        <v>0.10581486229507819</v>
      </c>
      <c r="N3181">
        <v>8</v>
      </c>
    </row>
    <row r="3182" spans="1:14" x14ac:dyDescent="0.35">
      <c r="A3182" s="1">
        <v>2078</v>
      </c>
      <c r="B3182">
        <v>5</v>
      </c>
      <c r="C3182">
        <v>41</v>
      </c>
      <c r="D3182">
        <v>5</v>
      </c>
      <c r="E3182">
        <v>2</v>
      </c>
      <c r="F3182">
        <v>0</v>
      </c>
      <c r="G3182">
        <v>4</v>
      </c>
      <c r="H3182">
        <v>3</v>
      </c>
      <c r="I3182">
        <v>0.01</v>
      </c>
      <c r="J3182">
        <v>4</v>
      </c>
      <c r="K3182">
        <v>1</v>
      </c>
      <c r="L3182" s="4">
        <v>0.8942562206950353</v>
      </c>
      <c r="M3182" s="4">
        <v>0.10574377930496461</v>
      </c>
      <c r="N3182">
        <v>8</v>
      </c>
    </row>
    <row r="3183" spans="1:14" x14ac:dyDescent="0.35">
      <c r="A3183" s="1">
        <v>125</v>
      </c>
      <c r="B3183">
        <v>8</v>
      </c>
      <c r="C3183">
        <v>63</v>
      </c>
      <c r="D3183">
        <v>4</v>
      </c>
      <c r="E3183">
        <v>0</v>
      </c>
      <c r="F3183">
        <v>1</v>
      </c>
      <c r="G3183">
        <v>12</v>
      </c>
      <c r="H3183">
        <v>2</v>
      </c>
      <c r="I3183">
        <v>3000</v>
      </c>
      <c r="J3183">
        <v>3</v>
      </c>
      <c r="K3183">
        <v>0</v>
      </c>
      <c r="L3183" s="4">
        <v>0.89427497117291876</v>
      </c>
      <c r="M3183" s="4">
        <v>0.10572502882708119</v>
      </c>
      <c r="N3183">
        <v>8</v>
      </c>
    </row>
    <row r="3184" spans="1:14" x14ac:dyDescent="0.35">
      <c r="A3184" s="1">
        <v>2358</v>
      </c>
      <c r="B3184">
        <v>9</v>
      </c>
      <c r="C3184">
        <v>68</v>
      </c>
      <c r="D3184">
        <v>2</v>
      </c>
      <c r="E3184">
        <v>0</v>
      </c>
      <c r="F3184">
        <v>3</v>
      </c>
      <c r="G3184">
        <v>3</v>
      </c>
      <c r="H3184">
        <v>2</v>
      </c>
      <c r="I3184">
        <v>4000</v>
      </c>
      <c r="J3184">
        <v>11</v>
      </c>
      <c r="K3184">
        <v>0</v>
      </c>
      <c r="L3184" s="4">
        <v>0.89428438024784984</v>
      </c>
      <c r="M3184" s="4">
        <v>0.1057156197521502</v>
      </c>
      <c r="N3184">
        <v>8</v>
      </c>
    </row>
    <row r="3185" spans="1:14" x14ac:dyDescent="0.35">
      <c r="A3185" s="1">
        <v>2293</v>
      </c>
      <c r="B3185">
        <v>7</v>
      </c>
      <c r="C3185">
        <v>60</v>
      </c>
      <c r="D3185">
        <v>1</v>
      </c>
      <c r="E3185">
        <v>0</v>
      </c>
      <c r="F3185">
        <v>1</v>
      </c>
      <c r="G3185">
        <v>7</v>
      </c>
      <c r="H3185">
        <v>3</v>
      </c>
      <c r="I3185">
        <v>0.01</v>
      </c>
      <c r="J3185">
        <v>7</v>
      </c>
      <c r="K3185">
        <v>1</v>
      </c>
      <c r="L3185" s="4">
        <v>0.89432653485744529</v>
      </c>
      <c r="M3185" s="4">
        <v>0.1056734651425547</v>
      </c>
      <c r="N3185">
        <v>8</v>
      </c>
    </row>
    <row r="3186" spans="1:14" x14ac:dyDescent="0.35">
      <c r="A3186" s="1">
        <v>4091</v>
      </c>
      <c r="B3186">
        <v>8</v>
      </c>
      <c r="C3186">
        <v>64</v>
      </c>
      <c r="D3186">
        <v>5</v>
      </c>
      <c r="E3186">
        <v>0</v>
      </c>
      <c r="F3186">
        <v>3</v>
      </c>
      <c r="G3186">
        <v>3</v>
      </c>
      <c r="H3186">
        <v>0</v>
      </c>
      <c r="I3186">
        <v>6000</v>
      </c>
      <c r="J3186">
        <v>3</v>
      </c>
      <c r="K3186">
        <v>0</v>
      </c>
      <c r="L3186" s="4">
        <v>0.89437552168627976</v>
      </c>
      <c r="M3186" s="4">
        <v>0.1056244783137202</v>
      </c>
      <c r="N3186">
        <v>8</v>
      </c>
    </row>
    <row r="3187" spans="1:14" x14ac:dyDescent="0.35">
      <c r="A3187" s="1">
        <v>2559</v>
      </c>
      <c r="B3187">
        <v>5</v>
      </c>
      <c r="C3187">
        <v>51</v>
      </c>
      <c r="D3187">
        <v>3</v>
      </c>
      <c r="E3187">
        <v>0</v>
      </c>
      <c r="F3187">
        <v>1</v>
      </c>
      <c r="G3187">
        <v>7</v>
      </c>
      <c r="H3187">
        <v>3</v>
      </c>
      <c r="I3187">
        <v>0.01</v>
      </c>
      <c r="J3187">
        <v>4</v>
      </c>
      <c r="K3187">
        <v>1</v>
      </c>
      <c r="L3187" s="4">
        <v>0.89454653301828191</v>
      </c>
      <c r="M3187" s="4">
        <v>0.10545346698171799</v>
      </c>
      <c r="N3187">
        <v>8</v>
      </c>
    </row>
    <row r="3188" spans="1:14" x14ac:dyDescent="0.35">
      <c r="A3188" s="1">
        <v>2765</v>
      </c>
      <c r="B3188">
        <v>6</v>
      </c>
      <c r="C3188">
        <v>51</v>
      </c>
      <c r="D3188">
        <v>5</v>
      </c>
      <c r="E3188">
        <v>1</v>
      </c>
      <c r="F3188">
        <v>3</v>
      </c>
      <c r="G3188">
        <v>3</v>
      </c>
      <c r="H3188">
        <v>0</v>
      </c>
      <c r="I3188">
        <v>6000</v>
      </c>
      <c r="J3188">
        <v>2</v>
      </c>
      <c r="K3188">
        <v>0</v>
      </c>
      <c r="L3188" s="4">
        <v>0.89455824393932115</v>
      </c>
      <c r="M3188" s="4">
        <v>0.1054417560606789</v>
      </c>
      <c r="N3188">
        <v>8</v>
      </c>
    </row>
    <row r="3189" spans="1:14" x14ac:dyDescent="0.35">
      <c r="A3189" s="1">
        <v>861</v>
      </c>
      <c r="B3189">
        <v>10</v>
      </c>
      <c r="C3189">
        <v>63</v>
      </c>
      <c r="D3189">
        <v>1</v>
      </c>
      <c r="E3189">
        <v>2</v>
      </c>
      <c r="F3189">
        <v>1</v>
      </c>
      <c r="G3189">
        <v>12</v>
      </c>
      <c r="H3189">
        <v>2</v>
      </c>
      <c r="I3189">
        <v>4221.0600000000004</v>
      </c>
      <c r="J3189">
        <v>18</v>
      </c>
      <c r="K3189">
        <v>1</v>
      </c>
      <c r="L3189" s="4">
        <v>0.89459291857546153</v>
      </c>
      <c r="M3189" s="4">
        <v>0.1054070814245385</v>
      </c>
      <c r="N3189">
        <v>8</v>
      </c>
    </row>
    <row r="3190" spans="1:14" x14ac:dyDescent="0.35">
      <c r="A3190" s="1">
        <v>2687</v>
      </c>
      <c r="B3190">
        <v>8</v>
      </c>
      <c r="C3190">
        <v>60</v>
      </c>
      <c r="D3190">
        <v>1</v>
      </c>
      <c r="E3190">
        <v>1</v>
      </c>
      <c r="F3190">
        <v>0</v>
      </c>
      <c r="G3190">
        <v>11</v>
      </c>
      <c r="H3190">
        <v>2</v>
      </c>
      <c r="I3190">
        <v>3000</v>
      </c>
      <c r="J3190">
        <v>2</v>
      </c>
      <c r="K3190">
        <v>0</v>
      </c>
      <c r="L3190" s="4">
        <v>0.89459768455135302</v>
      </c>
      <c r="M3190" s="4">
        <v>0.105402315448647</v>
      </c>
      <c r="N3190">
        <v>8</v>
      </c>
    </row>
    <row r="3191" spans="1:14" x14ac:dyDescent="0.35">
      <c r="A3191" s="1">
        <v>3996</v>
      </c>
      <c r="B3191">
        <v>8</v>
      </c>
      <c r="C3191">
        <v>64</v>
      </c>
      <c r="D3191">
        <v>2</v>
      </c>
      <c r="E3191">
        <v>0</v>
      </c>
      <c r="F3191">
        <v>1</v>
      </c>
      <c r="G3191">
        <v>12</v>
      </c>
      <c r="H3191">
        <v>2</v>
      </c>
      <c r="I3191">
        <v>300</v>
      </c>
      <c r="J3191">
        <v>9</v>
      </c>
      <c r="K3191">
        <v>0</v>
      </c>
      <c r="L3191" s="4">
        <v>0.89467222773814947</v>
      </c>
      <c r="M3191" s="4">
        <v>0.1053277722618505</v>
      </c>
      <c r="N3191">
        <v>8</v>
      </c>
    </row>
    <row r="3192" spans="1:14" x14ac:dyDescent="0.35">
      <c r="A3192" s="1">
        <v>589</v>
      </c>
      <c r="B3192">
        <v>5</v>
      </c>
      <c r="C3192">
        <v>52</v>
      </c>
      <c r="D3192">
        <v>3</v>
      </c>
      <c r="E3192">
        <v>0</v>
      </c>
      <c r="F3192">
        <v>2</v>
      </c>
      <c r="G3192">
        <v>1</v>
      </c>
      <c r="H3192">
        <v>2</v>
      </c>
      <c r="I3192">
        <v>4000</v>
      </c>
      <c r="J3192">
        <v>7</v>
      </c>
      <c r="K3192">
        <v>0</v>
      </c>
      <c r="L3192" s="4">
        <v>0.89467382267243833</v>
      </c>
      <c r="M3192" s="4">
        <v>0.1053261773275616</v>
      </c>
      <c r="N3192">
        <v>8</v>
      </c>
    </row>
    <row r="3193" spans="1:14" x14ac:dyDescent="0.35">
      <c r="A3193" s="1">
        <v>3718</v>
      </c>
      <c r="B3193">
        <v>7</v>
      </c>
      <c r="C3193">
        <v>60</v>
      </c>
      <c r="D3193">
        <v>1</v>
      </c>
      <c r="E3193">
        <v>0</v>
      </c>
      <c r="F3193">
        <v>1</v>
      </c>
      <c r="G3193">
        <v>7</v>
      </c>
      <c r="H3193">
        <v>3</v>
      </c>
      <c r="I3193">
        <v>0.01</v>
      </c>
      <c r="J3193">
        <v>4</v>
      </c>
      <c r="K3193">
        <v>1</v>
      </c>
      <c r="L3193" s="4">
        <v>0.8946903213592946</v>
      </c>
      <c r="M3193" s="4">
        <v>0.1053096786407054</v>
      </c>
      <c r="N3193">
        <v>8</v>
      </c>
    </row>
    <row r="3194" spans="1:14" x14ac:dyDescent="0.35">
      <c r="A3194" s="1">
        <v>2949</v>
      </c>
      <c r="B3194">
        <v>5</v>
      </c>
      <c r="C3194">
        <v>52</v>
      </c>
      <c r="D3194">
        <v>3</v>
      </c>
      <c r="E3194">
        <v>0</v>
      </c>
      <c r="F3194">
        <v>0</v>
      </c>
      <c r="G3194">
        <v>2</v>
      </c>
      <c r="H3194">
        <v>3</v>
      </c>
      <c r="I3194">
        <v>0.01</v>
      </c>
      <c r="J3194">
        <v>5</v>
      </c>
      <c r="K3194">
        <v>0</v>
      </c>
      <c r="L3194" s="4">
        <v>0.89483075637947895</v>
      </c>
      <c r="M3194" s="4">
        <v>0.10516924362052101</v>
      </c>
      <c r="N3194">
        <v>8</v>
      </c>
    </row>
    <row r="3195" spans="1:14" x14ac:dyDescent="0.35">
      <c r="A3195" s="1">
        <v>1806</v>
      </c>
      <c r="B3195">
        <v>8</v>
      </c>
      <c r="C3195">
        <v>60</v>
      </c>
      <c r="D3195">
        <v>1</v>
      </c>
      <c r="E3195">
        <v>1</v>
      </c>
      <c r="F3195">
        <v>0</v>
      </c>
      <c r="G3195">
        <v>4</v>
      </c>
      <c r="H3195">
        <v>3</v>
      </c>
      <c r="I3195">
        <v>0.01</v>
      </c>
      <c r="J3195">
        <v>8</v>
      </c>
      <c r="K3195">
        <v>0</v>
      </c>
      <c r="L3195" s="4">
        <v>0.89485280702959036</v>
      </c>
      <c r="M3195" s="4">
        <v>0.1051471929704097</v>
      </c>
      <c r="N3195">
        <v>8</v>
      </c>
    </row>
    <row r="3196" spans="1:14" x14ac:dyDescent="0.35">
      <c r="A3196" s="1">
        <v>1328</v>
      </c>
      <c r="B3196">
        <v>7</v>
      </c>
      <c r="C3196">
        <v>62</v>
      </c>
      <c r="D3196">
        <v>1</v>
      </c>
      <c r="E3196">
        <v>0</v>
      </c>
      <c r="F3196">
        <v>3</v>
      </c>
      <c r="G3196">
        <v>3</v>
      </c>
      <c r="H3196">
        <v>0</v>
      </c>
      <c r="I3196">
        <v>9300</v>
      </c>
      <c r="J3196">
        <v>9</v>
      </c>
      <c r="K3196">
        <v>0</v>
      </c>
      <c r="L3196" s="4">
        <v>0.89485931258106843</v>
      </c>
      <c r="M3196" s="4">
        <v>0.1051406874189315</v>
      </c>
      <c r="N3196">
        <v>8</v>
      </c>
    </row>
    <row r="3197" spans="1:14" x14ac:dyDescent="0.35">
      <c r="A3197" s="1">
        <v>4248</v>
      </c>
      <c r="B3197">
        <v>6</v>
      </c>
      <c r="C3197">
        <v>55</v>
      </c>
      <c r="D3197">
        <v>5</v>
      </c>
      <c r="E3197">
        <v>0</v>
      </c>
      <c r="F3197">
        <v>0</v>
      </c>
      <c r="G3197">
        <v>4</v>
      </c>
      <c r="H3197">
        <v>3</v>
      </c>
      <c r="I3197">
        <v>0.01</v>
      </c>
      <c r="J3197">
        <v>4</v>
      </c>
      <c r="K3197">
        <v>0</v>
      </c>
      <c r="L3197" s="4">
        <v>0.89498814987735476</v>
      </c>
      <c r="M3197" s="4">
        <v>0.1050118501226452</v>
      </c>
      <c r="N3197">
        <v>8</v>
      </c>
    </row>
    <row r="3198" spans="1:14" x14ac:dyDescent="0.35">
      <c r="A3198" s="1">
        <v>1852</v>
      </c>
      <c r="B3198">
        <v>9</v>
      </c>
      <c r="C3198">
        <v>71</v>
      </c>
      <c r="D3198">
        <v>2</v>
      </c>
      <c r="E3198">
        <v>0</v>
      </c>
      <c r="F3198">
        <v>0</v>
      </c>
      <c r="G3198">
        <v>4</v>
      </c>
      <c r="H3198">
        <v>0</v>
      </c>
      <c r="I3198">
        <v>12000</v>
      </c>
      <c r="J3198">
        <v>5</v>
      </c>
      <c r="K3198">
        <v>0</v>
      </c>
      <c r="L3198" s="4">
        <v>0.89499451459477064</v>
      </c>
      <c r="M3198" s="4">
        <v>0.1050054854052294</v>
      </c>
      <c r="N3198">
        <v>8</v>
      </c>
    </row>
    <row r="3199" spans="1:14" x14ac:dyDescent="0.35">
      <c r="A3199" s="1">
        <v>3480</v>
      </c>
      <c r="B3199">
        <v>7</v>
      </c>
      <c r="C3199">
        <v>59</v>
      </c>
      <c r="D3199">
        <v>3</v>
      </c>
      <c r="E3199">
        <v>0</v>
      </c>
      <c r="F3199">
        <v>3</v>
      </c>
      <c r="G3199">
        <v>8</v>
      </c>
      <c r="H3199">
        <v>2</v>
      </c>
      <c r="I3199">
        <v>2500</v>
      </c>
      <c r="J3199">
        <v>5</v>
      </c>
      <c r="K3199">
        <v>0</v>
      </c>
      <c r="L3199" s="4">
        <v>0.89520231016412943</v>
      </c>
      <c r="M3199" s="4">
        <v>0.10479768983587059</v>
      </c>
      <c r="N3199">
        <v>8</v>
      </c>
    </row>
    <row r="3200" spans="1:14" x14ac:dyDescent="0.35">
      <c r="A3200" s="1">
        <v>2218</v>
      </c>
      <c r="B3200">
        <v>7</v>
      </c>
      <c r="C3200">
        <v>60</v>
      </c>
      <c r="D3200">
        <v>3</v>
      </c>
      <c r="E3200">
        <v>0</v>
      </c>
      <c r="F3200">
        <v>2</v>
      </c>
      <c r="G3200">
        <v>1</v>
      </c>
      <c r="H3200">
        <v>2</v>
      </c>
      <c r="I3200">
        <v>1000</v>
      </c>
      <c r="J3200">
        <v>1</v>
      </c>
      <c r="K3200">
        <v>0</v>
      </c>
      <c r="L3200" s="4">
        <v>0.89528482229609996</v>
      </c>
      <c r="M3200" s="4">
        <v>0.1047151777039</v>
      </c>
      <c r="N3200">
        <v>8</v>
      </c>
    </row>
    <row r="3201" spans="1:14" x14ac:dyDescent="0.35">
      <c r="A3201" s="1">
        <v>71</v>
      </c>
      <c r="B3201">
        <v>8</v>
      </c>
      <c r="C3201">
        <v>61</v>
      </c>
      <c r="D3201">
        <v>2</v>
      </c>
      <c r="E3201">
        <v>1</v>
      </c>
      <c r="F3201">
        <v>3</v>
      </c>
      <c r="G3201">
        <v>3</v>
      </c>
      <c r="H3201">
        <v>0</v>
      </c>
      <c r="I3201">
        <v>12000</v>
      </c>
      <c r="J3201">
        <v>15</v>
      </c>
      <c r="K3201">
        <v>0</v>
      </c>
      <c r="L3201" s="4">
        <v>0.89540630920096309</v>
      </c>
      <c r="M3201" s="4">
        <v>0.10459369079903701</v>
      </c>
      <c r="N3201">
        <v>8</v>
      </c>
    </row>
    <row r="3202" spans="1:14" x14ac:dyDescent="0.35">
      <c r="A3202" s="1">
        <v>660</v>
      </c>
      <c r="B3202">
        <v>5</v>
      </c>
      <c r="C3202">
        <v>53</v>
      </c>
      <c r="D3202">
        <v>2</v>
      </c>
      <c r="E3202">
        <v>0</v>
      </c>
      <c r="F3202">
        <v>3</v>
      </c>
      <c r="G3202">
        <v>3</v>
      </c>
      <c r="H3202">
        <v>1</v>
      </c>
      <c r="I3202">
        <v>20326.509999999998</v>
      </c>
      <c r="J3202">
        <v>3</v>
      </c>
      <c r="K3202">
        <v>0</v>
      </c>
      <c r="L3202" s="4">
        <v>0.89543445016500878</v>
      </c>
      <c r="M3202" s="4">
        <v>0.10456554983499119</v>
      </c>
      <c r="N3202">
        <v>8</v>
      </c>
    </row>
    <row r="3203" spans="1:14" x14ac:dyDescent="0.35">
      <c r="A3203" s="1">
        <v>1980</v>
      </c>
      <c r="B3203">
        <v>5</v>
      </c>
      <c r="C3203">
        <v>51</v>
      </c>
      <c r="D3203">
        <v>1</v>
      </c>
      <c r="E3203">
        <v>0</v>
      </c>
      <c r="F3203">
        <v>3</v>
      </c>
      <c r="G3203">
        <v>8</v>
      </c>
      <c r="H3203">
        <v>3</v>
      </c>
      <c r="I3203">
        <v>0.01</v>
      </c>
      <c r="J3203">
        <v>4</v>
      </c>
      <c r="K3203">
        <v>0</v>
      </c>
      <c r="L3203" s="4">
        <v>0.89546124321687781</v>
      </c>
      <c r="M3203" s="4">
        <v>0.1045387567831222</v>
      </c>
      <c r="N3203">
        <v>8</v>
      </c>
    </row>
    <row r="3204" spans="1:14" x14ac:dyDescent="0.35">
      <c r="A3204" s="1">
        <v>2702</v>
      </c>
      <c r="B3204">
        <v>8</v>
      </c>
      <c r="C3204">
        <v>64</v>
      </c>
      <c r="D3204">
        <v>5</v>
      </c>
      <c r="E3204">
        <v>0</v>
      </c>
      <c r="F3204">
        <v>0</v>
      </c>
      <c r="G3204">
        <v>4</v>
      </c>
      <c r="H3204">
        <v>2</v>
      </c>
      <c r="I3204">
        <v>2000</v>
      </c>
      <c r="J3204">
        <v>4</v>
      </c>
      <c r="K3204">
        <v>1</v>
      </c>
      <c r="L3204" s="4">
        <v>0.89563452991943915</v>
      </c>
      <c r="M3204" s="4">
        <v>0.1043654700805608</v>
      </c>
      <c r="N3204">
        <v>8</v>
      </c>
    </row>
    <row r="3205" spans="1:14" x14ac:dyDescent="0.35">
      <c r="A3205" s="1">
        <v>3135</v>
      </c>
      <c r="B3205">
        <v>7</v>
      </c>
      <c r="C3205">
        <v>62</v>
      </c>
      <c r="D3205">
        <v>2</v>
      </c>
      <c r="E3205">
        <v>0</v>
      </c>
      <c r="F3205">
        <v>3</v>
      </c>
      <c r="G3205">
        <v>3</v>
      </c>
      <c r="H3205">
        <v>0</v>
      </c>
      <c r="I3205">
        <v>6017.78</v>
      </c>
      <c r="J3205">
        <v>27</v>
      </c>
      <c r="K3205">
        <v>1</v>
      </c>
      <c r="L3205" s="4">
        <v>0.89565261120781714</v>
      </c>
      <c r="M3205" s="4">
        <v>0.1043473887921828</v>
      </c>
      <c r="N3205">
        <v>8</v>
      </c>
    </row>
    <row r="3206" spans="1:14" x14ac:dyDescent="0.35">
      <c r="A3206" s="1">
        <v>3031</v>
      </c>
      <c r="B3206">
        <v>10</v>
      </c>
      <c r="C3206">
        <v>75</v>
      </c>
      <c r="D3206">
        <v>1</v>
      </c>
      <c r="E3206">
        <v>0</v>
      </c>
      <c r="F3206">
        <v>2</v>
      </c>
      <c r="G3206">
        <v>0</v>
      </c>
      <c r="H3206">
        <v>1</v>
      </c>
      <c r="I3206">
        <v>39416.32</v>
      </c>
      <c r="J3206">
        <v>3</v>
      </c>
      <c r="K3206">
        <v>0</v>
      </c>
      <c r="L3206" s="4">
        <v>0.89574159857825464</v>
      </c>
      <c r="M3206" s="4">
        <v>0.10425840142174531</v>
      </c>
      <c r="N3206">
        <v>8</v>
      </c>
    </row>
    <row r="3207" spans="1:14" x14ac:dyDescent="0.35">
      <c r="A3207" s="1">
        <v>2548</v>
      </c>
      <c r="B3207">
        <v>5</v>
      </c>
      <c r="C3207">
        <v>50</v>
      </c>
      <c r="D3207">
        <v>5</v>
      </c>
      <c r="E3207">
        <v>0</v>
      </c>
      <c r="F3207">
        <v>1</v>
      </c>
      <c r="G3207">
        <v>12</v>
      </c>
      <c r="H3207">
        <v>3</v>
      </c>
      <c r="I3207">
        <v>0.01</v>
      </c>
      <c r="J3207">
        <v>9</v>
      </c>
      <c r="K3207">
        <v>0</v>
      </c>
      <c r="L3207" s="4">
        <v>0.89580890479706599</v>
      </c>
      <c r="M3207" s="4">
        <v>0.104191095202934</v>
      </c>
      <c r="N3207">
        <v>8</v>
      </c>
    </row>
    <row r="3208" spans="1:14" x14ac:dyDescent="0.35">
      <c r="A3208" s="1">
        <v>824</v>
      </c>
      <c r="B3208">
        <v>10</v>
      </c>
      <c r="C3208">
        <v>69</v>
      </c>
      <c r="D3208">
        <v>2</v>
      </c>
      <c r="E3208">
        <v>1</v>
      </c>
      <c r="F3208">
        <v>0</v>
      </c>
      <c r="G3208">
        <v>4</v>
      </c>
      <c r="H3208">
        <v>2</v>
      </c>
      <c r="I3208">
        <v>4800</v>
      </c>
      <c r="J3208">
        <v>22</v>
      </c>
      <c r="K3208">
        <v>0</v>
      </c>
      <c r="L3208" s="4">
        <v>0.89585500588441636</v>
      </c>
      <c r="M3208" s="4">
        <v>0.1041449941155837</v>
      </c>
      <c r="N3208">
        <v>8</v>
      </c>
    </row>
    <row r="3209" spans="1:14" x14ac:dyDescent="0.35">
      <c r="A3209" s="1">
        <v>1370</v>
      </c>
      <c r="B3209">
        <v>9</v>
      </c>
      <c r="C3209">
        <v>67</v>
      </c>
      <c r="D3209">
        <v>5</v>
      </c>
      <c r="E3209">
        <v>0</v>
      </c>
      <c r="F3209">
        <v>1</v>
      </c>
      <c r="G3209">
        <v>12</v>
      </c>
      <c r="H3209">
        <v>2</v>
      </c>
      <c r="I3209">
        <v>3000</v>
      </c>
      <c r="J3209">
        <v>8</v>
      </c>
      <c r="K3209">
        <v>1</v>
      </c>
      <c r="L3209" s="4">
        <v>0.8958580476518343</v>
      </c>
      <c r="M3209" s="4">
        <v>0.1041419523481657</v>
      </c>
      <c r="N3209">
        <v>8</v>
      </c>
    </row>
    <row r="3210" spans="1:14" x14ac:dyDescent="0.35">
      <c r="A3210" s="1">
        <v>2671</v>
      </c>
      <c r="B3210">
        <v>10</v>
      </c>
      <c r="C3210">
        <v>72</v>
      </c>
      <c r="D3210">
        <v>4</v>
      </c>
      <c r="E3210">
        <v>0</v>
      </c>
      <c r="F3210">
        <v>4</v>
      </c>
      <c r="G3210">
        <v>9</v>
      </c>
      <c r="H3210">
        <v>0</v>
      </c>
      <c r="I3210">
        <v>13483.15</v>
      </c>
      <c r="J3210">
        <v>1</v>
      </c>
      <c r="K3210">
        <v>0</v>
      </c>
      <c r="L3210" s="4">
        <v>0.89620617537851488</v>
      </c>
      <c r="M3210" s="4">
        <v>0.10379382462148511</v>
      </c>
      <c r="N3210">
        <v>8</v>
      </c>
    </row>
    <row r="3211" spans="1:14" x14ac:dyDescent="0.35">
      <c r="A3211" s="1">
        <v>3333</v>
      </c>
      <c r="B3211">
        <v>9</v>
      </c>
      <c r="C3211">
        <v>69</v>
      </c>
      <c r="D3211">
        <v>0</v>
      </c>
      <c r="E3211">
        <v>0</v>
      </c>
      <c r="F3211">
        <v>0</v>
      </c>
      <c r="G3211">
        <v>11</v>
      </c>
      <c r="H3211">
        <v>3</v>
      </c>
      <c r="I3211">
        <v>0.01</v>
      </c>
      <c r="J3211">
        <v>8</v>
      </c>
      <c r="K3211">
        <v>0</v>
      </c>
      <c r="L3211" s="4">
        <v>0.89620885637161019</v>
      </c>
      <c r="M3211" s="4">
        <v>0.1037911436283898</v>
      </c>
      <c r="N3211">
        <v>8</v>
      </c>
    </row>
    <row r="3212" spans="1:14" x14ac:dyDescent="0.35">
      <c r="A3212" s="1">
        <v>3809</v>
      </c>
      <c r="B3212">
        <v>11</v>
      </c>
      <c r="C3212">
        <v>74</v>
      </c>
      <c r="D3212">
        <v>3</v>
      </c>
      <c r="E3212">
        <v>1</v>
      </c>
      <c r="F3212">
        <v>0</v>
      </c>
      <c r="G3212">
        <v>4</v>
      </c>
      <c r="H3212">
        <v>0</v>
      </c>
      <c r="I3212">
        <v>6107.64</v>
      </c>
      <c r="J3212">
        <v>13</v>
      </c>
      <c r="K3212">
        <v>0</v>
      </c>
      <c r="L3212" s="4">
        <v>0.8963103752460666</v>
      </c>
      <c r="M3212" s="4">
        <v>0.1036896247539334</v>
      </c>
      <c r="N3212">
        <v>8</v>
      </c>
    </row>
    <row r="3213" spans="1:14" x14ac:dyDescent="0.35">
      <c r="A3213" s="1">
        <v>2217</v>
      </c>
      <c r="B3213">
        <v>7</v>
      </c>
      <c r="C3213">
        <v>51</v>
      </c>
      <c r="D3213">
        <v>0</v>
      </c>
      <c r="E3213">
        <v>2</v>
      </c>
      <c r="F3213">
        <v>1</v>
      </c>
      <c r="G3213">
        <v>7</v>
      </c>
      <c r="H3213">
        <v>3</v>
      </c>
      <c r="I3213">
        <v>0.01</v>
      </c>
      <c r="J3213">
        <v>8</v>
      </c>
      <c r="K3213">
        <v>0</v>
      </c>
      <c r="L3213" s="4">
        <v>0.89636917549786244</v>
      </c>
      <c r="M3213" s="4">
        <v>0.10363082450213761</v>
      </c>
      <c r="N3213">
        <v>8</v>
      </c>
    </row>
    <row r="3214" spans="1:14" x14ac:dyDescent="0.35">
      <c r="A3214" s="1">
        <v>852</v>
      </c>
      <c r="B3214">
        <v>9</v>
      </c>
      <c r="C3214">
        <v>69</v>
      </c>
      <c r="D3214">
        <v>4</v>
      </c>
      <c r="E3214">
        <v>0</v>
      </c>
      <c r="F3214">
        <v>0</v>
      </c>
      <c r="G3214">
        <v>2</v>
      </c>
      <c r="H3214">
        <v>2</v>
      </c>
      <c r="I3214">
        <v>3000</v>
      </c>
      <c r="J3214">
        <v>12</v>
      </c>
      <c r="K3214">
        <v>1</v>
      </c>
      <c r="L3214" s="4">
        <v>0.89637798012796233</v>
      </c>
      <c r="M3214" s="4">
        <v>0.1036220198720377</v>
      </c>
      <c r="N3214">
        <v>8</v>
      </c>
    </row>
    <row r="3215" spans="1:14" x14ac:dyDescent="0.35">
      <c r="A3215" s="1">
        <v>2874</v>
      </c>
      <c r="B3215">
        <v>10</v>
      </c>
      <c r="C3215">
        <v>72</v>
      </c>
      <c r="D3215">
        <v>3</v>
      </c>
      <c r="E3215">
        <v>0</v>
      </c>
      <c r="F3215">
        <v>1</v>
      </c>
      <c r="G3215">
        <v>12</v>
      </c>
      <c r="H3215">
        <v>2</v>
      </c>
      <c r="I3215">
        <v>3026.67</v>
      </c>
      <c r="J3215">
        <v>7</v>
      </c>
      <c r="K3215">
        <v>1</v>
      </c>
      <c r="L3215" s="4">
        <v>0.8963969048995577</v>
      </c>
      <c r="M3215" s="4">
        <v>0.1036030951004423</v>
      </c>
      <c r="N3215">
        <v>8</v>
      </c>
    </row>
    <row r="3216" spans="1:14" x14ac:dyDescent="0.35">
      <c r="A3216" s="1">
        <v>2112</v>
      </c>
      <c r="B3216">
        <v>6</v>
      </c>
      <c r="C3216">
        <v>53</v>
      </c>
      <c r="D3216">
        <v>2</v>
      </c>
      <c r="E3216">
        <v>1</v>
      </c>
      <c r="F3216">
        <v>1</v>
      </c>
      <c r="G3216">
        <v>12</v>
      </c>
      <c r="H3216">
        <v>0</v>
      </c>
      <c r="I3216">
        <v>12053.35</v>
      </c>
      <c r="J3216">
        <v>5</v>
      </c>
      <c r="K3216">
        <v>0</v>
      </c>
      <c r="L3216" s="4">
        <v>0.89646580024607303</v>
      </c>
      <c r="M3216" s="4">
        <v>0.1035341997539269</v>
      </c>
      <c r="N3216">
        <v>8</v>
      </c>
    </row>
    <row r="3217" spans="1:14" x14ac:dyDescent="0.35">
      <c r="A3217" s="1">
        <v>3953</v>
      </c>
      <c r="B3217">
        <v>7</v>
      </c>
      <c r="C3217">
        <v>62</v>
      </c>
      <c r="D3217">
        <v>5</v>
      </c>
      <c r="E3217">
        <v>0</v>
      </c>
      <c r="F3217">
        <v>0</v>
      </c>
      <c r="G3217">
        <v>2</v>
      </c>
      <c r="H3217">
        <v>0</v>
      </c>
      <c r="I3217">
        <v>12000</v>
      </c>
      <c r="J3217">
        <v>3</v>
      </c>
      <c r="K3217">
        <v>0</v>
      </c>
      <c r="L3217" s="4">
        <v>0.89652289982697786</v>
      </c>
      <c r="M3217" s="4">
        <v>0.1034771001730222</v>
      </c>
      <c r="N3217">
        <v>8</v>
      </c>
    </row>
    <row r="3218" spans="1:14" x14ac:dyDescent="0.35">
      <c r="A3218" s="1">
        <v>2593</v>
      </c>
      <c r="B3218">
        <v>8</v>
      </c>
      <c r="C3218">
        <v>59</v>
      </c>
      <c r="D3218">
        <v>4</v>
      </c>
      <c r="E3218">
        <v>1</v>
      </c>
      <c r="F3218">
        <v>0</v>
      </c>
      <c r="G3218">
        <v>4</v>
      </c>
      <c r="H3218">
        <v>3</v>
      </c>
      <c r="I3218">
        <v>0.01</v>
      </c>
      <c r="J3218">
        <v>7</v>
      </c>
      <c r="K3218">
        <v>0</v>
      </c>
      <c r="L3218" s="4">
        <v>0.89672157396930963</v>
      </c>
      <c r="M3218" s="4">
        <v>0.1032784260306904</v>
      </c>
      <c r="N3218">
        <v>8</v>
      </c>
    </row>
    <row r="3219" spans="1:14" x14ac:dyDescent="0.35">
      <c r="A3219" s="1">
        <v>3240</v>
      </c>
      <c r="B3219">
        <v>6</v>
      </c>
      <c r="C3219">
        <v>58</v>
      </c>
      <c r="D3219">
        <v>0</v>
      </c>
      <c r="E3219">
        <v>0</v>
      </c>
      <c r="F3219">
        <v>3</v>
      </c>
      <c r="G3219">
        <v>8</v>
      </c>
      <c r="H3219">
        <v>1</v>
      </c>
      <c r="I3219">
        <v>27000</v>
      </c>
      <c r="J3219">
        <v>8</v>
      </c>
      <c r="K3219">
        <v>0</v>
      </c>
      <c r="L3219" s="4">
        <v>0.89681361611192223</v>
      </c>
      <c r="M3219" s="4">
        <v>0.1031863838880778</v>
      </c>
      <c r="N3219">
        <v>8</v>
      </c>
    </row>
    <row r="3220" spans="1:14" x14ac:dyDescent="0.35">
      <c r="A3220" s="1">
        <v>1016</v>
      </c>
      <c r="B3220">
        <v>10</v>
      </c>
      <c r="C3220">
        <v>68</v>
      </c>
      <c r="D3220">
        <v>1</v>
      </c>
      <c r="E3220">
        <v>1</v>
      </c>
      <c r="F3220">
        <v>1</v>
      </c>
      <c r="G3220">
        <v>12</v>
      </c>
      <c r="H3220">
        <v>2</v>
      </c>
      <c r="I3220">
        <v>600</v>
      </c>
      <c r="J3220">
        <v>8</v>
      </c>
      <c r="K3220">
        <v>1</v>
      </c>
      <c r="L3220" s="4">
        <v>0.89684189725445129</v>
      </c>
      <c r="M3220" s="4">
        <v>0.10315810274554869</v>
      </c>
      <c r="N3220">
        <v>8</v>
      </c>
    </row>
    <row r="3221" spans="1:14" x14ac:dyDescent="0.35">
      <c r="A3221" s="1">
        <v>2924</v>
      </c>
      <c r="B3221">
        <v>8</v>
      </c>
      <c r="C3221">
        <v>68</v>
      </c>
      <c r="D3221">
        <v>1</v>
      </c>
      <c r="E3221">
        <v>0</v>
      </c>
      <c r="F3221">
        <v>0</v>
      </c>
      <c r="G3221">
        <v>4</v>
      </c>
      <c r="H3221">
        <v>0</v>
      </c>
      <c r="I3221">
        <v>12158.67</v>
      </c>
      <c r="J3221">
        <v>18</v>
      </c>
      <c r="K3221">
        <v>0</v>
      </c>
      <c r="L3221" s="4">
        <v>0.89685296417207394</v>
      </c>
      <c r="M3221" s="4">
        <v>0.1031470358279261</v>
      </c>
      <c r="N3221">
        <v>8</v>
      </c>
    </row>
    <row r="3222" spans="1:14" x14ac:dyDescent="0.35">
      <c r="A3222" s="1">
        <v>3614</v>
      </c>
      <c r="B3222">
        <v>5</v>
      </c>
      <c r="C3222">
        <v>51</v>
      </c>
      <c r="D3222">
        <v>5</v>
      </c>
      <c r="E3222">
        <v>0</v>
      </c>
      <c r="F3222">
        <v>1</v>
      </c>
      <c r="G3222">
        <v>12</v>
      </c>
      <c r="H3222">
        <v>2</v>
      </c>
      <c r="I3222">
        <v>3000</v>
      </c>
      <c r="J3222">
        <v>9</v>
      </c>
      <c r="K3222">
        <v>0</v>
      </c>
      <c r="L3222" s="4">
        <v>0.89686152497931315</v>
      </c>
      <c r="M3222" s="4">
        <v>0.10313847502068681</v>
      </c>
      <c r="N3222">
        <v>8</v>
      </c>
    </row>
    <row r="3223" spans="1:14" x14ac:dyDescent="0.35">
      <c r="A3223" s="1">
        <v>1395</v>
      </c>
      <c r="B3223">
        <v>6</v>
      </c>
      <c r="C3223">
        <v>56</v>
      </c>
      <c r="D3223">
        <v>4</v>
      </c>
      <c r="E3223">
        <v>0</v>
      </c>
      <c r="F3223">
        <v>3</v>
      </c>
      <c r="G3223">
        <v>8</v>
      </c>
      <c r="H3223">
        <v>1</v>
      </c>
      <c r="I3223">
        <v>20718.189999999999</v>
      </c>
      <c r="J3223">
        <v>3</v>
      </c>
      <c r="K3223">
        <v>0</v>
      </c>
      <c r="L3223" s="4">
        <v>0.89694397725852937</v>
      </c>
      <c r="M3223" s="4">
        <v>0.1030560227414706</v>
      </c>
      <c r="N3223">
        <v>8</v>
      </c>
    </row>
    <row r="3224" spans="1:14" x14ac:dyDescent="0.35">
      <c r="A3224" s="1">
        <v>469</v>
      </c>
      <c r="B3224">
        <v>7</v>
      </c>
      <c r="C3224">
        <v>61</v>
      </c>
      <c r="D3224">
        <v>2</v>
      </c>
      <c r="E3224">
        <v>0</v>
      </c>
      <c r="F3224">
        <v>2</v>
      </c>
      <c r="G3224">
        <v>0</v>
      </c>
      <c r="H3224">
        <v>2</v>
      </c>
      <c r="I3224">
        <v>5000</v>
      </c>
      <c r="J3224">
        <v>4</v>
      </c>
      <c r="K3224">
        <v>0</v>
      </c>
      <c r="L3224" s="4">
        <v>0.8969678882622516</v>
      </c>
      <c r="M3224" s="4">
        <v>0.1030321117377484</v>
      </c>
      <c r="N3224">
        <v>8</v>
      </c>
    </row>
    <row r="3225" spans="1:14" x14ac:dyDescent="0.35">
      <c r="A3225" s="1">
        <v>2006</v>
      </c>
      <c r="B3225">
        <v>6</v>
      </c>
      <c r="C3225">
        <v>56</v>
      </c>
      <c r="D3225">
        <v>2</v>
      </c>
      <c r="E3225">
        <v>0</v>
      </c>
      <c r="F3225">
        <v>1</v>
      </c>
      <c r="G3225">
        <v>7</v>
      </c>
      <c r="H3225">
        <v>3</v>
      </c>
      <c r="I3225">
        <v>0.01</v>
      </c>
      <c r="J3225">
        <v>7</v>
      </c>
      <c r="K3225">
        <v>0</v>
      </c>
      <c r="L3225" s="4">
        <v>0.8970659922444304</v>
      </c>
      <c r="M3225" s="4">
        <v>0.1029340077555696</v>
      </c>
      <c r="N3225">
        <v>8</v>
      </c>
    </row>
    <row r="3226" spans="1:14" x14ac:dyDescent="0.35">
      <c r="A3226" s="1">
        <v>70</v>
      </c>
      <c r="B3226">
        <v>2</v>
      </c>
      <c r="C3226">
        <v>40</v>
      </c>
      <c r="D3226">
        <v>5</v>
      </c>
      <c r="E3226">
        <v>0</v>
      </c>
      <c r="F3226">
        <v>0</v>
      </c>
      <c r="G3226">
        <v>4</v>
      </c>
      <c r="H3226">
        <v>2</v>
      </c>
      <c r="I3226">
        <v>2100.0100000000002</v>
      </c>
      <c r="J3226">
        <v>5</v>
      </c>
      <c r="K3226">
        <v>0</v>
      </c>
      <c r="L3226" s="4">
        <v>0.89718379802754411</v>
      </c>
      <c r="M3226" s="4">
        <v>0.1028162019724559</v>
      </c>
      <c r="N3226">
        <v>8</v>
      </c>
    </row>
    <row r="3227" spans="1:14" x14ac:dyDescent="0.35">
      <c r="A3227" s="1">
        <v>117</v>
      </c>
      <c r="B3227">
        <v>7</v>
      </c>
      <c r="C3227">
        <v>61</v>
      </c>
      <c r="D3227">
        <v>4</v>
      </c>
      <c r="E3227">
        <v>0</v>
      </c>
      <c r="F3227">
        <v>1</v>
      </c>
      <c r="G3227">
        <v>12</v>
      </c>
      <c r="H3227">
        <v>0</v>
      </c>
      <c r="I3227">
        <v>6000</v>
      </c>
      <c r="J3227">
        <v>2</v>
      </c>
      <c r="K3227">
        <v>0</v>
      </c>
      <c r="L3227" s="4">
        <v>0.89724387011427642</v>
      </c>
      <c r="M3227" s="4">
        <v>0.10275612988572359</v>
      </c>
      <c r="N3227">
        <v>8</v>
      </c>
    </row>
    <row r="3228" spans="1:14" x14ac:dyDescent="0.35">
      <c r="A3228" s="1">
        <v>2800</v>
      </c>
      <c r="B3228">
        <v>6</v>
      </c>
      <c r="C3228">
        <v>58</v>
      </c>
      <c r="D3228">
        <v>5</v>
      </c>
      <c r="E3228">
        <v>0</v>
      </c>
      <c r="F3228">
        <v>0</v>
      </c>
      <c r="G3228">
        <v>4</v>
      </c>
      <c r="H3228">
        <v>0</v>
      </c>
      <c r="I3228">
        <v>5906.2</v>
      </c>
      <c r="J3228">
        <v>15</v>
      </c>
      <c r="K3228">
        <v>0</v>
      </c>
      <c r="L3228" s="4">
        <v>0.89729943573218851</v>
      </c>
      <c r="M3228" s="4">
        <v>0.1027005642678115</v>
      </c>
      <c r="N3228">
        <v>8</v>
      </c>
    </row>
    <row r="3229" spans="1:14" x14ac:dyDescent="0.35">
      <c r="A3229" s="1">
        <v>210</v>
      </c>
      <c r="B3229">
        <v>9</v>
      </c>
      <c r="C3229">
        <v>68</v>
      </c>
      <c r="D3229">
        <v>2</v>
      </c>
      <c r="E3229">
        <v>0</v>
      </c>
      <c r="F3229">
        <v>3</v>
      </c>
      <c r="G3229">
        <v>8</v>
      </c>
      <c r="H3229">
        <v>2</v>
      </c>
      <c r="I3229">
        <v>3000</v>
      </c>
      <c r="J3229">
        <v>8</v>
      </c>
      <c r="K3229">
        <v>0</v>
      </c>
      <c r="L3229" s="4">
        <v>0.8973558975473801</v>
      </c>
      <c r="M3229" s="4">
        <v>0.10264410245262</v>
      </c>
      <c r="N3229">
        <v>8</v>
      </c>
    </row>
    <row r="3230" spans="1:14" x14ac:dyDescent="0.35">
      <c r="A3230" s="1">
        <v>4066</v>
      </c>
      <c r="B3230">
        <v>8</v>
      </c>
      <c r="C3230">
        <v>63</v>
      </c>
      <c r="D3230">
        <v>5</v>
      </c>
      <c r="E3230">
        <v>0</v>
      </c>
      <c r="F3230">
        <v>0</v>
      </c>
      <c r="G3230">
        <v>11</v>
      </c>
      <c r="H3230">
        <v>3</v>
      </c>
      <c r="I3230">
        <v>0.01</v>
      </c>
      <c r="J3230">
        <v>8</v>
      </c>
      <c r="K3230">
        <v>0</v>
      </c>
      <c r="L3230" s="4">
        <v>0.89752110244440753</v>
      </c>
      <c r="M3230" s="4">
        <v>0.1024788975555924</v>
      </c>
      <c r="N3230">
        <v>8</v>
      </c>
    </row>
    <row r="3231" spans="1:14" x14ac:dyDescent="0.35">
      <c r="A3231" s="1">
        <v>4397</v>
      </c>
      <c r="B3231">
        <v>10</v>
      </c>
      <c r="C3231">
        <v>75</v>
      </c>
      <c r="D3231">
        <v>0</v>
      </c>
      <c r="E3231">
        <v>0</v>
      </c>
      <c r="F3231">
        <v>3</v>
      </c>
      <c r="G3231">
        <v>3</v>
      </c>
      <c r="H3231">
        <v>0</v>
      </c>
      <c r="I3231">
        <v>12000</v>
      </c>
      <c r="J3231">
        <v>2</v>
      </c>
      <c r="K3231">
        <v>0</v>
      </c>
      <c r="L3231" s="4">
        <v>0.89759819274886787</v>
      </c>
      <c r="M3231" s="4">
        <v>0.1024018072511321</v>
      </c>
      <c r="N3231">
        <v>8</v>
      </c>
    </row>
    <row r="3232" spans="1:14" x14ac:dyDescent="0.35">
      <c r="A3232" s="1">
        <v>1214</v>
      </c>
      <c r="B3232">
        <v>8</v>
      </c>
      <c r="C3232">
        <v>60</v>
      </c>
      <c r="D3232">
        <v>2</v>
      </c>
      <c r="E3232">
        <v>1</v>
      </c>
      <c r="F3232">
        <v>1</v>
      </c>
      <c r="G3232">
        <v>7</v>
      </c>
      <c r="H3232">
        <v>2</v>
      </c>
      <c r="I3232">
        <v>4000</v>
      </c>
      <c r="J3232">
        <v>1</v>
      </c>
      <c r="K3232">
        <v>0</v>
      </c>
      <c r="L3232" s="4">
        <v>0.89761790862253021</v>
      </c>
      <c r="M3232" s="4">
        <v>0.1023820913774698</v>
      </c>
      <c r="N3232">
        <v>8</v>
      </c>
    </row>
    <row r="3233" spans="1:14" x14ac:dyDescent="0.35">
      <c r="A3233" s="1">
        <v>1018</v>
      </c>
      <c r="B3233">
        <v>5</v>
      </c>
      <c r="C3233">
        <v>47</v>
      </c>
      <c r="D3233">
        <v>2</v>
      </c>
      <c r="E3233">
        <v>1</v>
      </c>
      <c r="F3233">
        <v>3</v>
      </c>
      <c r="G3233">
        <v>8</v>
      </c>
      <c r="H3233">
        <v>2</v>
      </c>
      <c r="I3233">
        <v>500</v>
      </c>
      <c r="J3233">
        <v>13</v>
      </c>
      <c r="K3233">
        <v>0</v>
      </c>
      <c r="L3233" s="4">
        <v>0.89775100464764312</v>
      </c>
      <c r="M3233" s="4">
        <v>0.1022489953523569</v>
      </c>
      <c r="N3233">
        <v>8</v>
      </c>
    </row>
    <row r="3234" spans="1:14" x14ac:dyDescent="0.35">
      <c r="A3234" s="1">
        <v>329</v>
      </c>
      <c r="B3234">
        <v>5</v>
      </c>
      <c r="C3234">
        <v>51</v>
      </c>
      <c r="D3234">
        <v>2</v>
      </c>
      <c r="E3234">
        <v>0</v>
      </c>
      <c r="F3234">
        <v>3</v>
      </c>
      <c r="G3234">
        <v>8</v>
      </c>
      <c r="H3234">
        <v>3</v>
      </c>
      <c r="I3234">
        <v>0.01</v>
      </c>
      <c r="J3234">
        <v>5</v>
      </c>
      <c r="K3234">
        <v>0</v>
      </c>
      <c r="L3234" s="4">
        <v>0.89778007110091274</v>
      </c>
      <c r="M3234" s="4">
        <v>0.10221992889908731</v>
      </c>
      <c r="N3234">
        <v>8</v>
      </c>
    </row>
    <row r="3235" spans="1:14" x14ac:dyDescent="0.35">
      <c r="A3235" s="1">
        <v>3415</v>
      </c>
      <c r="B3235">
        <v>9</v>
      </c>
      <c r="C3235">
        <v>68</v>
      </c>
      <c r="D3235">
        <v>5</v>
      </c>
      <c r="E3235">
        <v>0</v>
      </c>
      <c r="F3235">
        <v>0</v>
      </c>
      <c r="G3235">
        <v>11</v>
      </c>
      <c r="H3235">
        <v>2</v>
      </c>
      <c r="I3235">
        <v>3000</v>
      </c>
      <c r="J3235">
        <v>11</v>
      </c>
      <c r="K3235">
        <v>0</v>
      </c>
      <c r="L3235" s="4">
        <v>0.89792982358580276</v>
      </c>
      <c r="M3235" s="4">
        <v>0.1020701764141972</v>
      </c>
      <c r="N3235">
        <v>8</v>
      </c>
    </row>
    <row r="3236" spans="1:14" x14ac:dyDescent="0.35">
      <c r="A3236" s="1">
        <v>3894</v>
      </c>
      <c r="B3236">
        <v>7</v>
      </c>
      <c r="C3236">
        <v>60</v>
      </c>
      <c r="D3236">
        <v>1</v>
      </c>
      <c r="E3236">
        <v>0</v>
      </c>
      <c r="F3236">
        <v>3</v>
      </c>
      <c r="G3236">
        <v>3</v>
      </c>
      <c r="H3236">
        <v>3</v>
      </c>
      <c r="I3236">
        <v>0.01</v>
      </c>
      <c r="J3236">
        <v>4</v>
      </c>
      <c r="K3236">
        <v>0</v>
      </c>
      <c r="L3236" s="4">
        <v>0.89793280930466202</v>
      </c>
      <c r="M3236" s="4">
        <v>0.102067190695338</v>
      </c>
      <c r="N3236">
        <v>8</v>
      </c>
    </row>
    <row r="3237" spans="1:14" x14ac:dyDescent="0.35">
      <c r="A3237" s="1">
        <v>8</v>
      </c>
      <c r="B3237">
        <v>6</v>
      </c>
      <c r="C3237">
        <v>51</v>
      </c>
      <c r="D3237">
        <v>3</v>
      </c>
      <c r="E3237">
        <v>1</v>
      </c>
      <c r="F3237">
        <v>1</v>
      </c>
      <c r="G3237">
        <v>5</v>
      </c>
      <c r="H3237">
        <v>3</v>
      </c>
      <c r="I3237">
        <v>0.01</v>
      </c>
      <c r="J3237">
        <v>7</v>
      </c>
      <c r="K3237">
        <v>1</v>
      </c>
      <c r="L3237" s="4">
        <v>0.8979793726184464</v>
      </c>
      <c r="M3237" s="4">
        <v>0.1020206273815536</v>
      </c>
      <c r="N3237">
        <v>8</v>
      </c>
    </row>
    <row r="3238" spans="1:14" x14ac:dyDescent="0.35">
      <c r="A3238" s="1">
        <v>1385</v>
      </c>
      <c r="B3238">
        <v>9</v>
      </c>
      <c r="C3238">
        <v>64</v>
      </c>
      <c r="D3238">
        <v>1</v>
      </c>
      <c r="E3238">
        <v>1</v>
      </c>
      <c r="F3238">
        <v>3</v>
      </c>
      <c r="G3238">
        <v>3</v>
      </c>
      <c r="H3238">
        <v>2</v>
      </c>
      <c r="I3238">
        <v>5000</v>
      </c>
      <c r="J3238">
        <v>1</v>
      </c>
      <c r="K3238">
        <v>0</v>
      </c>
      <c r="L3238" s="4">
        <v>0.89798090667468222</v>
      </c>
      <c r="M3238" s="4">
        <v>0.10201909332531781</v>
      </c>
      <c r="N3238">
        <v>8</v>
      </c>
    </row>
    <row r="3239" spans="1:14" x14ac:dyDescent="0.35">
      <c r="A3239" s="1">
        <v>2805</v>
      </c>
      <c r="B3239">
        <v>8</v>
      </c>
      <c r="C3239">
        <v>54</v>
      </c>
      <c r="D3239">
        <v>5</v>
      </c>
      <c r="E3239">
        <v>2</v>
      </c>
      <c r="F3239">
        <v>1</v>
      </c>
      <c r="G3239">
        <v>7</v>
      </c>
      <c r="H3239">
        <v>2</v>
      </c>
      <c r="I3239">
        <v>2000.01</v>
      </c>
      <c r="J3239">
        <v>9</v>
      </c>
      <c r="K3239">
        <v>0</v>
      </c>
      <c r="L3239" s="4">
        <v>0.89819387218155455</v>
      </c>
      <c r="M3239" s="4">
        <v>0.1018061278184455</v>
      </c>
      <c r="N3239">
        <v>8</v>
      </c>
    </row>
    <row r="3240" spans="1:14" x14ac:dyDescent="0.35">
      <c r="A3240" s="1">
        <v>2983</v>
      </c>
      <c r="B3240">
        <v>7</v>
      </c>
      <c r="C3240">
        <v>51</v>
      </c>
      <c r="D3240">
        <v>0</v>
      </c>
      <c r="E3240">
        <v>2</v>
      </c>
      <c r="F3240">
        <v>3</v>
      </c>
      <c r="G3240">
        <v>8</v>
      </c>
      <c r="H3240">
        <v>2</v>
      </c>
      <c r="I3240">
        <v>1425</v>
      </c>
      <c r="J3240">
        <v>5</v>
      </c>
      <c r="K3240">
        <v>0</v>
      </c>
      <c r="L3240" s="4">
        <v>0.89820197080450415</v>
      </c>
      <c r="M3240" s="4">
        <v>0.1017980291954959</v>
      </c>
      <c r="N3240">
        <v>8</v>
      </c>
    </row>
    <row r="3241" spans="1:14" x14ac:dyDescent="0.35">
      <c r="A3241" s="1">
        <v>286</v>
      </c>
      <c r="B3241">
        <v>5</v>
      </c>
      <c r="C3241">
        <v>51</v>
      </c>
      <c r="D3241">
        <v>5</v>
      </c>
      <c r="E3241">
        <v>0</v>
      </c>
      <c r="F3241">
        <v>3</v>
      </c>
      <c r="G3241">
        <v>3</v>
      </c>
      <c r="H3241">
        <v>2</v>
      </c>
      <c r="I3241">
        <v>850</v>
      </c>
      <c r="J3241">
        <v>6</v>
      </c>
      <c r="K3241">
        <v>0</v>
      </c>
      <c r="L3241" s="4">
        <v>0.89821919956318974</v>
      </c>
      <c r="M3241" s="4">
        <v>0.1017808004368102</v>
      </c>
      <c r="N3241">
        <v>8</v>
      </c>
    </row>
    <row r="3242" spans="1:14" x14ac:dyDescent="0.35">
      <c r="A3242" s="1">
        <v>3578</v>
      </c>
      <c r="B3242">
        <v>7</v>
      </c>
      <c r="C3242">
        <v>60</v>
      </c>
      <c r="D3242">
        <v>3</v>
      </c>
      <c r="E3242">
        <v>0</v>
      </c>
      <c r="F3242">
        <v>3</v>
      </c>
      <c r="G3242">
        <v>3</v>
      </c>
      <c r="H3242">
        <v>2</v>
      </c>
      <c r="I3242">
        <v>2000</v>
      </c>
      <c r="J3242">
        <v>5</v>
      </c>
      <c r="K3242">
        <v>0</v>
      </c>
      <c r="L3242" s="4">
        <v>0.8983066850642365</v>
      </c>
      <c r="M3242" s="4">
        <v>0.1016933149357635</v>
      </c>
      <c r="N3242">
        <v>8</v>
      </c>
    </row>
    <row r="3243" spans="1:14" x14ac:dyDescent="0.35">
      <c r="A3243" s="1">
        <v>1948</v>
      </c>
      <c r="B3243">
        <v>5</v>
      </c>
      <c r="C3243">
        <v>46</v>
      </c>
      <c r="D3243">
        <v>5</v>
      </c>
      <c r="E3243">
        <v>1</v>
      </c>
      <c r="F3243">
        <v>2</v>
      </c>
      <c r="G3243">
        <v>1</v>
      </c>
      <c r="H3243">
        <v>3</v>
      </c>
      <c r="I3243">
        <v>0.01</v>
      </c>
      <c r="J3243">
        <v>4</v>
      </c>
      <c r="K3243">
        <v>0</v>
      </c>
      <c r="L3243" s="4">
        <v>0.89850723356449369</v>
      </c>
      <c r="M3243" s="4">
        <v>0.1014927664355063</v>
      </c>
      <c r="N3243">
        <v>8</v>
      </c>
    </row>
    <row r="3244" spans="1:14" x14ac:dyDescent="0.35">
      <c r="A3244" s="1">
        <v>1041</v>
      </c>
      <c r="B3244">
        <v>8</v>
      </c>
      <c r="C3244">
        <v>61</v>
      </c>
      <c r="D3244">
        <v>2</v>
      </c>
      <c r="E3244">
        <v>1</v>
      </c>
      <c r="F3244">
        <v>0</v>
      </c>
      <c r="G3244">
        <v>4</v>
      </c>
      <c r="H3244">
        <v>2</v>
      </c>
      <c r="I3244">
        <v>3250</v>
      </c>
      <c r="J3244">
        <v>6</v>
      </c>
      <c r="K3244">
        <v>0</v>
      </c>
      <c r="L3244" s="4">
        <v>0.89853906558193719</v>
      </c>
      <c r="M3244" s="4">
        <v>0.1014609344180628</v>
      </c>
      <c r="N3244">
        <v>8</v>
      </c>
    </row>
    <row r="3245" spans="1:14" x14ac:dyDescent="0.35">
      <c r="A3245" s="1">
        <v>4006</v>
      </c>
      <c r="B3245">
        <v>7</v>
      </c>
      <c r="C3245">
        <v>51</v>
      </c>
      <c r="D3245">
        <v>5</v>
      </c>
      <c r="E3245">
        <v>2</v>
      </c>
      <c r="F3245">
        <v>3</v>
      </c>
      <c r="G3245">
        <v>3</v>
      </c>
      <c r="H3245">
        <v>0</v>
      </c>
      <c r="I3245">
        <v>9089.69</v>
      </c>
      <c r="J3245">
        <v>5</v>
      </c>
      <c r="K3245">
        <v>0</v>
      </c>
      <c r="L3245" s="4">
        <v>0.89853911587258417</v>
      </c>
      <c r="M3245" s="4">
        <v>0.1014608841274158</v>
      </c>
      <c r="N3245">
        <v>8</v>
      </c>
    </row>
    <row r="3246" spans="1:14" x14ac:dyDescent="0.35">
      <c r="A3246" s="1">
        <v>1883</v>
      </c>
      <c r="B3246">
        <v>8</v>
      </c>
      <c r="C3246">
        <v>66</v>
      </c>
      <c r="D3246">
        <v>4</v>
      </c>
      <c r="E3246">
        <v>0</v>
      </c>
      <c r="F3246">
        <v>0</v>
      </c>
      <c r="G3246">
        <v>11</v>
      </c>
      <c r="H3246">
        <v>0</v>
      </c>
      <c r="I3246">
        <v>10000</v>
      </c>
      <c r="J3246">
        <v>4</v>
      </c>
      <c r="K3246">
        <v>0</v>
      </c>
      <c r="L3246" s="4">
        <v>0.89854776785809176</v>
      </c>
      <c r="M3246" s="4">
        <v>0.10145223214190829</v>
      </c>
      <c r="N3246">
        <v>8</v>
      </c>
    </row>
    <row r="3247" spans="1:14" x14ac:dyDescent="0.35">
      <c r="A3247" s="1">
        <v>1421</v>
      </c>
      <c r="B3247">
        <v>9</v>
      </c>
      <c r="C3247">
        <v>71</v>
      </c>
      <c r="D3247">
        <v>2</v>
      </c>
      <c r="E3247">
        <v>0</v>
      </c>
      <c r="F3247">
        <v>1</v>
      </c>
      <c r="G3247">
        <v>7</v>
      </c>
      <c r="H3247">
        <v>1</v>
      </c>
      <c r="I3247">
        <v>40000</v>
      </c>
      <c r="J3247">
        <v>9</v>
      </c>
      <c r="K3247">
        <v>0</v>
      </c>
      <c r="L3247" s="4">
        <v>0.89857170376371465</v>
      </c>
      <c r="M3247" s="4">
        <v>0.1014282962362854</v>
      </c>
      <c r="N3247">
        <v>8</v>
      </c>
    </row>
    <row r="3248" spans="1:14" x14ac:dyDescent="0.35">
      <c r="A3248" s="1">
        <v>1596</v>
      </c>
      <c r="B3248">
        <v>6</v>
      </c>
      <c r="C3248">
        <v>57</v>
      </c>
      <c r="D3248">
        <v>5</v>
      </c>
      <c r="E3248">
        <v>0</v>
      </c>
      <c r="F3248">
        <v>0</v>
      </c>
      <c r="G3248">
        <v>11</v>
      </c>
      <c r="H3248">
        <v>1</v>
      </c>
      <c r="I3248">
        <v>20607.900000000001</v>
      </c>
      <c r="J3248">
        <v>3</v>
      </c>
      <c r="K3248">
        <v>0</v>
      </c>
      <c r="L3248" s="4">
        <v>0.89858211846932134</v>
      </c>
      <c r="M3248" s="4">
        <v>0.1014178815306786</v>
      </c>
      <c r="N3248">
        <v>8</v>
      </c>
    </row>
    <row r="3249" spans="1:14" x14ac:dyDescent="0.35">
      <c r="A3249" s="1">
        <v>2432</v>
      </c>
      <c r="B3249">
        <v>8</v>
      </c>
      <c r="C3249">
        <v>65</v>
      </c>
      <c r="D3249">
        <v>1</v>
      </c>
      <c r="E3249">
        <v>0</v>
      </c>
      <c r="F3249">
        <v>3</v>
      </c>
      <c r="G3249">
        <v>3</v>
      </c>
      <c r="H3249">
        <v>2</v>
      </c>
      <c r="I3249">
        <v>50</v>
      </c>
      <c r="J3249">
        <v>7</v>
      </c>
      <c r="K3249">
        <v>0</v>
      </c>
      <c r="L3249" s="4">
        <v>0.89877333695937789</v>
      </c>
      <c r="M3249" s="4">
        <v>0.10122666304062219</v>
      </c>
      <c r="N3249">
        <v>8</v>
      </c>
    </row>
    <row r="3250" spans="1:14" x14ac:dyDescent="0.35">
      <c r="A3250" s="1">
        <v>1167</v>
      </c>
      <c r="B3250">
        <v>9</v>
      </c>
      <c r="C3250">
        <v>70</v>
      </c>
      <c r="D3250">
        <v>2</v>
      </c>
      <c r="E3250">
        <v>0</v>
      </c>
      <c r="F3250">
        <v>0</v>
      </c>
      <c r="G3250">
        <v>4</v>
      </c>
      <c r="H3250">
        <v>2</v>
      </c>
      <c r="I3250">
        <v>3000</v>
      </c>
      <c r="J3250">
        <v>5</v>
      </c>
      <c r="K3250">
        <v>1</v>
      </c>
      <c r="L3250" s="4">
        <v>0.89890850980634684</v>
      </c>
      <c r="M3250" s="4">
        <v>0.1010914901936532</v>
      </c>
      <c r="N3250">
        <v>8</v>
      </c>
    </row>
    <row r="3251" spans="1:14" x14ac:dyDescent="0.35">
      <c r="A3251" s="1">
        <v>984</v>
      </c>
      <c r="B3251">
        <v>7</v>
      </c>
      <c r="C3251">
        <v>58</v>
      </c>
      <c r="D3251">
        <v>0</v>
      </c>
      <c r="E3251">
        <v>1</v>
      </c>
      <c r="F3251">
        <v>3</v>
      </c>
      <c r="G3251">
        <v>3</v>
      </c>
      <c r="H3251">
        <v>0</v>
      </c>
      <c r="I3251">
        <v>6000</v>
      </c>
      <c r="J3251">
        <v>1</v>
      </c>
      <c r="K3251">
        <v>0</v>
      </c>
      <c r="L3251" s="4">
        <v>0.89893465480950585</v>
      </c>
      <c r="M3251" s="4">
        <v>0.1010653451904942</v>
      </c>
      <c r="N3251">
        <v>8</v>
      </c>
    </row>
    <row r="3252" spans="1:14" x14ac:dyDescent="0.35">
      <c r="A3252" s="1">
        <v>4428</v>
      </c>
      <c r="B3252">
        <v>5</v>
      </c>
      <c r="C3252">
        <v>52</v>
      </c>
      <c r="D3252">
        <v>3</v>
      </c>
      <c r="E3252">
        <v>0</v>
      </c>
      <c r="F3252">
        <v>3</v>
      </c>
      <c r="G3252">
        <v>3</v>
      </c>
      <c r="H3252">
        <v>2</v>
      </c>
      <c r="I3252">
        <v>3000</v>
      </c>
      <c r="J3252">
        <v>3</v>
      </c>
      <c r="K3252">
        <v>0</v>
      </c>
      <c r="L3252" s="4">
        <v>0.89894458100626573</v>
      </c>
      <c r="M3252" s="4">
        <v>0.1010554189937342</v>
      </c>
      <c r="N3252">
        <v>8</v>
      </c>
    </row>
    <row r="3253" spans="1:14" x14ac:dyDescent="0.35">
      <c r="A3253" s="1">
        <v>2519</v>
      </c>
      <c r="B3253">
        <v>5</v>
      </c>
      <c r="C3253">
        <v>48</v>
      </c>
      <c r="D3253">
        <v>1</v>
      </c>
      <c r="E3253">
        <v>1</v>
      </c>
      <c r="F3253">
        <v>3</v>
      </c>
      <c r="G3253">
        <v>3</v>
      </c>
      <c r="H3253">
        <v>2</v>
      </c>
      <c r="I3253">
        <v>2000</v>
      </c>
      <c r="J3253">
        <v>5</v>
      </c>
      <c r="K3253">
        <v>1</v>
      </c>
      <c r="L3253" s="4">
        <v>0.8990550784574155</v>
      </c>
      <c r="M3253" s="4">
        <v>0.1009449215425845</v>
      </c>
      <c r="N3253">
        <v>8</v>
      </c>
    </row>
    <row r="3254" spans="1:14" x14ac:dyDescent="0.35">
      <c r="A3254" s="1">
        <v>1997</v>
      </c>
      <c r="B3254">
        <v>5</v>
      </c>
      <c r="C3254">
        <v>55</v>
      </c>
      <c r="D3254">
        <v>3</v>
      </c>
      <c r="E3254">
        <v>0</v>
      </c>
      <c r="F3254">
        <v>0</v>
      </c>
      <c r="G3254">
        <v>4</v>
      </c>
      <c r="H3254">
        <v>0</v>
      </c>
      <c r="I3254">
        <v>6105.32</v>
      </c>
      <c r="J3254">
        <v>8</v>
      </c>
      <c r="K3254">
        <v>0</v>
      </c>
      <c r="L3254" s="4">
        <v>0.89906122608003713</v>
      </c>
      <c r="M3254" s="4">
        <v>0.10093877391996291</v>
      </c>
      <c r="N3254">
        <v>8</v>
      </c>
    </row>
    <row r="3255" spans="1:14" x14ac:dyDescent="0.35">
      <c r="A3255" s="1">
        <v>963</v>
      </c>
      <c r="B3255">
        <v>5</v>
      </c>
      <c r="C3255">
        <v>53</v>
      </c>
      <c r="D3255">
        <v>1</v>
      </c>
      <c r="E3255">
        <v>0</v>
      </c>
      <c r="F3255">
        <v>3</v>
      </c>
      <c r="G3255">
        <v>3</v>
      </c>
      <c r="H3255">
        <v>2</v>
      </c>
      <c r="I3255">
        <v>3053.35</v>
      </c>
      <c r="J3255">
        <v>7</v>
      </c>
      <c r="K3255">
        <v>0</v>
      </c>
      <c r="L3255" s="4">
        <v>0.89915717857088129</v>
      </c>
      <c r="M3255" s="4">
        <v>0.1008428214291187</v>
      </c>
      <c r="N3255">
        <v>8</v>
      </c>
    </row>
    <row r="3256" spans="1:14" x14ac:dyDescent="0.35">
      <c r="A3256" s="1">
        <v>3355</v>
      </c>
      <c r="B3256">
        <v>8</v>
      </c>
      <c r="C3256">
        <v>68</v>
      </c>
      <c r="D3256">
        <v>2</v>
      </c>
      <c r="E3256">
        <v>0</v>
      </c>
      <c r="F3256">
        <v>0</v>
      </c>
      <c r="G3256">
        <v>2</v>
      </c>
      <c r="H3256">
        <v>0</v>
      </c>
      <c r="I3256">
        <v>13884.25</v>
      </c>
      <c r="J3256">
        <v>8</v>
      </c>
      <c r="K3256">
        <v>0</v>
      </c>
      <c r="L3256" s="4">
        <v>0.89917852931374798</v>
      </c>
      <c r="M3256" s="4">
        <v>0.100821470686252</v>
      </c>
      <c r="N3256">
        <v>8</v>
      </c>
    </row>
    <row r="3257" spans="1:14" x14ac:dyDescent="0.35">
      <c r="A3257" s="1">
        <v>2737</v>
      </c>
      <c r="B3257">
        <v>5</v>
      </c>
      <c r="C3257">
        <v>48</v>
      </c>
      <c r="D3257">
        <v>1</v>
      </c>
      <c r="E3257">
        <v>1</v>
      </c>
      <c r="F3257">
        <v>1</v>
      </c>
      <c r="G3257">
        <v>5</v>
      </c>
      <c r="H3257">
        <v>3</v>
      </c>
      <c r="I3257">
        <v>0.01</v>
      </c>
      <c r="J3257">
        <v>5</v>
      </c>
      <c r="K3257">
        <v>0</v>
      </c>
      <c r="L3257" s="4">
        <v>0.89917874031797507</v>
      </c>
      <c r="M3257" s="4">
        <v>0.10082125968202491</v>
      </c>
      <c r="N3257">
        <v>8</v>
      </c>
    </row>
    <row r="3258" spans="1:14" x14ac:dyDescent="0.35">
      <c r="A3258" s="1">
        <v>3206</v>
      </c>
      <c r="B3258">
        <v>6</v>
      </c>
      <c r="C3258">
        <v>52</v>
      </c>
      <c r="D3258">
        <v>3</v>
      </c>
      <c r="E3258">
        <v>1</v>
      </c>
      <c r="F3258">
        <v>2</v>
      </c>
      <c r="G3258">
        <v>1</v>
      </c>
      <c r="H3258">
        <v>2</v>
      </c>
      <c r="I3258">
        <v>1000</v>
      </c>
      <c r="J3258">
        <v>13</v>
      </c>
      <c r="K3258">
        <v>0</v>
      </c>
      <c r="L3258" s="4">
        <v>0.89919206782658068</v>
      </c>
      <c r="M3258" s="4">
        <v>0.1008079321734193</v>
      </c>
      <c r="N3258">
        <v>8</v>
      </c>
    </row>
    <row r="3259" spans="1:14" x14ac:dyDescent="0.35">
      <c r="A3259" s="1">
        <v>1774</v>
      </c>
      <c r="B3259">
        <v>5</v>
      </c>
      <c r="C3259">
        <v>51</v>
      </c>
      <c r="D3259">
        <v>5</v>
      </c>
      <c r="E3259">
        <v>0</v>
      </c>
      <c r="F3259">
        <v>1</v>
      </c>
      <c r="G3259">
        <v>7</v>
      </c>
      <c r="H3259">
        <v>3</v>
      </c>
      <c r="I3259">
        <v>0.01</v>
      </c>
      <c r="J3259">
        <v>5</v>
      </c>
      <c r="K3259">
        <v>1</v>
      </c>
      <c r="L3259" s="4">
        <v>0.89929059383431798</v>
      </c>
      <c r="M3259" s="4">
        <v>0.100709406165682</v>
      </c>
      <c r="N3259">
        <v>8</v>
      </c>
    </row>
    <row r="3260" spans="1:14" x14ac:dyDescent="0.35">
      <c r="A3260" s="1">
        <v>1453</v>
      </c>
      <c r="B3260">
        <v>6</v>
      </c>
      <c r="C3260">
        <v>57</v>
      </c>
      <c r="D3260">
        <v>1</v>
      </c>
      <c r="E3260">
        <v>0</v>
      </c>
      <c r="F3260">
        <v>3</v>
      </c>
      <c r="G3260">
        <v>3</v>
      </c>
      <c r="H3260">
        <v>2</v>
      </c>
      <c r="I3260">
        <v>1500</v>
      </c>
      <c r="J3260">
        <v>5</v>
      </c>
      <c r="K3260">
        <v>0</v>
      </c>
      <c r="L3260" s="4">
        <v>0.89934301641118242</v>
      </c>
      <c r="M3260" s="4">
        <v>0.1006569835888176</v>
      </c>
      <c r="N3260">
        <v>8</v>
      </c>
    </row>
    <row r="3261" spans="1:14" x14ac:dyDescent="0.35">
      <c r="A3261" s="1">
        <v>1099</v>
      </c>
      <c r="B3261">
        <v>6</v>
      </c>
      <c r="C3261">
        <v>57</v>
      </c>
      <c r="D3261">
        <v>4</v>
      </c>
      <c r="E3261">
        <v>0</v>
      </c>
      <c r="F3261">
        <v>0</v>
      </c>
      <c r="G3261">
        <v>4</v>
      </c>
      <c r="H3261">
        <v>2</v>
      </c>
      <c r="I3261">
        <v>3000</v>
      </c>
      <c r="J3261">
        <v>2</v>
      </c>
      <c r="K3261">
        <v>0</v>
      </c>
      <c r="L3261" s="4">
        <v>0.89939379589324564</v>
      </c>
      <c r="M3261" s="4">
        <v>0.1006062041067544</v>
      </c>
      <c r="N3261">
        <v>8</v>
      </c>
    </row>
    <row r="3262" spans="1:14" x14ac:dyDescent="0.35">
      <c r="A3262" s="1">
        <v>2174</v>
      </c>
      <c r="B3262">
        <v>6</v>
      </c>
      <c r="C3262">
        <v>59</v>
      </c>
      <c r="D3262">
        <v>0</v>
      </c>
      <c r="E3262">
        <v>0</v>
      </c>
      <c r="F3262">
        <v>3</v>
      </c>
      <c r="G3262">
        <v>3</v>
      </c>
      <c r="H3262">
        <v>0</v>
      </c>
      <c r="I3262">
        <v>6000</v>
      </c>
      <c r="J3262">
        <v>2</v>
      </c>
      <c r="K3262">
        <v>0</v>
      </c>
      <c r="L3262" s="4">
        <v>0.89958053955667561</v>
      </c>
      <c r="M3262" s="4">
        <v>0.10041946044332439</v>
      </c>
      <c r="N3262">
        <v>8</v>
      </c>
    </row>
    <row r="3263" spans="1:14" x14ac:dyDescent="0.35">
      <c r="A3263" s="1">
        <v>1314</v>
      </c>
      <c r="B3263">
        <v>4</v>
      </c>
      <c r="C3263">
        <v>51</v>
      </c>
      <c r="D3263">
        <v>3</v>
      </c>
      <c r="E3263">
        <v>0</v>
      </c>
      <c r="F3263">
        <v>0</v>
      </c>
      <c r="G3263">
        <v>4</v>
      </c>
      <c r="H3263">
        <v>0</v>
      </c>
      <c r="I3263">
        <v>6000</v>
      </c>
      <c r="J3263">
        <v>5</v>
      </c>
      <c r="K3263">
        <v>0</v>
      </c>
      <c r="L3263" s="4">
        <v>0.89969891160403392</v>
      </c>
      <c r="M3263" s="4">
        <v>0.1003010883959661</v>
      </c>
      <c r="N3263">
        <v>8</v>
      </c>
    </row>
    <row r="3264" spans="1:14" x14ac:dyDescent="0.35">
      <c r="A3264" s="1">
        <v>891</v>
      </c>
      <c r="B3264">
        <v>11</v>
      </c>
      <c r="C3264">
        <v>76</v>
      </c>
      <c r="D3264">
        <v>4</v>
      </c>
      <c r="E3264">
        <v>0</v>
      </c>
      <c r="F3264">
        <v>3</v>
      </c>
      <c r="G3264">
        <v>3</v>
      </c>
      <c r="H3264">
        <v>2</v>
      </c>
      <c r="I3264">
        <v>1000</v>
      </c>
      <c r="J3264">
        <v>4</v>
      </c>
      <c r="K3264">
        <v>0</v>
      </c>
      <c r="L3264" s="4">
        <v>0.89985926038208941</v>
      </c>
      <c r="M3264" s="4">
        <v>0.1001407396179106</v>
      </c>
      <c r="N3264">
        <v>8</v>
      </c>
    </row>
    <row r="3265" spans="1:14" x14ac:dyDescent="0.35">
      <c r="A3265" s="1">
        <v>1304</v>
      </c>
      <c r="B3265">
        <v>6</v>
      </c>
      <c r="C3265">
        <v>51</v>
      </c>
      <c r="D3265">
        <v>5</v>
      </c>
      <c r="E3265">
        <v>1</v>
      </c>
      <c r="F3265">
        <v>0</v>
      </c>
      <c r="G3265">
        <v>4</v>
      </c>
      <c r="H3265">
        <v>3</v>
      </c>
      <c r="I3265">
        <v>0.01</v>
      </c>
      <c r="J3265">
        <v>5</v>
      </c>
      <c r="K3265">
        <v>0</v>
      </c>
      <c r="L3265" s="4">
        <v>0.89991072080160095</v>
      </c>
      <c r="M3265" s="4">
        <v>0.10008927919839899</v>
      </c>
      <c r="N3265">
        <v>8</v>
      </c>
    </row>
    <row r="3266" spans="1:14" x14ac:dyDescent="0.35">
      <c r="A3266" s="1">
        <v>791</v>
      </c>
      <c r="B3266">
        <v>8</v>
      </c>
      <c r="C3266">
        <v>64</v>
      </c>
      <c r="D3266">
        <v>4</v>
      </c>
      <c r="E3266">
        <v>0</v>
      </c>
      <c r="F3266">
        <v>3</v>
      </c>
      <c r="G3266">
        <v>3</v>
      </c>
      <c r="H3266">
        <v>2</v>
      </c>
      <c r="I3266">
        <v>3000</v>
      </c>
      <c r="J3266">
        <v>8</v>
      </c>
      <c r="K3266">
        <v>0</v>
      </c>
      <c r="L3266" s="4">
        <v>0.89992254580226994</v>
      </c>
      <c r="M3266" s="4">
        <v>0.10007745419773011</v>
      </c>
      <c r="N3266">
        <v>8</v>
      </c>
    </row>
    <row r="3267" spans="1:14" x14ac:dyDescent="0.35">
      <c r="A3267" s="1">
        <v>2067</v>
      </c>
      <c r="B3267">
        <v>4</v>
      </c>
      <c r="C3267">
        <v>47</v>
      </c>
      <c r="D3267">
        <v>3</v>
      </c>
      <c r="E3267">
        <v>0</v>
      </c>
      <c r="F3267">
        <v>3</v>
      </c>
      <c r="G3267">
        <v>8</v>
      </c>
      <c r="H3267">
        <v>3</v>
      </c>
      <c r="I3267">
        <v>0.01</v>
      </c>
      <c r="J3267">
        <v>9</v>
      </c>
      <c r="K3267">
        <v>0</v>
      </c>
      <c r="L3267" s="4">
        <v>0.8999782054779556</v>
      </c>
      <c r="M3267" s="4">
        <v>0.1000217945220444</v>
      </c>
      <c r="N3267">
        <v>8</v>
      </c>
    </row>
    <row r="3268" spans="1:14" x14ac:dyDescent="0.35">
      <c r="A3268" s="1">
        <v>3628</v>
      </c>
      <c r="B3268">
        <v>10</v>
      </c>
      <c r="C3268">
        <v>72</v>
      </c>
      <c r="D3268">
        <v>3</v>
      </c>
      <c r="E3268">
        <v>0</v>
      </c>
      <c r="F3268">
        <v>3</v>
      </c>
      <c r="G3268">
        <v>8</v>
      </c>
      <c r="H3268">
        <v>2</v>
      </c>
      <c r="I3268">
        <v>5000</v>
      </c>
      <c r="J3268">
        <v>1</v>
      </c>
      <c r="K3268">
        <v>0</v>
      </c>
      <c r="L3268" s="4">
        <v>0.90000125557885191</v>
      </c>
      <c r="M3268" s="4">
        <v>9.9998744421148048E-2</v>
      </c>
      <c r="N3268">
        <v>8</v>
      </c>
    </row>
    <row r="3269" spans="1:14" x14ac:dyDescent="0.35">
      <c r="A3269" s="1">
        <v>1759</v>
      </c>
      <c r="B3269">
        <v>9</v>
      </c>
      <c r="C3269">
        <v>66</v>
      </c>
      <c r="D3269">
        <v>4</v>
      </c>
      <c r="E3269">
        <v>1</v>
      </c>
      <c r="F3269">
        <v>0</v>
      </c>
      <c r="G3269">
        <v>4</v>
      </c>
      <c r="H3269">
        <v>0</v>
      </c>
      <c r="I3269">
        <v>8315</v>
      </c>
      <c r="J3269">
        <v>4</v>
      </c>
      <c r="K3269">
        <v>0</v>
      </c>
      <c r="L3269" s="4">
        <v>0.90000135145293081</v>
      </c>
      <c r="M3269" s="4">
        <v>9.9998648547069219E-2</v>
      </c>
      <c r="N3269">
        <v>8</v>
      </c>
    </row>
    <row r="3270" spans="1:14" x14ac:dyDescent="0.35">
      <c r="A3270" s="1">
        <v>3998</v>
      </c>
      <c r="B3270">
        <v>9</v>
      </c>
      <c r="C3270">
        <v>65</v>
      </c>
      <c r="D3270">
        <v>5</v>
      </c>
      <c r="E3270">
        <v>1</v>
      </c>
      <c r="F3270">
        <v>2</v>
      </c>
      <c r="G3270">
        <v>1</v>
      </c>
      <c r="H3270">
        <v>0</v>
      </c>
      <c r="I3270">
        <v>10626.68</v>
      </c>
      <c r="J3270">
        <v>6</v>
      </c>
      <c r="K3270">
        <v>0</v>
      </c>
      <c r="L3270" s="4">
        <v>0.90002071056197597</v>
      </c>
      <c r="M3270" s="4">
        <v>9.9979289438024047E-2</v>
      </c>
      <c r="N3270">
        <v>8</v>
      </c>
    </row>
    <row r="3271" spans="1:14" x14ac:dyDescent="0.35">
      <c r="A3271" s="1">
        <v>1959</v>
      </c>
      <c r="B3271">
        <v>6</v>
      </c>
      <c r="C3271">
        <v>47</v>
      </c>
      <c r="D3271">
        <v>5</v>
      </c>
      <c r="E3271">
        <v>2</v>
      </c>
      <c r="F3271">
        <v>0</v>
      </c>
      <c r="G3271">
        <v>4</v>
      </c>
      <c r="H3271">
        <v>2</v>
      </c>
      <c r="I3271">
        <v>5000</v>
      </c>
      <c r="J3271">
        <v>6</v>
      </c>
      <c r="K3271">
        <v>0</v>
      </c>
      <c r="L3271" s="4">
        <v>0.90003928221179563</v>
      </c>
      <c r="M3271" s="4">
        <v>9.9960717788204381E-2</v>
      </c>
      <c r="N3271">
        <v>8</v>
      </c>
    </row>
    <row r="3272" spans="1:14" x14ac:dyDescent="0.35">
      <c r="A3272" s="1">
        <v>4193</v>
      </c>
      <c r="B3272">
        <v>5</v>
      </c>
      <c r="C3272">
        <v>50</v>
      </c>
      <c r="D3272">
        <v>2</v>
      </c>
      <c r="E3272">
        <v>1</v>
      </c>
      <c r="F3272">
        <v>0</v>
      </c>
      <c r="G3272">
        <v>11</v>
      </c>
      <c r="H3272">
        <v>0</v>
      </c>
      <c r="I3272">
        <v>6000.01</v>
      </c>
      <c r="J3272">
        <v>4</v>
      </c>
      <c r="K3272">
        <v>0</v>
      </c>
      <c r="L3272" s="4">
        <v>0.90014869101881256</v>
      </c>
      <c r="M3272" s="4">
        <v>9.9851308981187395E-2</v>
      </c>
      <c r="N3272">
        <v>8</v>
      </c>
    </row>
    <row r="3273" spans="1:14" x14ac:dyDescent="0.35">
      <c r="A3273" s="1">
        <v>4267</v>
      </c>
      <c r="B3273">
        <v>6</v>
      </c>
      <c r="C3273">
        <v>51</v>
      </c>
      <c r="D3273">
        <v>4</v>
      </c>
      <c r="E3273">
        <v>1</v>
      </c>
      <c r="F3273">
        <v>3</v>
      </c>
      <c r="G3273">
        <v>3</v>
      </c>
      <c r="H3273">
        <v>2</v>
      </c>
      <c r="I3273">
        <v>1050</v>
      </c>
      <c r="J3273">
        <v>8</v>
      </c>
      <c r="K3273">
        <v>0</v>
      </c>
      <c r="L3273" s="4">
        <v>0.90026359389993937</v>
      </c>
      <c r="M3273" s="4">
        <v>9.9736406100060598E-2</v>
      </c>
      <c r="N3273">
        <v>8</v>
      </c>
    </row>
    <row r="3274" spans="1:14" x14ac:dyDescent="0.35">
      <c r="A3274" s="1">
        <v>2459</v>
      </c>
      <c r="B3274">
        <v>8</v>
      </c>
      <c r="C3274">
        <v>60</v>
      </c>
      <c r="D3274">
        <v>2</v>
      </c>
      <c r="E3274">
        <v>1</v>
      </c>
      <c r="F3274">
        <v>3</v>
      </c>
      <c r="G3274">
        <v>3</v>
      </c>
      <c r="H3274">
        <v>2</v>
      </c>
      <c r="I3274">
        <v>100.01</v>
      </c>
      <c r="J3274">
        <v>10</v>
      </c>
      <c r="K3274">
        <v>0</v>
      </c>
      <c r="L3274" s="4">
        <v>0.90030719812194093</v>
      </c>
      <c r="M3274" s="4">
        <v>9.9692801878059081E-2</v>
      </c>
      <c r="N3274">
        <v>8</v>
      </c>
    </row>
    <row r="3275" spans="1:14" x14ac:dyDescent="0.35">
      <c r="A3275" s="1">
        <v>1943</v>
      </c>
      <c r="B3275">
        <v>9</v>
      </c>
      <c r="C3275">
        <v>65</v>
      </c>
      <c r="D3275">
        <v>1</v>
      </c>
      <c r="E3275">
        <v>1</v>
      </c>
      <c r="F3275">
        <v>1</v>
      </c>
      <c r="G3275">
        <v>7</v>
      </c>
      <c r="H3275">
        <v>2</v>
      </c>
      <c r="I3275">
        <v>3000</v>
      </c>
      <c r="J3275">
        <v>3</v>
      </c>
      <c r="K3275">
        <v>0</v>
      </c>
      <c r="L3275" s="4">
        <v>0.90033238301021723</v>
      </c>
      <c r="M3275" s="4">
        <v>9.9667616989782715E-2</v>
      </c>
      <c r="N3275">
        <v>8</v>
      </c>
    </row>
    <row r="3276" spans="1:14" x14ac:dyDescent="0.35">
      <c r="A3276" s="1">
        <v>1511</v>
      </c>
      <c r="B3276">
        <v>9</v>
      </c>
      <c r="C3276">
        <v>69</v>
      </c>
      <c r="D3276">
        <v>2</v>
      </c>
      <c r="E3276">
        <v>0</v>
      </c>
      <c r="F3276">
        <v>3</v>
      </c>
      <c r="G3276">
        <v>3</v>
      </c>
      <c r="H3276">
        <v>2</v>
      </c>
      <c r="I3276">
        <v>3400</v>
      </c>
      <c r="J3276">
        <v>7</v>
      </c>
      <c r="K3276">
        <v>0</v>
      </c>
      <c r="L3276" s="4">
        <v>0.90038877235770709</v>
      </c>
      <c r="M3276" s="4">
        <v>9.9611227642292924E-2</v>
      </c>
      <c r="N3276">
        <v>8</v>
      </c>
    </row>
    <row r="3277" spans="1:14" x14ac:dyDescent="0.35">
      <c r="A3277" s="1">
        <v>1679</v>
      </c>
      <c r="B3277">
        <v>6</v>
      </c>
      <c r="C3277">
        <v>60</v>
      </c>
      <c r="D3277">
        <v>0</v>
      </c>
      <c r="E3277">
        <v>0</v>
      </c>
      <c r="F3277">
        <v>0</v>
      </c>
      <c r="G3277">
        <v>11</v>
      </c>
      <c r="H3277">
        <v>0</v>
      </c>
      <c r="I3277">
        <v>10000</v>
      </c>
      <c r="J3277">
        <v>4</v>
      </c>
      <c r="K3277">
        <v>0</v>
      </c>
      <c r="L3277" s="4">
        <v>0.90046236836607996</v>
      </c>
      <c r="M3277" s="4">
        <v>9.9537631633920057E-2</v>
      </c>
      <c r="N3277">
        <v>8</v>
      </c>
    </row>
    <row r="3278" spans="1:14" x14ac:dyDescent="0.35">
      <c r="A3278" s="1">
        <v>445</v>
      </c>
      <c r="B3278">
        <v>12</v>
      </c>
      <c r="C3278">
        <v>78</v>
      </c>
      <c r="D3278">
        <v>0</v>
      </c>
      <c r="E3278">
        <v>1</v>
      </c>
      <c r="F3278">
        <v>1</v>
      </c>
      <c r="G3278">
        <v>7</v>
      </c>
      <c r="H3278">
        <v>2</v>
      </c>
      <c r="I3278">
        <v>1500</v>
      </c>
      <c r="J3278">
        <v>20</v>
      </c>
      <c r="K3278">
        <v>0</v>
      </c>
      <c r="L3278" s="4">
        <v>0.90081382284404277</v>
      </c>
      <c r="M3278" s="4">
        <v>9.9186177155957275E-2</v>
      </c>
      <c r="N3278">
        <v>8</v>
      </c>
    </row>
    <row r="3279" spans="1:14" x14ac:dyDescent="0.35">
      <c r="A3279" s="1">
        <v>3925</v>
      </c>
      <c r="B3279">
        <v>10</v>
      </c>
      <c r="C3279">
        <v>73</v>
      </c>
      <c r="D3279">
        <v>1</v>
      </c>
      <c r="E3279">
        <v>0</v>
      </c>
      <c r="F3279">
        <v>3</v>
      </c>
      <c r="G3279">
        <v>8</v>
      </c>
      <c r="H3279">
        <v>2</v>
      </c>
      <c r="I3279">
        <v>1000</v>
      </c>
      <c r="J3279">
        <v>4</v>
      </c>
      <c r="K3279">
        <v>0</v>
      </c>
      <c r="L3279" s="4">
        <v>0.90091179787816267</v>
      </c>
      <c r="M3279" s="4">
        <v>9.9088202121837346E-2</v>
      </c>
      <c r="N3279">
        <v>8</v>
      </c>
    </row>
    <row r="3280" spans="1:14" x14ac:dyDescent="0.35">
      <c r="A3280" s="1">
        <v>172</v>
      </c>
      <c r="B3280">
        <v>9</v>
      </c>
      <c r="C3280">
        <v>73</v>
      </c>
      <c r="D3280">
        <v>0</v>
      </c>
      <c r="E3280">
        <v>0</v>
      </c>
      <c r="F3280">
        <v>0</v>
      </c>
      <c r="G3280">
        <v>4</v>
      </c>
      <c r="H3280">
        <v>0</v>
      </c>
      <c r="I3280">
        <v>15010.73</v>
      </c>
      <c r="J3280">
        <v>3</v>
      </c>
      <c r="K3280">
        <v>1</v>
      </c>
      <c r="L3280" s="4">
        <v>0.90098938068819157</v>
      </c>
      <c r="M3280" s="4">
        <v>9.9010619311808462E-2</v>
      </c>
      <c r="N3280">
        <v>8</v>
      </c>
    </row>
    <row r="3281" spans="1:14" x14ac:dyDescent="0.35">
      <c r="A3281" s="1">
        <v>1721</v>
      </c>
      <c r="B3281">
        <v>8</v>
      </c>
      <c r="C3281">
        <v>69</v>
      </c>
      <c r="D3281">
        <v>1</v>
      </c>
      <c r="E3281">
        <v>0</v>
      </c>
      <c r="F3281">
        <v>0</v>
      </c>
      <c r="G3281">
        <v>4</v>
      </c>
      <c r="H3281">
        <v>0</v>
      </c>
      <c r="I3281">
        <v>6000</v>
      </c>
      <c r="J3281">
        <v>36</v>
      </c>
      <c r="K3281">
        <v>0</v>
      </c>
      <c r="L3281" s="4">
        <v>0.90111738134702446</v>
      </c>
      <c r="M3281" s="4">
        <v>9.8882618652975554E-2</v>
      </c>
      <c r="N3281">
        <v>8</v>
      </c>
    </row>
    <row r="3282" spans="1:14" x14ac:dyDescent="0.35">
      <c r="A3282" s="1">
        <v>955</v>
      </c>
      <c r="B3282">
        <v>6</v>
      </c>
      <c r="C3282">
        <v>57</v>
      </c>
      <c r="D3282">
        <v>0</v>
      </c>
      <c r="E3282">
        <v>0</v>
      </c>
      <c r="F3282">
        <v>3</v>
      </c>
      <c r="G3282">
        <v>3</v>
      </c>
      <c r="H3282">
        <v>3</v>
      </c>
      <c r="I3282">
        <v>0.01</v>
      </c>
      <c r="J3282">
        <v>5</v>
      </c>
      <c r="K3282">
        <v>0</v>
      </c>
      <c r="L3282" s="4">
        <v>0.90115031586196059</v>
      </c>
      <c r="M3282" s="4">
        <v>9.8849684138039365E-2</v>
      </c>
      <c r="N3282">
        <v>8</v>
      </c>
    </row>
    <row r="3283" spans="1:14" x14ac:dyDescent="0.35">
      <c r="A3283" s="1">
        <v>3373</v>
      </c>
      <c r="B3283">
        <v>11</v>
      </c>
      <c r="C3283">
        <v>75</v>
      </c>
      <c r="D3283">
        <v>1</v>
      </c>
      <c r="E3283">
        <v>1</v>
      </c>
      <c r="F3283">
        <v>1</v>
      </c>
      <c r="G3283">
        <v>7</v>
      </c>
      <c r="H3283">
        <v>0</v>
      </c>
      <c r="I3283">
        <v>6053.82</v>
      </c>
      <c r="J3283">
        <v>12</v>
      </c>
      <c r="K3283">
        <v>0</v>
      </c>
      <c r="L3283" s="4">
        <v>0.90120788781785688</v>
      </c>
      <c r="M3283" s="4">
        <v>9.8792112182143177E-2</v>
      </c>
      <c r="N3283">
        <v>8</v>
      </c>
    </row>
    <row r="3284" spans="1:14" x14ac:dyDescent="0.35">
      <c r="A3284" s="1">
        <v>3703</v>
      </c>
      <c r="B3284">
        <v>5</v>
      </c>
      <c r="C3284">
        <v>48</v>
      </c>
      <c r="D3284">
        <v>2</v>
      </c>
      <c r="E3284">
        <v>1</v>
      </c>
      <c r="F3284">
        <v>3</v>
      </c>
      <c r="G3284">
        <v>3</v>
      </c>
      <c r="H3284">
        <v>2</v>
      </c>
      <c r="I3284">
        <v>50</v>
      </c>
      <c r="J3284">
        <v>9</v>
      </c>
      <c r="K3284">
        <v>0</v>
      </c>
      <c r="L3284" s="4">
        <v>0.90123950924921825</v>
      </c>
      <c r="M3284" s="4">
        <v>9.8760490750781749E-2</v>
      </c>
      <c r="N3284">
        <v>8</v>
      </c>
    </row>
    <row r="3285" spans="1:14" x14ac:dyDescent="0.35">
      <c r="A3285" s="1">
        <v>773</v>
      </c>
      <c r="B3285">
        <v>9</v>
      </c>
      <c r="C3285">
        <v>73</v>
      </c>
      <c r="D3285">
        <v>0</v>
      </c>
      <c r="E3285">
        <v>0</v>
      </c>
      <c r="F3285">
        <v>0</v>
      </c>
      <c r="G3285">
        <v>4</v>
      </c>
      <c r="H3285">
        <v>0</v>
      </c>
      <c r="I3285">
        <v>11500</v>
      </c>
      <c r="J3285">
        <v>5</v>
      </c>
      <c r="K3285">
        <v>0</v>
      </c>
      <c r="L3285" s="4">
        <v>0.901264380597253</v>
      </c>
      <c r="M3285" s="4">
        <v>9.8735619402746971E-2</v>
      </c>
      <c r="N3285">
        <v>8</v>
      </c>
    </row>
    <row r="3286" spans="1:14" x14ac:dyDescent="0.35">
      <c r="A3286" s="1">
        <v>1939</v>
      </c>
      <c r="B3286">
        <v>9</v>
      </c>
      <c r="C3286">
        <v>67</v>
      </c>
      <c r="D3286">
        <v>5</v>
      </c>
      <c r="E3286">
        <v>0</v>
      </c>
      <c r="F3286">
        <v>3</v>
      </c>
      <c r="G3286">
        <v>3</v>
      </c>
      <c r="H3286">
        <v>3</v>
      </c>
      <c r="I3286">
        <v>0.01</v>
      </c>
      <c r="J3286">
        <v>5</v>
      </c>
      <c r="K3286">
        <v>0</v>
      </c>
      <c r="L3286" s="4">
        <v>0.90133721757449081</v>
      </c>
      <c r="M3286" s="4">
        <v>9.8662782425509174E-2</v>
      </c>
      <c r="N3286">
        <v>8</v>
      </c>
    </row>
    <row r="3287" spans="1:14" x14ac:dyDescent="0.35">
      <c r="A3287" s="1">
        <v>3007</v>
      </c>
      <c r="B3287">
        <v>5</v>
      </c>
      <c r="C3287">
        <v>51</v>
      </c>
      <c r="D3287">
        <v>5</v>
      </c>
      <c r="E3287">
        <v>0</v>
      </c>
      <c r="F3287">
        <v>2</v>
      </c>
      <c r="G3287">
        <v>6</v>
      </c>
      <c r="H3287">
        <v>3</v>
      </c>
      <c r="I3287">
        <v>0.01</v>
      </c>
      <c r="J3287">
        <v>5</v>
      </c>
      <c r="K3287">
        <v>0</v>
      </c>
      <c r="L3287" s="4">
        <v>0.90134883201894123</v>
      </c>
      <c r="M3287" s="4">
        <v>9.8651167981058746E-2</v>
      </c>
      <c r="N3287">
        <v>8</v>
      </c>
    </row>
    <row r="3288" spans="1:14" x14ac:dyDescent="0.35">
      <c r="A3288" s="1">
        <v>4265</v>
      </c>
      <c r="B3288">
        <v>7</v>
      </c>
      <c r="C3288">
        <v>60</v>
      </c>
      <c r="D3288">
        <v>4</v>
      </c>
      <c r="E3288">
        <v>0</v>
      </c>
      <c r="F3288">
        <v>2</v>
      </c>
      <c r="G3288">
        <v>1</v>
      </c>
      <c r="H3288">
        <v>3</v>
      </c>
      <c r="I3288">
        <v>0.01</v>
      </c>
      <c r="J3288">
        <v>5</v>
      </c>
      <c r="K3288">
        <v>0</v>
      </c>
      <c r="L3288" s="4">
        <v>0.90138265017714692</v>
      </c>
      <c r="M3288" s="4">
        <v>9.8617349822853084E-2</v>
      </c>
      <c r="N3288">
        <v>8</v>
      </c>
    </row>
    <row r="3289" spans="1:14" x14ac:dyDescent="0.35">
      <c r="A3289" s="1">
        <v>4317</v>
      </c>
      <c r="B3289">
        <v>8</v>
      </c>
      <c r="C3289">
        <v>62</v>
      </c>
      <c r="D3289">
        <v>1</v>
      </c>
      <c r="E3289">
        <v>1</v>
      </c>
      <c r="F3289">
        <v>3</v>
      </c>
      <c r="G3289">
        <v>3</v>
      </c>
      <c r="H3289">
        <v>1</v>
      </c>
      <c r="I3289">
        <v>20173.349999999999</v>
      </c>
      <c r="J3289">
        <v>13</v>
      </c>
      <c r="K3289">
        <v>0</v>
      </c>
      <c r="L3289" s="4">
        <v>0.90154210262345991</v>
      </c>
      <c r="M3289" s="4">
        <v>9.8457897376540121E-2</v>
      </c>
      <c r="N3289">
        <v>8</v>
      </c>
    </row>
    <row r="3290" spans="1:14" x14ac:dyDescent="0.35">
      <c r="A3290" s="1">
        <v>248</v>
      </c>
      <c r="B3290">
        <v>5</v>
      </c>
      <c r="C3290">
        <v>53</v>
      </c>
      <c r="D3290">
        <v>5</v>
      </c>
      <c r="E3290">
        <v>0</v>
      </c>
      <c r="F3290">
        <v>0</v>
      </c>
      <c r="G3290">
        <v>4</v>
      </c>
      <c r="H3290">
        <v>2</v>
      </c>
      <c r="I3290">
        <v>500</v>
      </c>
      <c r="J3290">
        <v>9</v>
      </c>
      <c r="K3290">
        <v>0</v>
      </c>
      <c r="L3290" s="4">
        <v>0.90157637952617931</v>
      </c>
      <c r="M3290" s="4">
        <v>9.8423620473820653E-2</v>
      </c>
      <c r="N3290">
        <v>8</v>
      </c>
    </row>
    <row r="3291" spans="1:14" x14ac:dyDescent="0.35">
      <c r="A3291" s="1">
        <v>636</v>
      </c>
      <c r="B3291">
        <v>10</v>
      </c>
      <c r="C3291">
        <v>71</v>
      </c>
      <c r="D3291">
        <v>1</v>
      </c>
      <c r="E3291">
        <v>1</v>
      </c>
      <c r="F3291">
        <v>3</v>
      </c>
      <c r="G3291">
        <v>3</v>
      </c>
      <c r="H3291">
        <v>0</v>
      </c>
      <c r="I3291">
        <v>12000</v>
      </c>
      <c r="J3291">
        <v>30</v>
      </c>
      <c r="K3291">
        <v>0</v>
      </c>
      <c r="L3291" s="4">
        <v>0.90167002445156352</v>
      </c>
      <c r="M3291" s="4">
        <v>9.8329975548436449E-2</v>
      </c>
      <c r="N3291">
        <v>8</v>
      </c>
    </row>
    <row r="3292" spans="1:14" x14ac:dyDescent="0.35">
      <c r="A3292" s="1">
        <v>1944</v>
      </c>
      <c r="B3292">
        <v>7</v>
      </c>
      <c r="C3292">
        <v>62</v>
      </c>
      <c r="D3292">
        <v>4</v>
      </c>
      <c r="E3292">
        <v>0</v>
      </c>
      <c r="F3292">
        <v>1</v>
      </c>
      <c r="G3292">
        <v>12</v>
      </c>
      <c r="H3292">
        <v>0</v>
      </c>
      <c r="I3292">
        <v>8000</v>
      </c>
      <c r="J3292">
        <v>8</v>
      </c>
      <c r="K3292">
        <v>0</v>
      </c>
      <c r="L3292" s="4">
        <v>0.90169575404251501</v>
      </c>
      <c r="M3292" s="4">
        <v>9.8304245957485006E-2</v>
      </c>
      <c r="N3292">
        <v>8</v>
      </c>
    </row>
    <row r="3293" spans="1:14" x14ac:dyDescent="0.35">
      <c r="A3293" s="1">
        <v>6</v>
      </c>
      <c r="B3293">
        <v>4</v>
      </c>
      <c r="C3293">
        <v>50</v>
      </c>
      <c r="D3293">
        <v>0</v>
      </c>
      <c r="E3293">
        <v>0</v>
      </c>
      <c r="F3293">
        <v>1</v>
      </c>
      <c r="G3293">
        <v>12</v>
      </c>
      <c r="H3293">
        <v>2</v>
      </c>
      <c r="I3293">
        <v>5000</v>
      </c>
      <c r="J3293">
        <v>5</v>
      </c>
      <c r="K3293">
        <v>0</v>
      </c>
      <c r="L3293" s="4">
        <v>0.90174599911634312</v>
      </c>
      <c r="M3293" s="4">
        <v>9.825400088365692E-2</v>
      </c>
      <c r="N3293">
        <v>8</v>
      </c>
    </row>
    <row r="3294" spans="1:14" x14ac:dyDescent="0.35">
      <c r="A3294" s="1">
        <v>1885</v>
      </c>
      <c r="B3294">
        <v>7</v>
      </c>
      <c r="C3294">
        <v>63</v>
      </c>
      <c r="D3294">
        <v>2</v>
      </c>
      <c r="E3294">
        <v>0</v>
      </c>
      <c r="F3294">
        <v>1</v>
      </c>
      <c r="G3294">
        <v>12</v>
      </c>
      <c r="H3294">
        <v>0</v>
      </c>
      <c r="I3294">
        <v>12000</v>
      </c>
      <c r="J3294">
        <v>8</v>
      </c>
      <c r="K3294">
        <v>1</v>
      </c>
      <c r="L3294" s="4">
        <v>0.90179531339524055</v>
      </c>
      <c r="M3294" s="4">
        <v>9.8204686604759464E-2</v>
      </c>
      <c r="N3294">
        <v>8</v>
      </c>
    </row>
    <row r="3295" spans="1:14" x14ac:dyDescent="0.35">
      <c r="A3295" s="1">
        <v>2157</v>
      </c>
      <c r="B3295">
        <v>8</v>
      </c>
      <c r="C3295">
        <v>59</v>
      </c>
      <c r="D3295">
        <v>3</v>
      </c>
      <c r="E3295">
        <v>1</v>
      </c>
      <c r="F3295">
        <v>3</v>
      </c>
      <c r="G3295">
        <v>3</v>
      </c>
      <c r="H3295">
        <v>3</v>
      </c>
      <c r="I3295">
        <v>0.01</v>
      </c>
      <c r="J3295">
        <v>5</v>
      </c>
      <c r="K3295">
        <v>0</v>
      </c>
      <c r="L3295" s="4">
        <v>0.90179846535857622</v>
      </c>
      <c r="M3295" s="4">
        <v>9.8201534641423838E-2</v>
      </c>
      <c r="N3295">
        <v>8</v>
      </c>
    </row>
    <row r="3296" spans="1:14" x14ac:dyDescent="0.35">
      <c r="A3296" s="1">
        <v>3139</v>
      </c>
      <c r="B3296">
        <v>6</v>
      </c>
      <c r="C3296">
        <v>60</v>
      </c>
      <c r="D3296">
        <v>1</v>
      </c>
      <c r="E3296">
        <v>0</v>
      </c>
      <c r="F3296">
        <v>0</v>
      </c>
      <c r="G3296">
        <v>11</v>
      </c>
      <c r="H3296">
        <v>0</v>
      </c>
      <c r="I3296">
        <v>10578.37</v>
      </c>
      <c r="J3296">
        <v>12</v>
      </c>
      <c r="K3296">
        <v>0</v>
      </c>
      <c r="L3296" s="4">
        <v>0.90180674229324842</v>
      </c>
      <c r="M3296" s="4">
        <v>9.8193257706751594E-2</v>
      </c>
      <c r="N3296">
        <v>8</v>
      </c>
    </row>
    <row r="3297" spans="1:14" x14ac:dyDescent="0.35">
      <c r="A3297" s="1">
        <v>3758</v>
      </c>
      <c r="B3297">
        <v>4</v>
      </c>
      <c r="C3297">
        <v>50</v>
      </c>
      <c r="D3297">
        <v>3</v>
      </c>
      <c r="E3297">
        <v>0</v>
      </c>
      <c r="F3297">
        <v>0</v>
      </c>
      <c r="G3297">
        <v>2</v>
      </c>
      <c r="H3297">
        <v>2</v>
      </c>
      <c r="I3297">
        <v>5000</v>
      </c>
      <c r="J3297">
        <v>1</v>
      </c>
      <c r="K3297">
        <v>0</v>
      </c>
      <c r="L3297" s="4">
        <v>0.90181051769206366</v>
      </c>
      <c r="M3297" s="4">
        <v>9.8189482307936379E-2</v>
      </c>
      <c r="N3297">
        <v>8</v>
      </c>
    </row>
    <row r="3298" spans="1:14" x14ac:dyDescent="0.35">
      <c r="A3298" s="1">
        <v>761</v>
      </c>
      <c r="B3298">
        <v>6</v>
      </c>
      <c r="C3298">
        <v>52</v>
      </c>
      <c r="D3298">
        <v>2</v>
      </c>
      <c r="E3298">
        <v>1</v>
      </c>
      <c r="F3298">
        <v>3</v>
      </c>
      <c r="G3298">
        <v>3</v>
      </c>
      <c r="H3298">
        <v>2</v>
      </c>
      <c r="I3298">
        <v>125</v>
      </c>
      <c r="J3298">
        <v>1</v>
      </c>
      <c r="K3298">
        <v>0</v>
      </c>
      <c r="L3298" s="4">
        <v>0.90187301428125211</v>
      </c>
      <c r="M3298" s="4">
        <v>9.8126985718747853E-2</v>
      </c>
      <c r="N3298">
        <v>8</v>
      </c>
    </row>
    <row r="3299" spans="1:14" x14ac:dyDescent="0.35">
      <c r="A3299" s="1">
        <v>2961</v>
      </c>
      <c r="B3299">
        <v>10</v>
      </c>
      <c r="C3299">
        <v>75</v>
      </c>
      <c r="D3299">
        <v>3</v>
      </c>
      <c r="E3299">
        <v>0</v>
      </c>
      <c r="F3299">
        <v>1</v>
      </c>
      <c r="G3299">
        <v>7</v>
      </c>
      <c r="H3299">
        <v>0</v>
      </c>
      <c r="I3299">
        <v>6053.35</v>
      </c>
      <c r="J3299">
        <v>6</v>
      </c>
      <c r="K3299">
        <v>0</v>
      </c>
      <c r="L3299" s="4">
        <v>0.90196712858532768</v>
      </c>
      <c r="M3299" s="4">
        <v>9.8032871414672262E-2</v>
      </c>
      <c r="N3299">
        <v>8</v>
      </c>
    </row>
    <row r="3300" spans="1:14" x14ac:dyDescent="0.35">
      <c r="A3300" s="1">
        <v>554</v>
      </c>
      <c r="B3300">
        <v>8</v>
      </c>
      <c r="C3300">
        <v>63</v>
      </c>
      <c r="D3300">
        <v>3</v>
      </c>
      <c r="E3300">
        <v>0</v>
      </c>
      <c r="F3300">
        <v>4</v>
      </c>
      <c r="G3300">
        <v>9</v>
      </c>
      <c r="H3300">
        <v>3</v>
      </c>
      <c r="I3300">
        <v>0.01</v>
      </c>
      <c r="J3300">
        <v>8</v>
      </c>
      <c r="K3300">
        <v>0</v>
      </c>
      <c r="L3300" s="4">
        <v>0.90203956439696631</v>
      </c>
      <c r="M3300" s="4">
        <v>9.7960435603033719E-2</v>
      </c>
      <c r="N3300">
        <v>8</v>
      </c>
    </row>
    <row r="3301" spans="1:14" x14ac:dyDescent="0.35">
      <c r="A3301" s="1">
        <v>4016</v>
      </c>
      <c r="B3301">
        <v>8</v>
      </c>
      <c r="C3301">
        <v>66</v>
      </c>
      <c r="D3301">
        <v>3</v>
      </c>
      <c r="E3301">
        <v>0</v>
      </c>
      <c r="F3301">
        <v>3</v>
      </c>
      <c r="G3301">
        <v>8</v>
      </c>
      <c r="H3301">
        <v>0</v>
      </c>
      <c r="I3301">
        <v>12000</v>
      </c>
      <c r="J3301">
        <v>4</v>
      </c>
      <c r="K3301">
        <v>0</v>
      </c>
      <c r="L3301" s="4">
        <v>0.90207295172128343</v>
      </c>
      <c r="M3301" s="4">
        <v>9.7927048278716566E-2</v>
      </c>
      <c r="N3301">
        <v>8</v>
      </c>
    </row>
    <row r="3302" spans="1:14" x14ac:dyDescent="0.35">
      <c r="A3302" s="1">
        <v>3682</v>
      </c>
      <c r="B3302">
        <v>8</v>
      </c>
      <c r="C3302">
        <v>61</v>
      </c>
      <c r="D3302">
        <v>4</v>
      </c>
      <c r="E3302">
        <v>1</v>
      </c>
      <c r="F3302">
        <v>0</v>
      </c>
      <c r="G3302">
        <v>2</v>
      </c>
      <c r="H3302">
        <v>2</v>
      </c>
      <c r="I3302">
        <v>250</v>
      </c>
      <c r="J3302">
        <v>11</v>
      </c>
      <c r="K3302">
        <v>1</v>
      </c>
      <c r="L3302" s="4">
        <v>0.90213108035224299</v>
      </c>
      <c r="M3302" s="4">
        <v>9.7868919647757041E-2</v>
      </c>
      <c r="N3302">
        <v>8</v>
      </c>
    </row>
    <row r="3303" spans="1:14" x14ac:dyDescent="0.35">
      <c r="A3303" s="1">
        <v>327</v>
      </c>
      <c r="B3303">
        <v>10</v>
      </c>
      <c r="C3303">
        <v>76</v>
      </c>
      <c r="D3303">
        <v>0</v>
      </c>
      <c r="E3303">
        <v>0</v>
      </c>
      <c r="F3303">
        <v>3</v>
      </c>
      <c r="G3303">
        <v>3</v>
      </c>
      <c r="H3303">
        <v>0</v>
      </c>
      <c r="I3303">
        <v>18000</v>
      </c>
      <c r="J3303">
        <v>1</v>
      </c>
      <c r="K3303">
        <v>0</v>
      </c>
      <c r="L3303" s="4">
        <v>0.90226154595227293</v>
      </c>
      <c r="M3303" s="4">
        <v>9.7738454047727019E-2</v>
      </c>
      <c r="N3303">
        <v>8</v>
      </c>
    </row>
    <row r="3304" spans="1:14" x14ac:dyDescent="0.35">
      <c r="A3304" s="1">
        <v>4107</v>
      </c>
      <c r="B3304">
        <v>8</v>
      </c>
      <c r="C3304">
        <v>61</v>
      </c>
      <c r="D3304">
        <v>2</v>
      </c>
      <c r="E3304">
        <v>1</v>
      </c>
      <c r="F3304">
        <v>0</v>
      </c>
      <c r="G3304">
        <v>10</v>
      </c>
      <c r="H3304">
        <v>2</v>
      </c>
      <c r="I3304">
        <v>1000</v>
      </c>
      <c r="J3304">
        <v>1</v>
      </c>
      <c r="K3304">
        <v>0</v>
      </c>
      <c r="L3304" s="4">
        <v>0.90239148060180185</v>
      </c>
      <c r="M3304" s="4">
        <v>9.760851939819816E-2</v>
      </c>
      <c r="N3304">
        <v>8</v>
      </c>
    </row>
    <row r="3305" spans="1:14" x14ac:dyDescent="0.35">
      <c r="A3305" s="1">
        <v>1991</v>
      </c>
      <c r="B3305">
        <v>5</v>
      </c>
      <c r="C3305">
        <v>51</v>
      </c>
      <c r="D3305">
        <v>5</v>
      </c>
      <c r="E3305">
        <v>0</v>
      </c>
      <c r="F3305">
        <v>3</v>
      </c>
      <c r="G3305">
        <v>3</v>
      </c>
      <c r="H3305">
        <v>3</v>
      </c>
      <c r="I3305">
        <v>0.01</v>
      </c>
      <c r="J3305">
        <v>5</v>
      </c>
      <c r="K3305">
        <v>1</v>
      </c>
      <c r="L3305" s="4">
        <v>0.90240688967352878</v>
      </c>
      <c r="M3305" s="4">
        <v>9.759311032647118E-2</v>
      </c>
      <c r="N3305">
        <v>8</v>
      </c>
    </row>
    <row r="3306" spans="1:14" x14ac:dyDescent="0.35">
      <c r="A3306" s="1">
        <v>538</v>
      </c>
      <c r="B3306">
        <v>6</v>
      </c>
      <c r="C3306">
        <v>58</v>
      </c>
      <c r="D3306">
        <v>3</v>
      </c>
      <c r="E3306">
        <v>0</v>
      </c>
      <c r="F3306">
        <v>0</v>
      </c>
      <c r="G3306">
        <v>4</v>
      </c>
      <c r="H3306">
        <v>2</v>
      </c>
      <c r="I3306">
        <v>480</v>
      </c>
      <c r="J3306">
        <v>5</v>
      </c>
      <c r="K3306">
        <v>0</v>
      </c>
      <c r="L3306" s="4">
        <v>0.90243548299027765</v>
      </c>
      <c r="M3306" s="4">
        <v>9.7564517009722365E-2</v>
      </c>
      <c r="N3306">
        <v>8</v>
      </c>
    </row>
    <row r="3307" spans="1:14" x14ac:dyDescent="0.35">
      <c r="A3307" s="1">
        <v>226</v>
      </c>
      <c r="B3307">
        <v>6</v>
      </c>
      <c r="C3307">
        <v>55</v>
      </c>
      <c r="D3307">
        <v>3</v>
      </c>
      <c r="E3307">
        <v>0</v>
      </c>
      <c r="F3307">
        <v>4</v>
      </c>
      <c r="G3307">
        <v>9</v>
      </c>
      <c r="H3307">
        <v>3</v>
      </c>
      <c r="I3307">
        <v>0.01</v>
      </c>
      <c r="J3307">
        <v>8</v>
      </c>
      <c r="K3307">
        <v>1</v>
      </c>
      <c r="L3307" s="4">
        <v>0.90257229538409267</v>
      </c>
      <c r="M3307" s="4">
        <v>9.7427704615907385E-2</v>
      </c>
      <c r="N3307">
        <v>8</v>
      </c>
    </row>
    <row r="3308" spans="1:14" x14ac:dyDescent="0.35">
      <c r="A3308" s="1">
        <v>183</v>
      </c>
      <c r="B3308">
        <v>11</v>
      </c>
      <c r="C3308">
        <v>70</v>
      </c>
      <c r="D3308">
        <v>2</v>
      </c>
      <c r="E3308">
        <v>2</v>
      </c>
      <c r="F3308">
        <v>2</v>
      </c>
      <c r="G3308">
        <v>1</v>
      </c>
      <c r="H3308">
        <v>0</v>
      </c>
      <c r="I3308">
        <v>7088.14</v>
      </c>
      <c r="J3308">
        <v>11</v>
      </c>
      <c r="K3308">
        <v>0</v>
      </c>
      <c r="L3308" s="4">
        <v>0.90262470584117516</v>
      </c>
      <c r="M3308" s="4">
        <v>9.7375294158824829E-2</v>
      </c>
      <c r="N3308">
        <v>8</v>
      </c>
    </row>
    <row r="3309" spans="1:14" x14ac:dyDescent="0.35">
      <c r="A3309" s="1">
        <v>2675</v>
      </c>
      <c r="B3309">
        <v>10</v>
      </c>
      <c r="C3309">
        <v>76</v>
      </c>
      <c r="D3309">
        <v>0</v>
      </c>
      <c r="E3309">
        <v>0</v>
      </c>
      <c r="F3309">
        <v>3</v>
      </c>
      <c r="G3309">
        <v>3</v>
      </c>
      <c r="H3309">
        <v>0</v>
      </c>
      <c r="I3309">
        <v>13000</v>
      </c>
      <c r="J3309">
        <v>4</v>
      </c>
      <c r="K3309">
        <v>0</v>
      </c>
      <c r="L3309" s="4">
        <v>0.90263139108010715</v>
      </c>
      <c r="M3309" s="4">
        <v>9.7368608919892866E-2</v>
      </c>
      <c r="N3309">
        <v>8</v>
      </c>
    </row>
    <row r="3310" spans="1:14" x14ac:dyDescent="0.35">
      <c r="A3310" s="1">
        <v>4096</v>
      </c>
      <c r="B3310">
        <v>7</v>
      </c>
      <c r="C3310">
        <v>51</v>
      </c>
      <c r="D3310">
        <v>3</v>
      </c>
      <c r="E3310">
        <v>2</v>
      </c>
      <c r="F3310">
        <v>3</v>
      </c>
      <c r="G3310">
        <v>3</v>
      </c>
      <c r="H3310">
        <v>2</v>
      </c>
      <c r="I3310">
        <v>100</v>
      </c>
      <c r="J3310">
        <v>8</v>
      </c>
      <c r="K3310">
        <v>0</v>
      </c>
      <c r="L3310" s="4">
        <v>0.90266071302844586</v>
      </c>
      <c r="M3310" s="4">
        <v>9.7339286971554112E-2</v>
      </c>
      <c r="N3310">
        <v>8</v>
      </c>
    </row>
    <row r="3311" spans="1:14" x14ac:dyDescent="0.35">
      <c r="A3311" s="1">
        <v>2590</v>
      </c>
      <c r="B3311">
        <v>5</v>
      </c>
      <c r="C3311">
        <v>53</v>
      </c>
      <c r="D3311">
        <v>1</v>
      </c>
      <c r="E3311">
        <v>0</v>
      </c>
      <c r="F3311">
        <v>3</v>
      </c>
      <c r="G3311">
        <v>8</v>
      </c>
      <c r="H3311">
        <v>2</v>
      </c>
      <c r="I3311">
        <v>100</v>
      </c>
      <c r="J3311">
        <v>1</v>
      </c>
      <c r="K3311">
        <v>0</v>
      </c>
      <c r="L3311" s="4">
        <v>0.90271929384296845</v>
      </c>
      <c r="M3311" s="4">
        <v>9.7280706157031493E-2</v>
      </c>
      <c r="N3311">
        <v>8</v>
      </c>
    </row>
    <row r="3312" spans="1:14" x14ac:dyDescent="0.35">
      <c r="A3312" s="1">
        <v>913</v>
      </c>
      <c r="B3312">
        <v>9</v>
      </c>
      <c r="C3312">
        <v>73</v>
      </c>
      <c r="D3312">
        <v>1</v>
      </c>
      <c r="E3312">
        <v>0</v>
      </c>
      <c r="F3312">
        <v>0</v>
      </c>
      <c r="G3312">
        <v>2</v>
      </c>
      <c r="H3312">
        <v>0</v>
      </c>
      <c r="I3312">
        <v>6000</v>
      </c>
      <c r="J3312">
        <v>9</v>
      </c>
      <c r="K3312">
        <v>0</v>
      </c>
      <c r="L3312" s="4">
        <v>0.90294624603565454</v>
      </c>
      <c r="M3312" s="4">
        <v>9.7053753964345513E-2</v>
      </c>
      <c r="N3312">
        <v>8</v>
      </c>
    </row>
    <row r="3313" spans="1:14" x14ac:dyDescent="0.35">
      <c r="A3313" s="1">
        <v>336</v>
      </c>
      <c r="B3313">
        <v>5</v>
      </c>
      <c r="C3313">
        <v>53</v>
      </c>
      <c r="D3313">
        <v>2</v>
      </c>
      <c r="E3313">
        <v>0</v>
      </c>
      <c r="F3313">
        <v>1</v>
      </c>
      <c r="G3313">
        <v>7</v>
      </c>
      <c r="H3313">
        <v>3</v>
      </c>
      <c r="I3313">
        <v>0.01</v>
      </c>
      <c r="J3313">
        <v>4</v>
      </c>
      <c r="K3313">
        <v>0</v>
      </c>
      <c r="L3313" s="4">
        <v>0.90309458273222576</v>
      </c>
      <c r="M3313" s="4">
        <v>9.6905417267774269E-2</v>
      </c>
      <c r="N3313">
        <v>8</v>
      </c>
    </row>
    <row r="3314" spans="1:14" x14ac:dyDescent="0.35">
      <c r="A3314" s="1">
        <v>1269</v>
      </c>
      <c r="B3314">
        <v>6</v>
      </c>
      <c r="C3314">
        <v>52</v>
      </c>
      <c r="D3314">
        <v>3</v>
      </c>
      <c r="E3314">
        <v>1</v>
      </c>
      <c r="F3314">
        <v>1</v>
      </c>
      <c r="G3314">
        <v>12</v>
      </c>
      <c r="H3314">
        <v>2</v>
      </c>
      <c r="I3314">
        <v>0.02</v>
      </c>
      <c r="J3314">
        <v>5</v>
      </c>
      <c r="K3314">
        <v>0</v>
      </c>
      <c r="L3314" s="4">
        <v>0.90309797156985516</v>
      </c>
      <c r="M3314" s="4">
        <v>9.6902028430144824E-2</v>
      </c>
      <c r="N3314">
        <v>8</v>
      </c>
    </row>
    <row r="3315" spans="1:14" x14ac:dyDescent="0.35">
      <c r="A3315" s="1">
        <v>3886</v>
      </c>
      <c r="B3315">
        <v>8</v>
      </c>
      <c r="C3315">
        <v>67</v>
      </c>
      <c r="D3315">
        <v>1</v>
      </c>
      <c r="E3315">
        <v>0</v>
      </c>
      <c r="F3315">
        <v>3</v>
      </c>
      <c r="G3315">
        <v>3</v>
      </c>
      <c r="H3315">
        <v>1</v>
      </c>
      <c r="I3315">
        <v>20322.09</v>
      </c>
      <c r="J3315">
        <v>3</v>
      </c>
      <c r="K3315">
        <v>1</v>
      </c>
      <c r="L3315" s="4">
        <v>0.90312867667714181</v>
      </c>
      <c r="M3315" s="4">
        <v>9.6871323322858194E-2</v>
      </c>
      <c r="N3315">
        <v>8</v>
      </c>
    </row>
    <row r="3316" spans="1:14" x14ac:dyDescent="0.35">
      <c r="A3316" s="1">
        <v>1827</v>
      </c>
      <c r="B3316">
        <v>4</v>
      </c>
      <c r="C3316">
        <v>50</v>
      </c>
      <c r="D3316">
        <v>2</v>
      </c>
      <c r="E3316">
        <v>0</v>
      </c>
      <c r="F3316">
        <v>1</v>
      </c>
      <c r="G3316">
        <v>5</v>
      </c>
      <c r="H3316">
        <v>2</v>
      </c>
      <c r="I3316">
        <v>200</v>
      </c>
      <c r="J3316">
        <v>8</v>
      </c>
      <c r="K3316">
        <v>0</v>
      </c>
      <c r="L3316" s="4">
        <v>0.90333433490366666</v>
      </c>
      <c r="M3316" s="4">
        <v>9.66656650963333E-2</v>
      </c>
      <c r="N3316">
        <v>8</v>
      </c>
    </row>
    <row r="3317" spans="1:14" x14ac:dyDescent="0.35">
      <c r="A3317" s="1">
        <v>2788</v>
      </c>
      <c r="B3317">
        <v>4</v>
      </c>
      <c r="C3317">
        <v>49</v>
      </c>
      <c r="D3317">
        <v>5</v>
      </c>
      <c r="E3317">
        <v>0</v>
      </c>
      <c r="F3317">
        <v>3</v>
      </c>
      <c r="G3317">
        <v>8</v>
      </c>
      <c r="H3317">
        <v>0</v>
      </c>
      <c r="I3317">
        <v>6000</v>
      </c>
      <c r="J3317">
        <v>2</v>
      </c>
      <c r="K3317">
        <v>0</v>
      </c>
      <c r="L3317" s="4">
        <v>0.90354318150267954</v>
      </c>
      <c r="M3317" s="4">
        <v>9.6456818497320518E-2</v>
      </c>
      <c r="N3317">
        <v>8</v>
      </c>
    </row>
    <row r="3318" spans="1:14" x14ac:dyDescent="0.35">
      <c r="A3318" s="1">
        <v>4232</v>
      </c>
      <c r="B3318">
        <v>9</v>
      </c>
      <c r="C3318">
        <v>71</v>
      </c>
      <c r="D3318">
        <v>2</v>
      </c>
      <c r="E3318">
        <v>0</v>
      </c>
      <c r="F3318">
        <v>3</v>
      </c>
      <c r="G3318">
        <v>3</v>
      </c>
      <c r="H3318">
        <v>0</v>
      </c>
      <c r="I3318">
        <v>6000</v>
      </c>
      <c r="J3318">
        <v>1</v>
      </c>
      <c r="K3318">
        <v>0</v>
      </c>
      <c r="L3318" s="4">
        <v>0.90355789931233133</v>
      </c>
      <c r="M3318" s="4">
        <v>9.6442100687668675E-2</v>
      </c>
      <c r="N3318">
        <v>8</v>
      </c>
    </row>
    <row r="3319" spans="1:14" x14ac:dyDescent="0.35">
      <c r="A3319" s="1">
        <v>3656</v>
      </c>
      <c r="B3319">
        <v>8</v>
      </c>
      <c r="C3319">
        <v>67</v>
      </c>
      <c r="D3319">
        <v>3</v>
      </c>
      <c r="E3319">
        <v>0</v>
      </c>
      <c r="F3319">
        <v>3</v>
      </c>
      <c r="G3319">
        <v>3</v>
      </c>
      <c r="H3319">
        <v>0</v>
      </c>
      <c r="I3319">
        <v>12000</v>
      </c>
      <c r="J3319">
        <v>13</v>
      </c>
      <c r="K3319">
        <v>0</v>
      </c>
      <c r="L3319" s="4">
        <v>0.9039264009097514</v>
      </c>
      <c r="M3319" s="4">
        <v>9.6073599090248651E-2</v>
      </c>
      <c r="N3319">
        <v>8</v>
      </c>
    </row>
    <row r="3320" spans="1:14" x14ac:dyDescent="0.35">
      <c r="A3320" s="1">
        <v>4282</v>
      </c>
      <c r="B3320">
        <v>6</v>
      </c>
      <c r="C3320">
        <v>51</v>
      </c>
      <c r="D3320">
        <v>4</v>
      </c>
      <c r="E3320">
        <v>1</v>
      </c>
      <c r="F3320">
        <v>1</v>
      </c>
      <c r="G3320">
        <v>12</v>
      </c>
      <c r="H3320">
        <v>3</v>
      </c>
      <c r="I3320">
        <v>0.01</v>
      </c>
      <c r="J3320">
        <v>5</v>
      </c>
      <c r="K3320">
        <v>0</v>
      </c>
      <c r="L3320" s="4">
        <v>0.90398174553025656</v>
      </c>
      <c r="M3320" s="4">
        <v>9.601825446974345E-2</v>
      </c>
      <c r="N3320">
        <v>8</v>
      </c>
    </row>
    <row r="3321" spans="1:14" x14ac:dyDescent="0.35">
      <c r="A3321" s="1">
        <v>2455</v>
      </c>
      <c r="B3321">
        <v>7</v>
      </c>
      <c r="C3321">
        <v>62</v>
      </c>
      <c r="D3321">
        <v>1</v>
      </c>
      <c r="E3321">
        <v>0</v>
      </c>
      <c r="F3321">
        <v>3</v>
      </c>
      <c r="G3321">
        <v>3</v>
      </c>
      <c r="H3321">
        <v>2</v>
      </c>
      <c r="I3321">
        <v>500</v>
      </c>
      <c r="J3321">
        <v>9</v>
      </c>
      <c r="K3321">
        <v>0</v>
      </c>
      <c r="L3321" s="4">
        <v>0.90409435123140136</v>
      </c>
      <c r="M3321" s="4">
        <v>9.5905648768598611E-2</v>
      </c>
      <c r="N3321">
        <v>8</v>
      </c>
    </row>
    <row r="3322" spans="1:14" x14ac:dyDescent="0.35">
      <c r="A3322" s="1">
        <v>1175</v>
      </c>
      <c r="B3322">
        <v>4</v>
      </c>
      <c r="C3322">
        <v>52</v>
      </c>
      <c r="D3322">
        <v>1</v>
      </c>
      <c r="E3322">
        <v>0</v>
      </c>
      <c r="F3322">
        <v>1</v>
      </c>
      <c r="G3322">
        <v>7</v>
      </c>
      <c r="H3322">
        <v>0</v>
      </c>
      <c r="I3322">
        <v>6107.64</v>
      </c>
      <c r="J3322">
        <v>7</v>
      </c>
      <c r="K3322">
        <v>0</v>
      </c>
      <c r="L3322" s="4">
        <v>0.90409720775848346</v>
      </c>
      <c r="M3322" s="4">
        <v>9.5902792241516543E-2</v>
      </c>
      <c r="N3322">
        <v>8</v>
      </c>
    </row>
    <row r="3323" spans="1:14" x14ac:dyDescent="0.35">
      <c r="A3323" s="1">
        <v>3924</v>
      </c>
      <c r="B3323">
        <v>9</v>
      </c>
      <c r="C3323">
        <v>60</v>
      </c>
      <c r="D3323">
        <v>2</v>
      </c>
      <c r="E3323">
        <v>2</v>
      </c>
      <c r="F3323">
        <v>1</v>
      </c>
      <c r="G3323">
        <v>12</v>
      </c>
      <c r="H3323">
        <v>2</v>
      </c>
      <c r="I3323">
        <v>2000</v>
      </c>
      <c r="J3323">
        <v>7</v>
      </c>
      <c r="K3323">
        <v>0</v>
      </c>
      <c r="L3323" s="4">
        <v>0.90428340259889417</v>
      </c>
      <c r="M3323" s="4">
        <v>9.571659740110583E-2</v>
      </c>
      <c r="N3323">
        <v>8</v>
      </c>
    </row>
    <row r="3324" spans="1:14" x14ac:dyDescent="0.35">
      <c r="A3324" s="1">
        <v>1369</v>
      </c>
      <c r="B3324">
        <v>10</v>
      </c>
      <c r="C3324">
        <v>64</v>
      </c>
      <c r="D3324">
        <v>5</v>
      </c>
      <c r="E3324">
        <v>2</v>
      </c>
      <c r="F3324">
        <v>0</v>
      </c>
      <c r="G3324">
        <v>2</v>
      </c>
      <c r="H3324">
        <v>2</v>
      </c>
      <c r="I3324">
        <v>480</v>
      </c>
      <c r="J3324">
        <v>1</v>
      </c>
      <c r="K3324">
        <v>0</v>
      </c>
      <c r="L3324" s="4">
        <v>0.90451908133133374</v>
      </c>
      <c r="M3324" s="4">
        <v>9.5480918668666245E-2</v>
      </c>
      <c r="N3324">
        <v>8</v>
      </c>
    </row>
    <row r="3325" spans="1:14" x14ac:dyDescent="0.35">
      <c r="A3325" s="1">
        <v>3276</v>
      </c>
      <c r="B3325">
        <v>6</v>
      </c>
      <c r="C3325">
        <v>58</v>
      </c>
      <c r="D3325">
        <v>5</v>
      </c>
      <c r="E3325">
        <v>0</v>
      </c>
      <c r="F3325">
        <v>1</v>
      </c>
      <c r="G3325">
        <v>12</v>
      </c>
      <c r="H3325">
        <v>0</v>
      </c>
      <c r="I3325">
        <v>8000</v>
      </c>
      <c r="J3325">
        <v>5</v>
      </c>
      <c r="K3325">
        <v>0</v>
      </c>
      <c r="L3325" s="4">
        <v>0.90459784714590474</v>
      </c>
      <c r="M3325" s="4">
        <v>9.5402152854095257E-2</v>
      </c>
      <c r="N3325">
        <v>8</v>
      </c>
    </row>
    <row r="3326" spans="1:14" x14ac:dyDescent="0.35">
      <c r="A3326" s="1">
        <v>1598</v>
      </c>
      <c r="B3326">
        <v>5</v>
      </c>
      <c r="C3326">
        <v>54</v>
      </c>
      <c r="D3326">
        <v>1</v>
      </c>
      <c r="E3326">
        <v>0</v>
      </c>
      <c r="F3326">
        <v>3</v>
      </c>
      <c r="G3326">
        <v>3</v>
      </c>
      <c r="H3326">
        <v>2</v>
      </c>
      <c r="I3326">
        <v>4000</v>
      </c>
      <c r="J3326">
        <v>4</v>
      </c>
      <c r="K3326">
        <v>0</v>
      </c>
      <c r="L3326" s="4">
        <v>0.90468488381405487</v>
      </c>
      <c r="M3326" s="4">
        <v>9.5315116185945084E-2</v>
      </c>
      <c r="N3326">
        <v>8</v>
      </c>
    </row>
    <row r="3327" spans="1:14" x14ac:dyDescent="0.35">
      <c r="A3327" s="1">
        <v>415</v>
      </c>
      <c r="B3327">
        <v>8</v>
      </c>
      <c r="C3327">
        <v>61</v>
      </c>
      <c r="D3327">
        <v>3</v>
      </c>
      <c r="E3327">
        <v>1</v>
      </c>
      <c r="F3327">
        <v>1</v>
      </c>
      <c r="G3327">
        <v>7</v>
      </c>
      <c r="H3327">
        <v>2</v>
      </c>
      <c r="I3327">
        <v>3000</v>
      </c>
      <c r="J3327">
        <v>7</v>
      </c>
      <c r="K3327">
        <v>0</v>
      </c>
      <c r="L3327" s="4">
        <v>0.90477205750952827</v>
      </c>
      <c r="M3327" s="4">
        <v>9.522794249047177E-2</v>
      </c>
      <c r="N3327">
        <v>8</v>
      </c>
    </row>
    <row r="3328" spans="1:14" x14ac:dyDescent="0.35">
      <c r="A3328" s="1">
        <v>4279</v>
      </c>
      <c r="B3328">
        <v>5</v>
      </c>
      <c r="C3328">
        <v>57</v>
      </c>
      <c r="D3328">
        <v>1</v>
      </c>
      <c r="E3328">
        <v>0</v>
      </c>
      <c r="F3328">
        <v>0</v>
      </c>
      <c r="G3328">
        <v>2</v>
      </c>
      <c r="H3328">
        <v>0</v>
      </c>
      <c r="I3328">
        <v>6000</v>
      </c>
      <c r="J3328">
        <v>2</v>
      </c>
      <c r="K3328">
        <v>0</v>
      </c>
      <c r="L3328" s="4">
        <v>0.90477815585568888</v>
      </c>
      <c r="M3328" s="4">
        <v>9.5221844144311119E-2</v>
      </c>
      <c r="N3328">
        <v>8</v>
      </c>
    </row>
    <row r="3329" spans="1:14" x14ac:dyDescent="0.35">
      <c r="A3329" s="1">
        <v>4233</v>
      </c>
      <c r="B3329">
        <v>6</v>
      </c>
      <c r="C3329">
        <v>53</v>
      </c>
      <c r="D3329">
        <v>1</v>
      </c>
      <c r="E3329">
        <v>1</v>
      </c>
      <c r="F3329">
        <v>2</v>
      </c>
      <c r="G3329">
        <v>1</v>
      </c>
      <c r="H3329">
        <v>3</v>
      </c>
      <c r="I3329">
        <v>0.01</v>
      </c>
      <c r="J3329">
        <v>5</v>
      </c>
      <c r="K3329">
        <v>0</v>
      </c>
      <c r="L3329" s="4">
        <v>0.90480149546260102</v>
      </c>
      <c r="M3329" s="4">
        <v>9.519850453739899E-2</v>
      </c>
      <c r="N3329">
        <v>8</v>
      </c>
    </row>
    <row r="3330" spans="1:14" x14ac:dyDescent="0.35">
      <c r="A3330" s="1">
        <v>2223</v>
      </c>
      <c r="B3330">
        <v>10</v>
      </c>
      <c r="C3330">
        <v>67</v>
      </c>
      <c r="D3330">
        <v>0</v>
      </c>
      <c r="E3330">
        <v>2</v>
      </c>
      <c r="F3330">
        <v>3</v>
      </c>
      <c r="G3330">
        <v>3</v>
      </c>
      <c r="H3330">
        <v>0</v>
      </c>
      <c r="I3330">
        <v>10000</v>
      </c>
      <c r="J3330">
        <v>26</v>
      </c>
      <c r="K3330">
        <v>0</v>
      </c>
      <c r="L3330" s="4">
        <v>0.90488840375319146</v>
      </c>
      <c r="M3330" s="4">
        <v>9.5111596246808525E-2</v>
      </c>
      <c r="N3330">
        <v>8</v>
      </c>
    </row>
    <row r="3331" spans="1:14" x14ac:dyDescent="0.35">
      <c r="A3331" s="1">
        <v>3072</v>
      </c>
      <c r="B3331">
        <v>10</v>
      </c>
      <c r="C3331">
        <v>74</v>
      </c>
      <c r="D3331">
        <v>4</v>
      </c>
      <c r="E3331">
        <v>0</v>
      </c>
      <c r="F3331">
        <v>3</v>
      </c>
      <c r="G3331">
        <v>8</v>
      </c>
      <c r="H3331">
        <v>0</v>
      </c>
      <c r="I3331">
        <v>6000</v>
      </c>
      <c r="J3331">
        <v>2</v>
      </c>
      <c r="K3331">
        <v>1</v>
      </c>
      <c r="L3331" s="4">
        <v>0.90490634183123142</v>
      </c>
      <c r="M3331" s="4">
        <v>9.509365816876858E-2</v>
      </c>
      <c r="N3331">
        <v>8</v>
      </c>
    </row>
    <row r="3332" spans="1:14" x14ac:dyDescent="0.35">
      <c r="A3332" s="1">
        <v>4049</v>
      </c>
      <c r="B3332">
        <v>5</v>
      </c>
      <c r="C3332">
        <v>51</v>
      </c>
      <c r="D3332">
        <v>5</v>
      </c>
      <c r="E3332">
        <v>0</v>
      </c>
      <c r="F3332">
        <v>3</v>
      </c>
      <c r="G3332">
        <v>8</v>
      </c>
      <c r="H3332">
        <v>3</v>
      </c>
      <c r="I3332">
        <v>0.01</v>
      </c>
      <c r="J3332">
        <v>4</v>
      </c>
      <c r="K3332">
        <v>0</v>
      </c>
      <c r="L3332" s="4">
        <v>0.90490821574652236</v>
      </c>
      <c r="M3332" s="4">
        <v>9.5091784253477613E-2</v>
      </c>
      <c r="N3332">
        <v>8</v>
      </c>
    </row>
    <row r="3333" spans="1:14" x14ac:dyDescent="0.35">
      <c r="A3333" s="1">
        <v>3201</v>
      </c>
      <c r="B3333">
        <v>9</v>
      </c>
      <c r="C3333">
        <v>72</v>
      </c>
      <c r="D3333">
        <v>1</v>
      </c>
      <c r="E3333">
        <v>0</v>
      </c>
      <c r="F3333">
        <v>3</v>
      </c>
      <c r="G3333">
        <v>3</v>
      </c>
      <c r="H3333">
        <v>0</v>
      </c>
      <c r="I3333">
        <v>10937.59</v>
      </c>
      <c r="J3333">
        <v>8</v>
      </c>
      <c r="K3333">
        <v>0</v>
      </c>
      <c r="L3333" s="4">
        <v>0.90502229579026006</v>
      </c>
      <c r="M3333" s="4">
        <v>9.497770420973993E-2</v>
      </c>
      <c r="N3333">
        <v>8</v>
      </c>
    </row>
    <row r="3334" spans="1:14" x14ac:dyDescent="0.35">
      <c r="A3334" s="1">
        <v>3113</v>
      </c>
      <c r="B3334">
        <v>8</v>
      </c>
      <c r="C3334">
        <v>65</v>
      </c>
      <c r="D3334">
        <v>4</v>
      </c>
      <c r="E3334">
        <v>0</v>
      </c>
      <c r="F3334">
        <v>3</v>
      </c>
      <c r="G3334">
        <v>3</v>
      </c>
      <c r="H3334">
        <v>2</v>
      </c>
      <c r="I3334">
        <v>5000</v>
      </c>
      <c r="J3334">
        <v>5</v>
      </c>
      <c r="K3334">
        <v>0</v>
      </c>
      <c r="L3334" s="4">
        <v>0.90526726137939129</v>
      </c>
      <c r="M3334" s="4">
        <v>9.473273862060877E-2</v>
      </c>
      <c r="N3334">
        <v>8</v>
      </c>
    </row>
    <row r="3335" spans="1:14" x14ac:dyDescent="0.35">
      <c r="A3335" s="1">
        <v>3360</v>
      </c>
      <c r="B3335">
        <v>10</v>
      </c>
      <c r="C3335">
        <v>74</v>
      </c>
      <c r="D3335">
        <v>2</v>
      </c>
      <c r="E3335">
        <v>0</v>
      </c>
      <c r="F3335">
        <v>3</v>
      </c>
      <c r="G3335">
        <v>3</v>
      </c>
      <c r="H3335">
        <v>2</v>
      </c>
      <c r="I3335">
        <v>4000.01</v>
      </c>
      <c r="J3335">
        <v>7</v>
      </c>
      <c r="K3335">
        <v>0</v>
      </c>
      <c r="L3335" s="4">
        <v>0.90531581405488781</v>
      </c>
      <c r="M3335" s="4">
        <v>9.4684185945112201E-2</v>
      </c>
      <c r="N3335">
        <v>8</v>
      </c>
    </row>
    <row r="3336" spans="1:14" x14ac:dyDescent="0.35">
      <c r="A3336" s="1">
        <v>801</v>
      </c>
      <c r="B3336">
        <v>7</v>
      </c>
      <c r="C3336">
        <v>51</v>
      </c>
      <c r="D3336">
        <v>4</v>
      </c>
      <c r="E3336">
        <v>2</v>
      </c>
      <c r="F3336">
        <v>2</v>
      </c>
      <c r="G3336">
        <v>0</v>
      </c>
      <c r="H3336">
        <v>3</v>
      </c>
      <c r="I3336">
        <v>0.01</v>
      </c>
      <c r="J3336">
        <v>4</v>
      </c>
      <c r="K3336">
        <v>0</v>
      </c>
      <c r="L3336" s="4">
        <v>0.90532690004811855</v>
      </c>
      <c r="M3336" s="4">
        <v>9.4673099951881459E-2</v>
      </c>
      <c r="N3336">
        <v>8</v>
      </c>
    </row>
    <row r="3337" spans="1:14" x14ac:dyDescent="0.35">
      <c r="A3337" s="1">
        <v>3346</v>
      </c>
      <c r="B3337">
        <v>9</v>
      </c>
      <c r="C3337">
        <v>65</v>
      </c>
      <c r="D3337">
        <v>2</v>
      </c>
      <c r="E3337">
        <v>1</v>
      </c>
      <c r="F3337">
        <v>3</v>
      </c>
      <c r="G3337">
        <v>3</v>
      </c>
      <c r="H3337">
        <v>2</v>
      </c>
      <c r="I3337">
        <v>4000</v>
      </c>
      <c r="J3337">
        <v>5</v>
      </c>
      <c r="K3337">
        <v>0</v>
      </c>
      <c r="L3337" s="4">
        <v>0.90533287417760988</v>
      </c>
      <c r="M3337" s="4">
        <v>9.4667125822390077E-2</v>
      </c>
      <c r="N3337">
        <v>8</v>
      </c>
    </row>
    <row r="3338" spans="1:14" x14ac:dyDescent="0.35">
      <c r="A3338" s="1">
        <v>3557</v>
      </c>
      <c r="B3338">
        <v>8</v>
      </c>
      <c r="C3338">
        <v>66</v>
      </c>
      <c r="D3338">
        <v>3</v>
      </c>
      <c r="E3338">
        <v>0</v>
      </c>
      <c r="F3338">
        <v>4</v>
      </c>
      <c r="G3338">
        <v>9</v>
      </c>
      <c r="H3338">
        <v>0</v>
      </c>
      <c r="I3338">
        <v>6000</v>
      </c>
      <c r="J3338">
        <v>8</v>
      </c>
      <c r="K3338">
        <v>0</v>
      </c>
      <c r="L3338" s="4">
        <v>0.90541666733841619</v>
      </c>
      <c r="M3338" s="4">
        <v>9.4583332661583822E-2</v>
      </c>
      <c r="N3338">
        <v>8</v>
      </c>
    </row>
    <row r="3339" spans="1:14" x14ac:dyDescent="0.35">
      <c r="A3339" s="1">
        <v>1621</v>
      </c>
      <c r="B3339">
        <v>6</v>
      </c>
      <c r="C3339">
        <v>57</v>
      </c>
      <c r="D3339">
        <v>1</v>
      </c>
      <c r="E3339">
        <v>0</v>
      </c>
      <c r="F3339">
        <v>3</v>
      </c>
      <c r="G3339">
        <v>8</v>
      </c>
      <c r="H3339">
        <v>3</v>
      </c>
      <c r="I3339">
        <v>0.01</v>
      </c>
      <c r="J3339">
        <v>8</v>
      </c>
      <c r="K3339">
        <v>0</v>
      </c>
      <c r="L3339" s="4">
        <v>0.90550674588173219</v>
      </c>
      <c r="M3339" s="4">
        <v>9.4493254118267797E-2</v>
      </c>
      <c r="N3339">
        <v>8</v>
      </c>
    </row>
    <row r="3340" spans="1:14" x14ac:dyDescent="0.35">
      <c r="A3340" s="1">
        <v>99</v>
      </c>
      <c r="B3340">
        <v>11</v>
      </c>
      <c r="C3340">
        <v>77</v>
      </c>
      <c r="D3340">
        <v>2</v>
      </c>
      <c r="E3340">
        <v>0</v>
      </c>
      <c r="F3340">
        <v>4</v>
      </c>
      <c r="G3340">
        <v>9</v>
      </c>
      <c r="H3340">
        <v>2</v>
      </c>
      <c r="I3340">
        <v>2000</v>
      </c>
      <c r="J3340">
        <v>5</v>
      </c>
      <c r="K3340">
        <v>1</v>
      </c>
      <c r="L3340" s="4">
        <v>0.90565460702418421</v>
      </c>
      <c r="M3340" s="4">
        <v>9.4345392975815845E-2</v>
      </c>
      <c r="N3340">
        <v>8</v>
      </c>
    </row>
    <row r="3341" spans="1:14" x14ac:dyDescent="0.35">
      <c r="A3341" s="1">
        <v>3128</v>
      </c>
      <c r="B3341">
        <v>6</v>
      </c>
      <c r="C3341">
        <v>57</v>
      </c>
      <c r="D3341">
        <v>4</v>
      </c>
      <c r="E3341">
        <v>0</v>
      </c>
      <c r="F3341">
        <v>3</v>
      </c>
      <c r="G3341">
        <v>3</v>
      </c>
      <c r="H3341">
        <v>2</v>
      </c>
      <c r="I3341">
        <v>4551.9799999999996</v>
      </c>
      <c r="J3341">
        <v>5</v>
      </c>
      <c r="K3341">
        <v>0</v>
      </c>
      <c r="L3341" s="4">
        <v>0.90584585839389553</v>
      </c>
      <c r="M3341" s="4">
        <v>9.4154141606104483E-2</v>
      </c>
      <c r="N3341">
        <v>8</v>
      </c>
    </row>
    <row r="3342" spans="1:14" x14ac:dyDescent="0.35">
      <c r="A3342" s="1">
        <v>1432</v>
      </c>
      <c r="B3342">
        <v>5</v>
      </c>
      <c r="C3342">
        <v>48</v>
      </c>
      <c r="D3342">
        <v>4</v>
      </c>
      <c r="E3342">
        <v>1</v>
      </c>
      <c r="F3342">
        <v>3</v>
      </c>
      <c r="G3342">
        <v>3</v>
      </c>
      <c r="H3342">
        <v>2</v>
      </c>
      <c r="I3342">
        <v>2700</v>
      </c>
      <c r="J3342">
        <v>5</v>
      </c>
      <c r="K3342">
        <v>0</v>
      </c>
      <c r="L3342" s="4">
        <v>0.90589811840274748</v>
      </c>
      <c r="M3342" s="4">
        <v>9.4101881597252579E-2</v>
      </c>
      <c r="N3342">
        <v>8</v>
      </c>
    </row>
    <row r="3343" spans="1:14" x14ac:dyDescent="0.35">
      <c r="A3343" s="1">
        <v>2283</v>
      </c>
      <c r="B3343">
        <v>7</v>
      </c>
      <c r="C3343">
        <v>58</v>
      </c>
      <c r="D3343">
        <v>1</v>
      </c>
      <c r="E3343">
        <v>1</v>
      </c>
      <c r="F3343">
        <v>1</v>
      </c>
      <c r="G3343">
        <v>7</v>
      </c>
      <c r="H3343">
        <v>2</v>
      </c>
      <c r="I3343">
        <v>50.01</v>
      </c>
      <c r="J3343">
        <v>8</v>
      </c>
      <c r="K3343">
        <v>0</v>
      </c>
      <c r="L3343" s="4">
        <v>0.90597645729659149</v>
      </c>
      <c r="M3343" s="4">
        <v>9.4023542703408486E-2</v>
      </c>
      <c r="N3343">
        <v>8</v>
      </c>
    </row>
    <row r="3344" spans="1:14" x14ac:dyDescent="0.35">
      <c r="A3344" s="1">
        <v>780</v>
      </c>
      <c r="B3344">
        <v>8</v>
      </c>
      <c r="C3344">
        <v>66</v>
      </c>
      <c r="D3344">
        <v>3</v>
      </c>
      <c r="E3344">
        <v>0</v>
      </c>
      <c r="F3344">
        <v>3</v>
      </c>
      <c r="G3344">
        <v>3</v>
      </c>
      <c r="H3344">
        <v>2</v>
      </c>
      <c r="I3344">
        <v>3400.01</v>
      </c>
      <c r="J3344">
        <v>26</v>
      </c>
      <c r="K3344">
        <v>0</v>
      </c>
      <c r="L3344" s="4">
        <v>0.90607567308018744</v>
      </c>
      <c r="M3344" s="4">
        <v>9.3924326919812576E-2</v>
      </c>
      <c r="N3344">
        <v>8</v>
      </c>
    </row>
    <row r="3345" spans="1:14" x14ac:dyDescent="0.35">
      <c r="A3345" s="1">
        <v>782</v>
      </c>
      <c r="B3345">
        <v>7</v>
      </c>
      <c r="C3345">
        <v>66</v>
      </c>
      <c r="D3345">
        <v>0</v>
      </c>
      <c r="E3345">
        <v>0</v>
      </c>
      <c r="F3345">
        <v>0</v>
      </c>
      <c r="G3345">
        <v>2</v>
      </c>
      <c r="H3345">
        <v>0</v>
      </c>
      <c r="I3345">
        <v>9000</v>
      </c>
      <c r="J3345">
        <v>8</v>
      </c>
      <c r="K3345">
        <v>0</v>
      </c>
      <c r="L3345" s="4">
        <v>0.90608678448097302</v>
      </c>
      <c r="M3345" s="4">
        <v>9.3913215519026927E-2</v>
      </c>
      <c r="N3345">
        <v>8</v>
      </c>
    </row>
    <row r="3346" spans="1:14" x14ac:dyDescent="0.35">
      <c r="A3346" s="1">
        <v>508</v>
      </c>
      <c r="B3346">
        <v>10</v>
      </c>
      <c r="C3346">
        <v>76</v>
      </c>
      <c r="D3346">
        <v>1</v>
      </c>
      <c r="E3346">
        <v>0</v>
      </c>
      <c r="F3346">
        <v>3</v>
      </c>
      <c r="G3346">
        <v>3</v>
      </c>
      <c r="H3346">
        <v>0</v>
      </c>
      <c r="I3346">
        <v>6000</v>
      </c>
      <c r="J3346">
        <v>2</v>
      </c>
      <c r="K3346">
        <v>1</v>
      </c>
      <c r="L3346" s="4">
        <v>0.90610360718012095</v>
      </c>
      <c r="M3346" s="4">
        <v>9.3896392819879076E-2</v>
      </c>
      <c r="N3346">
        <v>8</v>
      </c>
    </row>
    <row r="3347" spans="1:14" x14ac:dyDescent="0.35">
      <c r="A3347" s="1">
        <v>1186</v>
      </c>
      <c r="B3347">
        <v>8</v>
      </c>
      <c r="C3347">
        <v>62</v>
      </c>
      <c r="D3347">
        <v>2</v>
      </c>
      <c r="E3347">
        <v>1</v>
      </c>
      <c r="F3347">
        <v>2</v>
      </c>
      <c r="G3347">
        <v>1</v>
      </c>
      <c r="H3347">
        <v>2</v>
      </c>
      <c r="I3347">
        <v>2679.2</v>
      </c>
      <c r="J3347">
        <v>18</v>
      </c>
      <c r="K3347">
        <v>0</v>
      </c>
      <c r="L3347" s="4">
        <v>0.90611962468505092</v>
      </c>
      <c r="M3347" s="4">
        <v>9.3880375314949055E-2</v>
      </c>
      <c r="N3347">
        <v>8</v>
      </c>
    </row>
    <row r="3348" spans="1:14" x14ac:dyDescent="0.35">
      <c r="A3348" s="1">
        <v>3910</v>
      </c>
      <c r="B3348">
        <v>6</v>
      </c>
      <c r="C3348">
        <v>57</v>
      </c>
      <c r="D3348">
        <v>5</v>
      </c>
      <c r="E3348">
        <v>0</v>
      </c>
      <c r="F3348">
        <v>1</v>
      </c>
      <c r="G3348">
        <v>7</v>
      </c>
      <c r="H3348">
        <v>2</v>
      </c>
      <c r="I3348">
        <v>200</v>
      </c>
      <c r="J3348">
        <v>1</v>
      </c>
      <c r="K3348">
        <v>0</v>
      </c>
      <c r="L3348" s="4">
        <v>0.90614932251365288</v>
      </c>
      <c r="M3348" s="4">
        <v>9.385067748634715E-2</v>
      </c>
      <c r="N3348">
        <v>8</v>
      </c>
    </row>
    <row r="3349" spans="1:14" x14ac:dyDescent="0.35">
      <c r="A3349" s="1">
        <v>2755</v>
      </c>
      <c r="B3349">
        <v>9</v>
      </c>
      <c r="C3349">
        <v>71</v>
      </c>
      <c r="D3349">
        <v>0</v>
      </c>
      <c r="E3349">
        <v>0</v>
      </c>
      <c r="F3349">
        <v>3</v>
      </c>
      <c r="G3349">
        <v>3</v>
      </c>
      <c r="H3349">
        <v>2</v>
      </c>
      <c r="I3349">
        <v>3000</v>
      </c>
      <c r="J3349">
        <v>8</v>
      </c>
      <c r="K3349">
        <v>0</v>
      </c>
      <c r="L3349" s="4">
        <v>0.9062474432566</v>
      </c>
      <c r="M3349" s="4">
        <v>9.3752556743400023E-2</v>
      </c>
      <c r="N3349">
        <v>8</v>
      </c>
    </row>
    <row r="3350" spans="1:14" x14ac:dyDescent="0.35">
      <c r="A3350" s="1">
        <v>4413</v>
      </c>
      <c r="B3350">
        <v>9</v>
      </c>
      <c r="C3350">
        <v>68</v>
      </c>
      <c r="D3350">
        <v>4</v>
      </c>
      <c r="E3350">
        <v>0</v>
      </c>
      <c r="F3350">
        <v>3</v>
      </c>
      <c r="G3350">
        <v>8</v>
      </c>
      <c r="H3350">
        <v>3</v>
      </c>
      <c r="I3350">
        <v>0.01</v>
      </c>
      <c r="J3350">
        <v>8</v>
      </c>
      <c r="K3350">
        <v>0</v>
      </c>
      <c r="L3350" s="4">
        <v>0.90633079512962089</v>
      </c>
      <c r="M3350" s="4">
        <v>9.366920487037915E-2</v>
      </c>
      <c r="N3350">
        <v>8</v>
      </c>
    </row>
    <row r="3351" spans="1:14" x14ac:dyDescent="0.35">
      <c r="A3351" s="1">
        <v>3363</v>
      </c>
      <c r="B3351">
        <v>7</v>
      </c>
      <c r="C3351">
        <v>57</v>
      </c>
      <c r="D3351">
        <v>1</v>
      </c>
      <c r="E3351">
        <v>1</v>
      </c>
      <c r="F3351">
        <v>1</v>
      </c>
      <c r="G3351">
        <v>12</v>
      </c>
      <c r="H3351">
        <v>3</v>
      </c>
      <c r="I3351">
        <v>0.01</v>
      </c>
      <c r="J3351">
        <v>13</v>
      </c>
      <c r="K3351">
        <v>0</v>
      </c>
      <c r="L3351" s="4">
        <v>0.90639644370641836</v>
      </c>
      <c r="M3351" s="4">
        <v>9.3603556293581663E-2</v>
      </c>
      <c r="N3351">
        <v>8</v>
      </c>
    </row>
    <row r="3352" spans="1:14" x14ac:dyDescent="0.35">
      <c r="A3352" s="1">
        <v>2904</v>
      </c>
      <c r="B3352">
        <v>4</v>
      </c>
      <c r="C3352">
        <v>51</v>
      </c>
      <c r="D3352">
        <v>5</v>
      </c>
      <c r="E3352">
        <v>0</v>
      </c>
      <c r="F3352">
        <v>0</v>
      </c>
      <c r="G3352">
        <v>11</v>
      </c>
      <c r="H3352">
        <v>0</v>
      </c>
      <c r="I3352">
        <v>12000</v>
      </c>
      <c r="J3352">
        <v>8</v>
      </c>
      <c r="K3352">
        <v>0</v>
      </c>
      <c r="L3352" s="4">
        <v>0.90647986865243091</v>
      </c>
      <c r="M3352" s="4">
        <v>9.3520131347569091E-2</v>
      </c>
      <c r="N3352">
        <v>8</v>
      </c>
    </row>
    <row r="3353" spans="1:14" x14ac:dyDescent="0.35">
      <c r="A3353" s="1">
        <v>120</v>
      </c>
      <c r="B3353">
        <v>9</v>
      </c>
      <c r="C3353">
        <v>63</v>
      </c>
      <c r="D3353">
        <v>2</v>
      </c>
      <c r="E3353">
        <v>2</v>
      </c>
      <c r="F3353">
        <v>1</v>
      </c>
      <c r="G3353">
        <v>5</v>
      </c>
      <c r="H3353">
        <v>0</v>
      </c>
      <c r="I3353">
        <v>18000</v>
      </c>
      <c r="J3353">
        <v>9</v>
      </c>
      <c r="K3353">
        <v>0</v>
      </c>
      <c r="L3353" s="4">
        <v>0.90648672572973665</v>
      </c>
      <c r="M3353" s="4">
        <v>9.3513274270263375E-2</v>
      </c>
      <c r="N3353">
        <v>8</v>
      </c>
    </row>
    <row r="3354" spans="1:14" x14ac:dyDescent="0.35">
      <c r="A3354" s="1">
        <v>4032</v>
      </c>
      <c r="B3354">
        <v>4</v>
      </c>
      <c r="C3354">
        <v>51</v>
      </c>
      <c r="D3354">
        <v>1</v>
      </c>
      <c r="E3354">
        <v>0</v>
      </c>
      <c r="F3354">
        <v>0</v>
      </c>
      <c r="G3354">
        <v>11</v>
      </c>
      <c r="H3354">
        <v>2</v>
      </c>
      <c r="I3354">
        <v>2000</v>
      </c>
      <c r="J3354">
        <v>7</v>
      </c>
      <c r="K3354">
        <v>0</v>
      </c>
      <c r="L3354" s="4">
        <v>0.90649769769059252</v>
      </c>
      <c r="M3354" s="4">
        <v>9.3502302309407426E-2</v>
      </c>
      <c r="N3354">
        <v>8</v>
      </c>
    </row>
    <row r="3355" spans="1:14" x14ac:dyDescent="0.35">
      <c r="A3355" s="1">
        <v>530</v>
      </c>
      <c r="B3355">
        <v>10</v>
      </c>
      <c r="C3355">
        <v>74</v>
      </c>
      <c r="D3355">
        <v>5</v>
      </c>
      <c r="E3355">
        <v>0</v>
      </c>
      <c r="F3355">
        <v>3</v>
      </c>
      <c r="G3355">
        <v>8</v>
      </c>
      <c r="H3355">
        <v>0</v>
      </c>
      <c r="I3355">
        <v>8750</v>
      </c>
      <c r="J3355">
        <v>4</v>
      </c>
      <c r="K3355">
        <v>1</v>
      </c>
      <c r="L3355" s="4">
        <v>0.90655431615481352</v>
      </c>
      <c r="M3355" s="4">
        <v>9.3445683845186478E-2</v>
      </c>
      <c r="N3355">
        <v>8</v>
      </c>
    </row>
    <row r="3356" spans="1:14" x14ac:dyDescent="0.35">
      <c r="A3356" s="1">
        <v>1116</v>
      </c>
      <c r="B3356">
        <v>7</v>
      </c>
      <c r="C3356">
        <v>64</v>
      </c>
      <c r="D3356">
        <v>1</v>
      </c>
      <c r="E3356">
        <v>0</v>
      </c>
      <c r="F3356">
        <v>0</v>
      </c>
      <c r="G3356">
        <v>2</v>
      </c>
      <c r="H3356">
        <v>2</v>
      </c>
      <c r="I3356">
        <v>3000</v>
      </c>
      <c r="J3356">
        <v>5</v>
      </c>
      <c r="K3356">
        <v>0</v>
      </c>
      <c r="L3356" s="4">
        <v>0.90672309889321701</v>
      </c>
      <c r="M3356" s="4">
        <v>9.3276901106783022E-2</v>
      </c>
      <c r="N3356">
        <v>8</v>
      </c>
    </row>
    <row r="3357" spans="1:14" x14ac:dyDescent="0.35">
      <c r="A3357" s="1">
        <v>1544</v>
      </c>
      <c r="B3357">
        <v>9</v>
      </c>
      <c r="C3357">
        <v>64</v>
      </c>
      <c r="D3357">
        <v>5</v>
      </c>
      <c r="E3357">
        <v>1</v>
      </c>
      <c r="F3357">
        <v>3</v>
      </c>
      <c r="G3357">
        <v>3</v>
      </c>
      <c r="H3357">
        <v>2</v>
      </c>
      <c r="I3357">
        <v>3000</v>
      </c>
      <c r="J3357">
        <v>8</v>
      </c>
      <c r="K3357">
        <v>0</v>
      </c>
      <c r="L3357" s="4">
        <v>0.90673672816912554</v>
      </c>
      <c r="M3357" s="4">
        <v>9.326327183087442E-2</v>
      </c>
      <c r="N3357">
        <v>8</v>
      </c>
    </row>
    <row r="3358" spans="1:14" x14ac:dyDescent="0.35">
      <c r="A3358" s="1">
        <v>168</v>
      </c>
      <c r="B3358">
        <v>8</v>
      </c>
      <c r="C3358">
        <v>67</v>
      </c>
      <c r="D3358">
        <v>4</v>
      </c>
      <c r="E3358">
        <v>0</v>
      </c>
      <c r="F3358">
        <v>3</v>
      </c>
      <c r="G3358">
        <v>3</v>
      </c>
      <c r="H3358">
        <v>0</v>
      </c>
      <c r="I3358">
        <v>12053.35</v>
      </c>
      <c r="J3358">
        <v>7</v>
      </c>
      <c r="K3358">
        <v>0</v>
      </c>
      <c r="L3358" s="4">
        <v>0.90683262254696073</v>
      </c>
      <c r="M3358" s="4">
        <v>9.3167377453039324E-2</v>
      </c>
      <c r="N3358">
        <v>8</v>
      </c>
    </row>
    <row r="3359" spans="1:14" x14ac:dyDescent="0.35">
      <c r="A3359" s="1">
        <v>3896</v>
      </c>
      <c r="B3359">
        <v>8</v>
      </c>
      <c r="C3359">
        <v>68</v>
      </c>
      <c r="D3359">
        <v>1</v>
      </c>
      <c r="E3359">
        <v>0</v>
      </c>
      <c r="F3359">
        <v>0</v>
      </c>
      <c r="G3359">
        <v>4</v>
      </c>
      <c r="H3359">
        <v>2</v>
      </c>
      <c r="I3359">
        <v>1000</v>
      </c>
      <c r="J3359">
        <v>12</v>
      </c>
      <c r="K3359">
        <v>0</v>
      </c>
      <c r="L3359" s="4">
        <v>0.90690766910060361</v>
      </c>
      <c r="M3359" s="4">
        <v>9.3092330899396364E-2</v>
      </c>
      <c r="N3359">
        <v>8</v>
      </c>
    </row>
    <row r="3360" spans="1:14" x14ac:dyDescent="0.35">
      <c r="A3360" s="1">
        <v>2377</v>
      </c>
      <c r="B3360">
        <v>5</v>
      </c>
      <c r="C3360">
        <v>51</v>
      </c>
      <c r="D3360">
        <v>1</v>
      </c>
      <c r="E3360">
        <v>1</v>
      </c>
      <c r="F3360">
        <v>3</v>
      </c>
      <c r="G3360">
        <v>3</v>
      </c>
      <c r="H3360">
        <v>0</v>
      </c>
      <c r="I3360">
        <v>6000</v>
      </c>
      <c r="J3360">
        <v>2</v>
      </c>
      <c r="K3360">
        <v>0</v>
      </c>
      <c r="L3360" s="4">
        <v>0.90692697583296134</v>
      </c>
      <c r="M3360" s="4">
        <v>9.3073024167038665E-2</v>
      </c>
      <c r="N3360">
        <v>8</v>
      </c>
    </row>
    <row r="3361" spans="1:14" x14ac:dyDescent="0.35">
      <c r="A3361" s="1">
        <v>719</v>
      </c>
      <c r="B3361">
        <v>8</v>
      </c>
      <c r="C3361">
        <v>67</v>
      </c>
      <c r="D3361">
        <v>5</v>
      </c>
      <c r="E3361">
        <v>0</v>
      </c>
      <c r="F3361">
        <v>1</v>
      </c>
      <c r="G3361">
        <v>7</v>
      </c>
      <c r="H3361">
        <v>0</v>
      </c>
      <c r="I3361">
        <v>6000.01</v>
      </c>
      <c r="J3361">
        <v>7</v>
      </c>
      <c r="K3361">
        <v>0</v>
      </c>
      <c r="L3361" s="4">
        <v>0.90693094225559934</v>
      </c>
      <c r="M3361" s="4">
        <v>9.3069057744400691E-2</v>
      </c>
      <c r="N3361">
        <v>8</v>
      </c>
    </row>
    <row r="3362" spans="1:14" x14ac:dyDescent="0.35">
      <c r="A3362" s="1">
        <v>1128</v>
      </c>
      <c r="B3362">
        <v>5</v>
      </c>
      <c r="C3362">
        <v>55</v>
      </c>
      <c r="D3362">
        <v>3</v>
      </c>
      <c r="E3362">
        <v>0</v>
      </c>
      <c r="F3362">
        <v>0</v>
      </c>
      <c r="G3362">
        <v>4</v>
      </c>
      <c r="H3362">
        <v>2</v>
      </c>
      <c r="I3362">
        <v>3000</v>
      </c>
      <c r="J3362">
        <v>10</v>
      </c>
      <c r="K3362">
        <v>0</v>
      </c>
      <c r="L3362" s="4">
        <v>0.90697891667745278</v>
      </c>
      <c r="M3362" s="4">
        <v>9.3021083322547216E-2</v>
      </c>
      <c r="N3362">
        <v>8</v>
      </c>
    </row>
    <row r="3363" spans="1:14" x14ac:dyDescent="0.35">
      <c r="A3363" s="1">
        <v>3056</v>
      </c>
      <c r="B3363">
        <v>6</v>
      </c>
      <c r="C3363">
        <v>56</v>
      </c>
      <c r="D3363">
        <v>5</v>
      </c>
      <c r="E3363">
        <v>0</v>
      </c>
      <c r="F3363">
        <v>3</v>
      </c>
      <c r="G3363">
        <v>3</v>
      </c>
      <c r="H3363">
        <v>3</v>
      </c>
      <c r="I3363">
        <v>0.01</v>
      </c>
      <c r="J3363">
        <v>8</v>
      </c>
      <c r="K3363">
        <v>0</v>
      </c>
      <c r="L3363" s="4">
        <v>0.90700104079515464</v>
      </c>
      <c r="M3363" s="4">
        <v>9.2998959204845341E-2</v>
      </c>
      <c r="N3363">
        <v>8</v>
      </c>
    </row>
    <row r="3364" spans="1:14" x14ac:dyDescent="0.35">
      <c r="A3364" s="1">
        <v>867</v>
      </c>
      <c r="B3364">
        <v>6</v>
      </c>
      <c r="C3364">
        <v>48</v>
      </c>
      <c r="D3364">
        <v>3</v>
      </c>
      <c r="E3364">
        <v>2</v>
      </c>
      <c r="F3364">
        <v>3</v>
      </c>
      <c r="G3364">
        <v>3</v>
      </c>
      <c r="H3364">
        <v>2</v>
      </c>
      <c r="I3364">
        <v>3100</v>
      </c>
      <c r="J3364">
        <v>14</v>
      </c>
      <c r="K3364">
        <v>0</v>
      </c>
      <c r="L3364" s="4">
        <v>0.90702128489603839</v>
      </c>
      <c r="M3364" s="4">
        <v>9.2978715103961593E-2</v>
      </c>
      <c r="N3364">
        <v>8</v>
      </c>
    </row>
    <row r="3365" spans="1:14" x14ac:dyDescent="0.35">
      <c r="A3365" s="1">
        <v>161</v>
      </c>
      <c r="B3365">
        <v>5</v>
      </c>
      <c r="C3365">
        <v>55</v>
      </c>
      <c r="D3365">
        <v>5</v>
      </c>
      <c r="E3365">
        <v>0</v>
      </c>
      <c r="F3365">
        <v>0</v>
      </c>
      <c r="G3365">
        <v>11</v>
      </c>
      <c r="H3365">
        <v>0</v>
      </c>
      <c r="I3365">
        <v>6673.5</v>
      </c>
      <c r="J3365">
        <v>7</v>
      </c>
      <c r="K3365">
        <v>0</v>
      </c>
      <c r="L3365" s="4">
        <v>0.90705858612608314</v>
      </c>
      <c r="M3365" s="4">
        <v>9.2941413873916856E-2</v>
      </c>
      <c r="N3365">
        <v>8</v>
      </c>
    </row>
    <row r="3366" spans="1:14" x14ac:dyDescent="0.35">
      <c r="A3366" s="1">
        <v>3215</v>
      </c>
      <c r="B3366">
        <v>11</v>
      </c>
      <c r="C3366">
        <v>75</v>
      </c>
      <c r="D3366">
        <v>2</v>
      </c>
      <c r="E3366">
        <v>1</v>
      </c>
      <c r="F3366">
        <v>3</v>
      </c>
      <c r="G3366">
        <v>3</v>
      </c>
      <c r="H3366">
        <v>0</v>
      </c>
      <c r="I3366">
        <v>6105.32</v>
      </c>
      <c r="J3366">
        <v>7</v>
      </c>
      <c r="K3366">
        <v>0</v>
      </c>
      <c r="L3366" s="4">
        <v>0.90706000912138174</v>
      </c>
      <c r="M3366" s="4">
        <v>9.2939990878618275E-2</v>
      </c>
      <c r="N3366">
        <v>8</v>
      </c>
    </row>
    <row r="3367" spans="1:14" x14ac:dyDescent="0.35">
      <c r="A3367" s="1">
        <v>3203</v>
      </c>
      <c r="B3367">
        <v>8</v>
      </c>
      <c r="C3367">
        <v>62</v>
      </c>
      <c r="D3367">
        <v>4</v>
      </c>
      <c r="E3367">
        <v>1</v>
      </c>
      <c r="F3367">
        <v>1</v>
      </c>
      <c r="G3367">
        <v>12</v>
      </c>
      <c r="H3367">
        <v>0</v>
      </c>
      <c r="I3367">
        <v>6000</v>
      </c>
      <c r="J3367">
        <v>2</v>
      </c>
      <c r="K3367">
        <v>1</v>
      </c>
      <c r="L3367" s="4">
        <v>0.90711455755773585</v>
      </c>
      <c r="M3367" s="4">
        <v>9.2885442442264196E-2</v>
      </c>
      <c r="N3367">
        <v>8</v>
      </c>
    </row>
    <row r="3368" spans="1:14" x14ac:dyDescent="0.35">
      <c r="A3368" s="1">
        <v>3149</v>
      </c>
      <c r="B3368">
        <v>7</v>
      </c>
      <c r="C3368">
        <v>60</v>
      </c>
      <c r="D3368">
        <v>5</v>
      </c>
      <c r="E3368">
        <v>0</v>
      </c>
      <c r="F3368">
        <v>3</v>
      </c>
      <c r="G3368">
        <v>3</v>
      </c>
      <c r="H3368">
        <v>3</v>
      </c>
      <c r="I3368">
        <v>0.01</v>
      </c>
      <c r="J3368">
        <v>4</v>
      </c>
      <c r="K3368">
        <v>0</v>
      </c>
      <c r="L3368" s="4">
        <v>0.90717958278923805</v>
      </c>
      <c r="M3368" s="4">
        <v>9.2820417210761966E-2</v>
      </c>
      <c r="N3368">
        <v>8</v>
      </c>
    </row>
    <row r="3369" spans="1:14" x14ac:dyDescent="0.35">
      <c r="A3369" s="1">
        <v>2280</v>
      </c>
      <c r="B3369">
        <v>3</v>
      </c>
      <c r="C3369">
        <v>46</v>
      </c>
      <c r="D3369">
        <v>1</v>
      </c>
      <c r="E3369">
        <v>0</v>
      </c>
      <c r="F3369">
        <v>3</v>
      </c>
      <c r="G3369">
        <v>8</v>
      </c>
      <c r="H3369">
        <v>2</v>
      </c>
      <c r="I3369">
        <v>4000.01</v>
      </c>
      <c r="J3369">
        <v>5</v>
      </c>
      <c r="K3369">
        <v>0</v>
      </c>
      <c r="L3369" s="4">
        <v>0.90742602080122969</v>
      </c>
      <c r="M3369" s="4">
        <v>9.2573979198770306E-2</v>
      </c>
      <c r="N3369">
        <v>8</v>
      </c>
    </row>
    <row r="3370" spans="1:14" x14ac:dyDescent="0.35">
      <c r="A3370" s="1">
        <v>1637</v>
      </c>
      <c r="B3370">
        <v>7</v>
      </c>
      <c r="C3370">
        <v>65</v>
      </c>
      <c r="D3370">
        <v>2</v>
      </c>
      <c r="E3370">
        <v>0</v>
      </c>
      <c r="F3370">
        <v>0</v>
      </c>
      <c r="G3370">
        <v>4</v>
      </c>
      <c r="H3370">
        <v>1</v>
      </c>
      <c r="I3370">
        <v>32437.64</v>
      </c>
      <c r="J3370">
        <v>3</v>
      </c>
      <c r="K3370">
        <v>0</v>
      </c>
      <c r="L3370" s="4">
        <v>0.90744645067266594</v>
      </c>
      <c r="M3370" s="4">
        <v>9.2553549327334034E-2</v>
      </c>
      <c r="N3370">
        <v>8</v>
      </c>
    </row>
    <row r="3371" spans="1:14" x14ac:dyDescent="0.35">
      <c r="A3371" s="1">
        <v>869</v>
      </c>
      <c r="B3371">
        <v>7</v>
      </c>
      <c r="C3371">
        <v>65</v>
      </c>
      <c r="D3371">
        <v>0</v>
      </c>
      <c r="E3371">
        <v>0</v>
      </c>
      <c r="F3371">
        <v>3</v>
      </c>
      <c r="G3371">
        <v>3</v>
      </c>
      <c r="H3371">
        <v>0</v>
      </c>
      <c r="I3371">
        <v>18000</v>
      </c>
      <c r="J3371">
        <v>8</v>
      </c>
      <c r="K3371">
        <v>0</v>
      </c>
      <c r="L3371" s="4">
        <v>0.90744692029731833</v>
      </c>
      <c r="M3371" s="4">
        <v>9.2553079702681645E-2</v>
      </c>
      <c r="N3371">
        <v>8</v>
      </c>
    </row>
    <row r="3372" spans="1:14" x14ac:dyDescent="0.35">
      <c r="A3372" s="1">
        <v>2531</v>
      </c>
      <c r="B3372">
        <v>5</v>
      </c>
      <c r="C3372">
        <v>55</v>
      </c>
      <c r="D3372">
        <v>0</v>
      </c>
      <c r="E3372">
        <v>0</v>
      </c>
      <c r="F3372">
        <v>3</v>
      </c>
      <c r="G3372">
        <v>3</v>
      </c>
      <c r="H3372">
        <v>2</v>
      </c>
      <c r="I3372">
        <v>5000</v>
      </c>
      <c r="J3372">
        <v>3</v>
      </c>
      <c r="K3372">
        <v>0</v>
      </c>
      <c r="L3372" s="4">
        <v>0.9075384641289479</v>
      </c>
      <c r="M3372" s="4">
        <v>9.2461535871052061E-2</v>
      </c>
      <c r="N3372">
        <v>8</v>
      </c>
    </row>
    <row r="3373" spans="1:14" x14ac:dyDescent="0.35">
      <c r="A3373" s="1">
        <v>4090</v>
      </c>
      <c r="B3373">
        <v>7</v>
      </c>
      <c r="C3373">
        <v>64</v>
      </c>
      <c r="D3373">
        <v>5</v>
      </c>
      <c r="E3373">
        <v>0</v>
      </c>
      <c r="F3373">
        <v>0</v>
      </c>
      <c r="G3373">
        <v>4</v>
      </c>
      <c r="H3373">
        <v>0</v>
      </c>
      <c r="I3373">
        <v>12050</v>
      </c>
      <c r="J3373">
        <v>8</v>
      </c>
      <c r="K3373">
        <v>0</v>
      </c>
      <c r="L3373" s="4">
        <v>0.90754270379572921</v>
      </c>
      <c r="M3373" s="4">
        <v>9.2457296204270803E-2</v>
      </c>
      <c r="N3373">
        <v>8</v>
      </c>
    </row>
    <row r="3374" spans="1:14" x14ac:dyDescent="0.35">
      <c r="A3374" s="1">
        <v>805</v>
      </c>
      <c r="B3374">
        <v>9</v>
      </c>
      <c r="C3374">
        <v>70</v>
      </c>
      <c r="D3374">
        <v>5</v>
      </c>
      <c r="E3374">
        <v>0</v>
      </c>
      <c r="F3374">
        <v>2</v>
      </c>
      <c r="G3374">
        <v>0</v>
      </c>
      <c r="H3374">
        <v>2</v>
      </c>
      <c r="I3374">
        <v>1000</v>
      </c>
      <c r="J3374">
        <v>19</v>
      </c>
      <c r="K3374">
        <v>1</v>
      </c>
      <c r="L3374" s="4">
        <v>0.90755883090389222</v>
      </c>
      <c r="M3374" s="4">
        <v>9.2441169096107806E-2</v>
      </c>
      <c r="N3374">
        <v>8</v>
      </c>
    </row>
    <row r="3375" spans="1:14" x14ac:dyDescent="0.35">
      <c r="A3375" s="1">
        <v>3058</v>
      </c>
      <c r="B3375">
        <v>6</v>
      </c>
      <c r="C3375">
        <v>58</v>
      </c>
      <c r="D3375">
        <v>4</v>
      </c>
      <c r="E3375">
        <v>0</v>
      </c>
      <c r="F3375">
        <v>0</v>
      </c>
      <c r="G3375">
        <v>2</v>
      </c>
      <c r="H3375">
        <v>3</v>
      </c>
      <c r="I3375">
        <v>0.01</v>
      </c>
      <c r="J3375">
        <v>5</v>
      </c>
      <c r="K3375">
        <v>0</v>
      </c>
      <c r="L3375" s="4">
        <v>0.9076012464354889</v>
      </c>
      <c r="M3375" s="4">
        <v>9.2398753564511077E-2</v>
      </c>
      <c r="N3375">
        <v>8</v>
      </c>
    </row>
    <row r="3376" spans="1:14" x14ac:dyDescent="0.35">
      <c r="A3376" s="1">
        <v>239</v>
      </c>
      <c r="B3376">
        <v>7</v>
      </c>
      <c r="C3376">
        <v>57</v>
      </c>
      <c r="D3376">
        <v>4</v>
      </c>
      <c r="E3376">
        <v>1</v>
      </c>
      <c r="F3376">
        <v>0</v>
      </c>
      <c r="G3376">
        <v>4</v>
      </c>
      <c r="H3376">
        <v>3</v>
      </c>
      <c r="I3376">
        <v>0.01</v>
      </c>
      <c r="J3376">
        <v>5</v>
      </c>
      <c r="K3376">
        <v>0</v>
      </c>
      <c r="L3376" s="4">
        <v>0.90781606985810714</v>
      </c>
      <c r="M3376" s="4">
        <v>9.218393014189287E-2</v>
      </c>
      <c r="N3376">
        <v>8</v>
      </c>
    </row>
    <row r="3377" spans="1:14" x14ac:dyDescent="0.35">
      <c r="A3377" s="1">
        <v>3695</v>
      </c>
      <c r="B3377">
        <v>5</v>
      </c>
      <c r="C3377">
        <v>55</v>
      </c>
      <c r="D3377">
        <v>5</v>
      </c>
      <c r="E3377">
        <v>0</v>
      </c>
      <c r="F3377">
        <v>1</v>
      </c>
      <c r="G3377">
        <v>12</v>
      </c>
      <c r="H3377">
        <v>0</v>
      </c>
      <c r="I3377">
        <v>20000</v>
      </c>
      <c r="J3377">
        <v>9</v>
      </c>
      <c r="K3377">
        <v>1</v>
      </c>
      <c r="L3377" s="4">
        <v>0.9078874752654813</v>
      </c>
      <c r="M3377" s="4">
        <v>9.2112524734518655E-2</v>
      </c>
      <c r="N3377">
        <v>8</v>
      </c>
    </row>
    <row r="3378" spans="1:14" x14ac:dyDescent="0.35">
      <c r="A3378" s="1">
        <v>1842</v>
      </c>
      <c r="B3378">
        <v>4</v>
      </c>
      <c r="C3378">
        <v>52</v>
      </c>
      <c r="D3378">
        <v>3</v>
      </c>
      <c r="E3378">
        <v>0</v>
      </c>
      <c r="F3378">
        <v>0</v>
      </c>
      <c r="G3378">
        <v>11</v>
      </c>
      <c r="H3378">
        <v>0</v>
      </c>
      <c r="I3378">
        <v>11000</v>
      </c>
      <c r="J3378">
        <v>2</v>
      </c>
      <c r="K3378">
        <v>0</v>
      </c>
      <c r="L3378" s="4">
        <v>0.90790192868410469</v>
      </c>
      <c r="M3378" s="4">
        <v>9.2098071315895355E-2</v>
      </c>
      <c r="N3378">
        <v>8</v>
      </c>
    </row>
    <row r="3379" spans="1:14" x14ac:dyDescent="0.35">
      <c r="A3379" s="1">
        <v>1168</v>
      </c>
      <c r="B3379">
        <v>8</v>
      </c>
      <c r="C3379">
        <v>61</v>
      </c>
      <c r="D3379">
        <v>3</v>
      </c>
      <c r="E3379">
        <v>1</v>
      </c>
      <c r="F3379">
        <v>3</v>
      </c>
      <c r="G3379">
        <v>3</v>
      </c>
      <c r="H3379">
        <v>2</v>
      </c>
      <c r="I3379">
        <v>2000</v>
      </c>
      <c r="J3379">
        <v>6</v>
      </c>
      <c r="K3379">
        <v>0</v>
      </c>
      <c r="L3379" s="4">
        <v>0.90797842255170025</v>
      </c>
      <c r="M3379" s="4">
        <v>9.2021577448299779E-2</v>
      </c>
      <c r="N3379">
        <v>8</v>
      </c>
    </row>
    <row r="3380" spans="1:14" x14ac:dyDescent="0.35">
      <c r="A3380" s="1">
        <v>3482</v>
      </c>
      <c r="B3380">
        <v>8</v>
      </c>
      <c r="C3380">
        <v>67</v>
      </c>
      <c r="D3380">
        <v>2</v>
      </c>
      <c r="E3380">
        <v>0</v>
      </c>
      <c r="F3380">
        <v>2</v>
      </c>
      <c r="G3380">
        <v>1</v>
      </c>
      <c r="H3380">
        <v>2</v>
      </c>
      <c r="I3380">
        <v>18.829999999999998</v>
      </c>
      <c r="J3380">
        <v>8</v>
      </c>
      <c r="K3380">
        <v>0</v>
      </c>
      <c r="L3380" s="4">
        <v>0.90801871897074982</v>
      </c>
      <c r="M3380" s="4">
        <v>9.1981281029250198E-2</v>
      </c>
      <c r="N3380">
        <v>8</v>
      </c>
    </row>
    <row r="3381" spans="1:14" x14ac:dyDescent="0.35">
      <c r="A3381" s="1">
        <v>1949</v>
      </c>
      <c r="B3381">
        <v>10</v>
      </c>
      <c r="C3381">
        <v>74</v>
      </c>
      <c r="D3381">
        <v>3</v>
      </c>
      <c r="E3381">
        <v>0</v>
      </c>
      <c r="F3381">
        <v>3</v>
      </c>
      <c r="G3381">
        <v>3</v>
      </c>
      <c r="H3381">
        <v>2</v>
      </c>
      <c r="I3381">
        <v>2000</v>
      </c>
      <c r="J3381">
        <v>5</v>
      </c>
      <c r="K3381">
        <v>0</v>
      </c>
      <c r="L3381" s="4">
        <v>0.90803141679473365</v>
      </c>
      <c r="M3381" s="4">
        <v>9.196858320526631E-2</v>
      </c>
      <c r="N3381">
        <v>8</v>
      </c>
    </row>
    <row r="3382" spans="1:14" x14ac:dyDescent="0.35">
      <c r="A3382" s="1">
        <v>2897</v>
      </c>
      <c r="B3382">
        <v>8</v>
      </c>
      <c r="C3382">
        <v>62</v>
      </c>
      <c r="D3382">
        <v>5</v>
      </c>
      <c r="E3382">
        <v>1</v>
      </c>
      <c r="F3382">
        <v>3</v>
      </c>
      <c r="G3382">
        <v>3</v>
      </c>
      <c r="H3382">
        <v>0</v>
      </c>
      <c r="I3382">
        <v>15000</v>
      </c>
      <c r="J3382">
        <v>8</v>
      </c>
      <c r="K3382">
        <v>0</v>
      </c>
      <c r="L3382" s="4">
        <v>0.90808193822984529</v>
      </c>
      <c r="M3382" s="4">
        <v>9.1918061770154727E-2</v>
      </c>
      <c r="N3382">
        <v>8</v>
      </c>
    </row>
    <row r="3383" spans="1:14" x14ac:dyDescent="0.35">
      <c r="A3383" s="1">
        <v>1903</v>
      </c>
      <c r="B3383">
        <v>5</v>
      </c>
      <c r="C3383">
        <v>51</v>
      </c>
      <c r="D3383">
        <v>2</v>
      </c>
      <c r="E3383">
        <v>1</v>
      </c>
      <c r="F3383">
        <v>2</v>
      </c>
      <c r="G3383">
        <v>6</v>
      </c>
      <c r="H3383">
        <v>0</v>
      </c>
      <c r="I3383">
        <v>6000</v>
      </c>
      <c r="J3383">
        <v>2</v>
      </c>
      <c r="K3383">
        <v>0</v>
      </c>
      <c r="L3383" s="4">
        <v>0.90813088979197698</v>
      </c>
      <c r="M3383" s="4">
        <v>9.1869110208023047E-2</v>
      </c>
      <c r="N3383">
        <v>8</v>
      </c>
    </row>
    <row r="3384" spans="1:14" x14ac:dyDescent="0.35">
      <c r="A3384" s="1">
        <v>2722</v>
      </c>
      <c r="B3384">
        <v>6</v>
      </c>
      <c r="C3384">
        <v>51</v>
      </c>
      <c r="D3384">
        <v>5</v>
      </c>
      <c r="E3384">
        <v>1</v>
      </c>
      <c r="F3384">
        <v>4</v>
      </c>
      <c r="G3384">
        <v>9</v>
      </c>
      <c r="H3384">
        <v>2</v>
      </c>
      <c r="I3384">
        <v>2000</v>
      </c>
      <c r="J3384">
        <v>1</v>
      </c>
      <c r="K3384">
        <v>0</v>
      </c>
      <c r="L3384" s="4">
        <v>0.90848583073770262</v>
      </c>
      <c r="M3384" s="4">
        <v>9.1514169262297357E-2</v>
      </c>
      <c r="N3384">
        <v>8</v>
      </c>
    </row>
    <row r="3385" spans="1:14" x14ac:dyDescent="0.35">
      <c r="A3385" s="1">
        <v>3258</v>
      </c>
      <c r="B3385">
        <v>11</v>
      </c>
      <c r="C3385">
        <v>74</v>
      </c>
      <c r="D3385">
        <v>3</v>
      </c>
      <c r="E3385">
        <v>1</v>
      </c>
      <c r="F3385">
        <v>0</v>
      </c>
      <c r="G3385">
        <v>11</v>
      </c>
      <c r="H3385">
        <v>2</v>
      </c>
      <c r="I3385">
        <v>5000</v>
      </c>
      <c r="J3385">
        <v>5</v>
      </c>
      <c r="K3385">
        <v>0</v>
      </c>
      <c r="L3385" s="4">
        <v>0.90849524856468067</v>
      </c>
      <c r="M3385" s="4">
        <v>9.1504751435319345E-2</v>
      </c>
      <c r="N3385">
        <v>8</v>
      </c>
    </row>
    <row r="3386" spans="1:14" x14ac:dyDescent="0.35">
      <c r="A3386" s="1">
        <v>3671</v>
      </c>
      <c r="B3386">
        <v>7</v>
      </c>
      <c r="C3386">
        <v>62</v>
      </c>
      <c r="D3386">
        <v>3</v>
      </c>
      <c r="E3386">
        <v>0</v>
      </c>
      <c r="F3386">
        <v>3</v>
      </c>
      <c r="G3386">
        <v>3</v>
      </c>
      <c r="H3386">
        <v>2</v>
      </c>
      <c r="I3386">
        <v>76.900000000000006</v>
      </c>
      <c r="J3386">
        <v>10</v>
      </c>
      <c r="K3386">
        <v>0</v>
      </c>
      <c r="L3386" s="4">
        <v>0.90850951982870443</v>
      </c>
      <c r="M3386" s="4">
        <v>9.1490480171295532E-2</v>
      </c>
      <c r="N3386">
        <v>8</v>
      </c>
    </row>
    <row r="3387" spans="1:14" x14ac:dyDescent="0.35">
      <c r="A3387" s="1">
        <v>4137</v>
      </c>
      <c r="B3387">
        <v>5</v>
      </c>
      <c r="C3387">
        <v>45</v>
      </c>
      <c r="D3387">
        <v>1</v>
      </c>
      <c r="E3387">
        <v>2</v>
      </c>
      <c r="F3387">
        <v>3</v>
      </c>
      <c r="G3387">
        <v>3</v>
      </c>
      <c r="H3387">
        <v>2</v>
      </c>
      <c r="I3387">
        <v>600</v>
      </c>
      <c r="J3387">
        <v>11</v>
      </c>
      <c r="K3387">
        <v>0</v>
      </c>
      <c r="L3387" s="4">
        <v>0.90856756776591507</v>
      </c>
      <c r="M3387" s="4">
        <v>9.1432432234084926E-2</v>
      </c>
      <c r="N3387">
        <v>8</v>
      </c>
    </row>
    <row r="3388" spans="1:14" x14ac:dyDescent="0.35">
      <c r="A3388" s="1">
        <v>618</v>
      </c>
      <c r="B3388">
        <v>6</v>
      </c>
      <c r="C3388">
        <v>57</v>
      </c>
      <c r="D3388">
        <v>5</v>
      </c>
      <c r="E3388">
        <v>0</v>
      </c>
      <c r="F3388">
        <v>2</v>
      </c>
      <c r="G3388">
        <v>1</v>
      </c>
      <c r="H3388">
        <v>3</v>
      </c>
      <c r="I3388">
        <v>0.01</v>
      </c>
      <c r="J3388">
        <v>7</v>
      </c>
      <c r="K3388">
        <v>0</v>
      </c>
      <c r="L3388" s="4">
        <v>0.90884476269374403</v>
      </c>
      <c r="M3388" s="4">
        <v>9.1155237306256007E-2</v>
      </c>
      <c r="N3388">
        <v>8</v>
      </c>
    </row>
    <row r="3389" spans="1:14" x14ac:dyDescent="0.35">
      <c r="A3389" s="1">
        <v>2091</v>
      </c>
      <c r="B3389">
        <v>6</v>
      </c>
      <c r="C3389">
        <v>61</v>
      </c>
      <c r="D3389">
        <v>1</v>
      </c>
      <c r="E3389">
        <v>0</v>
      </c>
      <c r="F3389">
        <v>1</v>
      </c>
      <c r="G3389">
        <v>7</v>
      </c>
      <c r="H3389">
        <v>0</v>
      </c>
      <c r="I3389">
        <v>5500.01</v>
      </c>
      <c r="J3389">
        <v>5</v>
      </c>
      <c r="K3389">
        <v>0</v>
      </c>
      <c r="L3389" s="4">
        <v>0.90898308109207393</v>
      </c>
      <c r="M3389" s="4">
        <v>9.1016918907926084E-2</v>
      </c>
      <c r="N3389">
        <v>8</v>
      </c>
    </row>
    <row r="3390" spans="1:14" x14ac:dyDescent="0.35">
      <c r="A3390" s="1">
        <v>2634</v>
      </c>
      <c r="B3390">
        <v>11</v>
      </c>
      <c r="C3390">
        <v>79</v>
      </c>
      <c r="D3390">
        <v>5</v>
      </c>
      <c r="E3390">
        <v>0</v>
      </c>
      <c r="F3390">
        <v>0</v>
      </c>
      <c r="G3390">
        <v>2</v>
      </c>
      <c r="H3390">
        <v>2</v>
      </c>
      <c r="I3390">
        <v>3000</v>
      </c>
      <c r="J3390">
        <v>9</v>
      </c>
      <c r="K3390">
        <v>0</v>
      </c>
      <c r="L3390" s="4">
        <v>0.90904863612580655</v>
      </c>
      <c r="M3390" s="4">
        <v>9.0951363874193461E-2</v>
      </c>
      <c r="N3390">
        <v>8</v>
      </c>
    </row>
    <row r="3391" spans="1:14" x14ac:dyDescent="0.35">
      <c r="A3391" s="1">
        <v>3195</v>
      </c>
      <c r="B3391">
        <v>9</v>
      </c>
      <c r="C3391">
        <v>72</v>
      </c>
      <c r="D3391">
        <v>1</v>
      </c>
      <c r="E3391">
        <v>0</v>
      </c>
      <c r="F3391">
        <v>1</v>
      </c>
      <c r="G3391">
        <v>5</v>
      </c>
      <c r="H3391">
        <v>2</v>
      </c>
      <c r="I3391">
        <v>1500</v>
      </c>
      <c r="J3391">
        <v>15</v>
      </c>
      <c r="K3391">
        <v>0</v>
      </c>
      <c r="L3391" s="4">
        <v>0.90909879023140028</v>
      </c>
      <c r="M3391" s="4">
        <v>9.0901209768599667E-2</v>
      </c>
      <c r="N3391">
        <v>8</v>
      </c>
    </row>
    <row r="3392" spans="1:14" x14ac:dyDescent="0.35">
      <c r="A3392" s="1">
        <v>2343</v>
      </c>
      <c r="B3392">
        <v>7</v>
      </c>
      <c r="C3392">
        <v>64</v>
      </c>
      <c r="D3392">
        <v>2</v>
      </c>
      <c r="E3392">
        <v>0</v>
      </c>
      <c r="F3392">
        <v>0</v>
      </c>
      <c r="G3392">
        <v>2</v>
      </c>
      <c r="H3392">
        <v>2</v>
      </c>
      <c r="I3392">
        <v>4000</v>
      </c>
      <c r="J3392">
        <v>2</v>
      </c>
      <c r="K3392">
        <v>0</v>
      </c>
      <c r="L3392" s="4">
        <v>0.90910957893462863</v>
      </c>
      <c r="M3392" s="4">
        <v>9.0890421065371388E-2</v>
      </c>
      <c r="N3392">
        <v>8</v>
      </c>
    </row>
    <row r="3393" spans="1:14" x14ac:dyDescent="0.35">
      <c r="A3393" s="1">
        <v>1335</v>
      </c>
      <c r="B3393">
        <v>6</v>
      </c>
      <c r="C3393">
        <v>53</v>
      </c>
      <c r="D3393">
        <v>5</v>
      </c>
      <c r="E3393">
        <v>1</v>
      </c>
      <c r="F3393">
        <v>2</v>
      </c>
      <c r="G3393">
        <v>1</v>
      </c>
      <c r="H3393">
        <v>2</v>
      </c>
      <c r="I3393">
        <v>3000</v>
      </c>
      <c r="J3393">
        <v>9</v>
      </c>
      <c r="K3393">
        <v>0</v>
      </c>
      <c r="L3393" s="4">
        <v>0.90912320297511362</v>
      </c>
      <c r="M3393" s="4">
        <v>9.087679702488638E-2</v>
      </c>
      <c r="N3393">
        <v>8</v>
      </c>
    </row>
    <row r="3394" spans="1:14" x14ac:dyDescent="0.35">
      <c r="A3394" s="1">
        <v>1615</v>
      </c>
      <c r="B3394">
        <v>3</v>
      </c>
      <c r="C3394">
        <v>46</v>
      </c>
      <c r="D3394">
        <v>1</v>
      </c>
      <c r="E3394">
        <v>0</v>
      </c>
      <c r="F3394">
        <v>3</v>
      </c>
      <c r="G3394">
        <v>3</v>
      </c>
      <c r="H3394">
        <v>3</v>
      </c>
      <c r="I3394">
        <v>0.01</v>
      </c>
      <c r="J3394">
        <v>7</v>
      </c>
      <c r="K3394">
        <v>0</v>
      </c>
      <c r="L3394" s="4">
        <v>0.90912873635239577</v>
      </c>
      <c r="M3394" s="4">
        <v>9.0871263647604242E-2</v>
      </c>
      <c r="N3394">
        <v>8</v>
      </c>
    </row>
    <row r="3395" spans="1:14" x14ac:dyDescent="0.35">
      <c r="A3395" s="1">
        <v>1159</v>
      </c>
      <c r="B3395">
        <v>4</v>
      </c>
      <c r="C3395">
        <v>51</v>
      </c>
      <c r="D3395">
        <v>1</v>
      </c>
      <c r="E3395">
        <v>0</v>
      </c>
      <c r="F3395">
        <v>3</v>
      </c>
      <c r="G3395">
        <v>3</v>
      </c>
      <c r="H3395">
        <v>2</v>
      </c>
      <c r="I3395">
        <v>2550</v>
      </c>
      <c r="J3395">
        <v>14</v>
      </c>
      <c r="K3395">
        <v>0</v>
      </c>
      <c r="L3395" s="4">
        <v>0.90913174527882101</v>
      </c>
      <c r="M3395" s="4">
        <v>9.0868254721179029E-2</v>
      </c>
      <c r="N3395">
        <v>8</v>
      </c>
    </row>
    <row r="3396" spans="1:14" x14ac:dyDescent="0.35">
      <c r="A3396" s="1">
        <v>1496</v>
      </c>
      <c r="B3396">
        <v>6</v>
      </c>
      <c r="C3396">
        <v>54</v>
      </c>
      <c r="D3396">
        <v>1</v>
      </c>
      <c r="E3396">
        <v>1</v>
      </c>
      <c r="F3396">
        <v>1</v>
      </c>
      <c r="G3396">
        <v>5</v>
      </c>
      <c r="H3396">
        <v>3</v>
      </c>
      <c r="I3396">
        <v>0.01</v>
      </c>
      <c r="J3396">
        <v>5</v>
      </c>
      <c r="K3396">
        <v>0</v>
      </c>
      <c r="L3396" s="4">
        <v>0.90932806502429819</v>
      </c>
      <c r="M3396" s="4">
        <v>9.0671934975701821E-2</v>
      </c>
      <c r="N3396">
        <v>8</v>
      </c>
    </row>
    <row r="3397" spans="1:14" x14ac:dyDescent="0.35">
      <c r="A3397" s="1">
        <v>930</v>
      </c>
      <c r="B3397">
        <v>8</v>
      </c>
      <c r="C3397">
        <v>69</v>
      </c>
      <c r="D3397">
        <v>3</v>
      </c>
      <c r="E3397">
        <v>0</v>
      </c>
      <c r="F3397">
        <v>0</v>
      </c>
      <c r="G3397">
        <v>4</v>
      </c>
      <c r="H3397">
        <v>0</v>
      </c>
      <c r="I3397">
        <v>6000</v>
      </c>
      <c r="J3397">
        <v>1</v>
      </c>
      <c r="K3397">
        <v>0</v>
      </c>
      <c r="L3397" s="4">
        <v>0.90947851134743962</v>
      </c>
      <c r="M3397" s="4">
        <v>9.052148865256035E-2</v>
      </c>
      <c r="N3397">
        <v>8</v>
      </c>
    </row>
    <row r="3398" spans="1:14" x14ac:dyDescent="0.35">
      <c r="A3398" s="1">
        <v>917</v>
      </c>
      <c r="B3398">
        <v>9</v>
      </c>
      <c r="C3398">
        <v>68</v>
      </c>
      <c r="D3398">
        <v>4</v>
      </c>
      <c r="E3398">
        <v>0</v>
      </c>
      <c r="F3398">
        <v>4</v>
      </c>
      <c r="G3398">
        <v>9</v>
      </c>
      <c r="H3398">
        <v>3</v>
      </c>
      <c r="I3398">
        <v>0.01</v>
      </c>
      <c r="J3398">
        <v>5</v>
      </c>
      <c r="K3398">
        <v>0</v>
      </c>
      <c r="L3398" s="4">
        <v>0.90948839935632653</v>
      </c>
      <c r="M3398" s="4">
        <v>9.0511600643673432E-2</v>
      </c>
      <c r="N3398">
        <v>8</v>
      </c>
    </row>
    <row r="3399" spans="1:14" x14ac:dyDescent="0.35">
      <c r="A3399" s="1">
        <v>556</v>
      </c>
      <c r="B3399">
        <v>5</v>
      </c>
      <c r="C3399">
        <v>50</v>
      </c>
      <c r="D3399">
        <v>4</v>
      </c>
      <c r="E3399">
        <v>1</v>
      </c>
      <c r="F3399">
        <v>1</v>
      </c>
      <c r="G3399">
        <v>12</v>
      </c>
      <c r="H3399">
        <v>1</v>
      </c>
      <c r="I3399">
        <v>20435.71</v>
      </c>
      <c r="J3399">
        <v>3</v>
      </c>
      <c r="K3399">
        <v>0</v>
      </c>
      <c r="L3399" s="4">
        <v>0.90949084331243768</v>
      </c>
      <c r="M3399" s="4">
        <v>9.0509156687562348E-2</v>
      </c>
      <c r="N3399">
        <v>8</v>
      </c>
    </row>
    <row r="3400" spans="1:14" x14ac:dyDescent="0.35">
      <c r="A3400" s="1">
        <v>894</v>
      </c>
      <c r="B3400">
        <v>4</v>
      </c>
      <c r="C3400">
        <v>51</v>
      </c>
      <c r="D3400">
        <v>5</v>
      </c>
      <c r="E3400">
        <v>0</v>
      </c>
      <c r="F3400">
        <v>1</v>
      </c>
      <c r="G3400">
        <v>12</v>
      </c>
      <c r="H3400">
        <v>0</v>
      </c>
      <c r="I3400">
        <v>8994.89</v>
      </c>
      <c r="J3400">
        <v>10</v>
      </c>
      <c r="K3400">
        <v>0</v>
      </c>
      <c r="L3400" s="4">
        <v>0.90950271224925028</v>
      </c>
      <c r="M3400" s="4">
        <v>9.0497287750749736E-2</v>
      </c>
      <c r="N3400">
        <v>8</v>
      </c>
    </row>
    <row r="3401" spans="1:14" x14ac:dyDescent="0.35">
      <c r="A3401" s="1">
        <v>3884</v>
      </c>
      <c r="B3401">
        <v>3</v>
      </c>
      <c r="C3401">
        <v>41</v>
      </c>
      <c r="D3401">
        <v>3</v>
      </c>
      <c r="E3401">
        <v>1</v>
      </c>
      <c r="F3401">
        <v>2</v>
      </c>
      <c r="G3401">
        <v>1</v>
      </c>
      <c r="H3401">
        <v>3</v>
      </c>
      <c r="I3401">
        <v>0.01</v>
      </c>
      <c r="J3401">
        <v>8</v>
      </c>
      <c r="K3401">
        <v>0</v>
      </c>
      <c r="L3401" s="4">
        <v>0.90966622476104952</v>
      </c>
      <c r="M3401" s="4">
        <v>9.0333775238950462E-2</v>
      </c>
      <c r="N3401">
        <v>8</v>
      </c>
    </row>
    <row r="3402" spans="1:14" x14ac:dyDescent="0.35">
      <c r="A3402" s="1">
        <v>695</v>
      </c>
      <c r="B3402">
        <v>7</v>
      </c>
      <c r="C3402">
        <v>54</v>
      </c>
      <c r="D3402">
        <v>3</v>
      </c>
      <c r="E3402">
        <v>2</v>
      </c>
      <c r="F3402">
        <v>3</v>
      </c>
      <c r="G3402">
        <v>3</v>
      </c>
      <c r="H3402">
        <v>0</v>
      </c>
      <c r="I3402">
        <v>6000</v>
      </c>
      <c r="J3402">
        <v>8</v>
      </c>
      <c r="K3402">
        <v>0</v>
      </c>
      <c r="L3402" s="4">
        <v>0.90971301076495159</v>
      </c>
      <c r="M3402" s="4">
        <v>9.0286989235048382E-2</v>
      </c>
      <c r="N3402">
        <v>8</v>
      </c>
    </row>
    <row r="3403" spans="1:14" x14ac:dyDescent="0.35">
      <c r="A3403" s="1">
        <v>624</v>
      </c>
      <c r="B3403">
        <v>9</v>
      </c>
      <c r="C3403">
        <v>67</v>
      </c>
      <c r="D3403">
        <v>1</v>
      </c>
      <c r="E3403">
        <v>1</v>
      </c>
      <c r="F3403">
        <v>0</v>
      </c>
      <c r="G3403">
        <v>11</v>
      </c>
      <c r="H3403">
        <v>2</v>
      </c>
      <c r="I3403">
        <v>4000</v>
      </c>
      <c r="J3403">
        <v>5</v>
      </c>
      <c r="K3403">
        <v>0</v>
      </c>
      <c r="L3403" s="4">
        <v>0.90975294731331702</v>
      </c>
      <c r="M3403" s="4">
        <v>9.0247052686682927E-2</v>
      </c>
      <c r="N3403">
        <v>8</v>
      </c>
    </row>
    <row r="3404" spans="1:14" x14ac:dyDescent="0.35">
      <c r="A3404" s="1">
        <v>1819</v>
      </c>
      <c r="B3404">
        <v>11</v>
      </c>
      <c r="C3404">
        <v>69</v>
      </c>
      <c r="D3404">
        <v>2</v>
      </c>
      <c r="E3404">
        <v>2</v>
      </c>
      <c r="F3404">
        <v>0</v>
      </c>
      <c r="G3404">
        <v>11</v>
      </c>
      <c r="H3404">
        <v>3</v>
      </c>
      <c r="I3404">
        <v>0.01</v>
      </c>
      <c r="J3404">
        <v>9</v>
      </c>
      <c r="K3404">
        <v>0</v>
      </c>
      <c r="L3404" s="4">
        <v>0.90975365624370985</v>
      </c>
      <c r="M3404" s="4">
        <v>9.0246343756290162E-2</v>
      </c>
      <c r="N3404">
        <v>8</v>
      </c>
    </row>
    <row r="3405" spans="1:14" x14ac:dyDescent="0.35">
      <c r="A3405" s="1">
        <v>1743</v>
      </c>
      <c r="B3405">
        <v>11</v>
      </c>
      <c r="C3405">
        <v>78</v>
      </c>
      <c r="D3405">
        <v>5</v>
      </c>
      <c r="E3405">
        <v>0</v>
      </c>
      <c r="F3405">
        <v>4</v>
      </c>
      <c r="G3405">
        <v>9</v>
      </c>
      <c r="H3405">
        <v>0</v>
      </c>
      <c r="I3405">
        <v>6000</v>
      </c>
      <c r="J3405">
        <v>1</v>
      </c>
      <c r="K3405">
        <v>1</v>
      </c>
      <c r="L3405" s="4">
        <v>0.90982082159966959</v>
      </c>
      <c r="M3405" s="4">
        <v>9.0179178400330379E-2</v>
      </c>
      <c r="N3405">
        <v>8</v>
      </c>
    </row>
    <row r="3406" spans="1:14" x14ac:dyDescent="0.35">
      <c r="A3406" s="1">
        <v>322</v>
      </c>
      <c r="B3406">
        <v>4</v>
      </c>
      <c r="C3406">
        <v>51</v>
      </c>
      <c r="D3406">
        <v>1</v>
      </c>
      <c r="E3406">
        <v>0</v>
      </c>
      <c r="F3406">
        <v>3</v>
      </c>
      <c r="G3406">
        <v>3</v>
      </c>
      <c r="H3406">
        <v>2</v>
      </c>
      <c r="I3406">
        <v>2500</v>
      </c>
      <c r="J3406">
        <v>6</v>
      </c>
      <c r="K3406">
        <v>0</v>
      </c>
      <c r="L3406" s="4">
        <v>0.90998406313609614</v>
      </c>
      <c r="M3406" s="4">
        <v>9.0015936863903828E-2</v>
      </c>
      <c r="N3406">
        <v>8</v>
      </c>
    </row>
    <row r="3407" spans="1:14" x14ac:dyDescent="0.35">
      <c r="A3407" s="1">
        <v>1350</v>
      </c>
      <c r="B3407">
        <v>8</v>
      </c>
      <c r="C3407">
        <v>57</v>
      </c>
      <c r="D3407">
        <v>2</v>
      </c>
      <c r="E3407">
        <v>2</v>
      </c>
      <c r="F3407">
        <v>3</v>
      </c>
      <c r="G3407">
        <v>3</v>
      </c>
      <c r="H3407">
        <v>2</v>
      </c>
      <c r="I3407">
        <v>3000</v>
      </c>
      <c r="J3407">
        <v>8</v>
      </c>
      <c r="K3407">
        <v>0</v>
      </c>
      <c r="L3407" s="4">
        <v>0.90998849471980603</v>
      </c>
      <c r="M3407" s="4">
        <v>9.0011505280193985E-2</v>
      </c>
      <c r="N3407">
        <v>8</v>
      </c>
    </row>
    <row r="3408" spans="1:14" x14ac:dyDescent="0.35">
      <c r="A3408" s="1">
        <v>3451</v>
      </c>
      <c r="B3408">
        <v>7</v>
      </c>
      <c r="C3408">
        <v>63</v>
      </c>
      <c r="D3408">
        <v>1</v>
      </c>
      <c r="E3408">
        <v>0</v>
      </c>
      <c r="F3408">
        <v>3</v>
      </c>
      <c r="G3408">
        <v>3</v>
      </c>
      <c r="H3408">
        <v>2</v>
      </c>
      <c r="I3408">
        <v>100</v>
      </c>
      <c r="J3408">
        <v>1</v>
      </c>
      <c r="K3408">
        <v>0</v>
      </c>
      <c r="L3408" s="4">
        <v>0.91008452541301632</v>
      </c>
      <c r="M3408" s="4">
        <v>8.9915474586983637E-2</v>
      </c>
      <c r="N3408">
        <v>8</v>
      </c>
    </row>
    <row r="3409" spans="1:14" x14ac:dyDescent="0.35">
      <c r="A3409" s="1">
        <v>2948</v>
      </c>
      <c r="B3409">
        <v>9</v>
      </c>
      <c r="C3409">
        <v>74</v>
      </c>
      <c r="D3409">
        <v>2</v>
      </c>
      <c r="E3409">
        <v>0</v>
      </c>
      <c r="F3409">
        <v>0</v>
      </c>
      <c r="G3409">
        <v>4</v>
      </c>
      <c r="H3409">
        <v>0</v>
      </c>
      <c r="I3409">
        <v>11605.32</v>
      </c>
      <c r="J3409">
        <v>12</v>
      </c>
      <c r="K3409">
        <v>0</v>
      </c>
      <c r="L3409" s="4">
        <v>0.9101089799126213</v>
      </c>
      <c r="M3409" s="4">
        <v>8.989102008737869E-2</v>
      </c>
      <c r="N3409">
        <v>8</v>
      </c>
    </row>
    <row r="3410" spans="1:14" x14ac:dyDescent="0.35">
      <c r="A3410" s="1">
        <v>2690</v>
      </c>
      <c r="B3410">
        <v>3</v>
      </c>
      <c r="C3410">
        <v>44</v>
      </c>
      <c r="D3410">
        <v>5</v>
      </c>
      <c r="E3410">
        <v>0</v>
      </c>
      <c r="F3410">
        <v>3</v>
      </c>
      <c r="G3410">
        <v>8</v>
      </c>
      <c r="H3410">
        <v>3</v>
      </c>
      <c r="I3410">
        <v>0.01</v>
      </c>
      <c r="J3410">
        <v>7</v>
      </c>
      <c r="K3410">
        <v>0</v>
      </c>
      <c r="L3410" s="4">
        <v>0.91014059791514157</v>
      </c>
      <c r="M3410" s="4">
        <v>8.9859402084858445E-2</v>
      </c>
      <c r="N3410">
        <v>8</v>
      </c>
    </row>
    <row r="3411" spans="1:14" x14ac:dyDescent="0.35">
      <c r="A3411" s="1">
        <v>2628</v>
      </c>
      <c r="B3411">
        <v>4</v>
      </c>
      <c r="C3411">
        <v>51</v>
      </c>
      <c r="D3411">
        <v>1</v>
      </c>
      <c r="E3411">
        <v>0</v>
      </c>
      <c r="F3411">
        <v>1</v>
      </c>
      <c r="G3411">
        <v>5</v>
      </c>
      <c r="H3411">
        <v>3</v>
      </c>
      <c r="I3411">
        <v>0.01</v>
      </c>
      <c r="J3411">
        <v>5</v>
      </c>
      <c r="K3411">
        <v>0</v>
      </c>
      <c r="L3411" s="4">
        <v>0.91026659152657952</v>
      </c>
      <c r="M3411" s="4">
        <v>8.9733408473420442E-2</v>
      </c>
      <c r="N3411">
        <v>8</v>
      </c>
    </row>
    <row r="3412" spans="1:14" x14ac:dyDescent="0.35">
      <c r="A3412" s="1">
        <v>2751</v>
      </c>
      <c r="B3412">
        <v>8</v>
      </c>
      <c r="C3412">
        <v>66</v>
      </c>
      <c r="D3412">
        <v>0</v>
      </c>
      <c r="E3412">
        <v>1</v>
      </c>
      <c r="F3412">
        <v>0</v>
      </c>
      <c r="G3412">
        <v>2</v>
      </c>
      <c r="H3412">
        <v>0</v>
      </c>
      <c r="I3412">
        <v>12500</v>
      </c>
      <c r="J3412">
        <v>4</v>
      </c>
      <c r="K3412">
        <v>0</v>
      </c>
      <c r="L3412" s="4">
        <v>0.91035880976387773</v>
      </c>
      <c r="M3412" s="4">
        <v>8.9641190236122215E-2</v>
      </c>
      <c r="N3412">
        <v>8</v>
      </c>
    </row>
    <row r="3413" spans="1:14" x14ac:dyDescent="0.35">
      <c r="A3413" s="1">
        <v>3805</v>
      </c>
      <c r="B3413">
        <v>6</v>
      </c>
      <c r="C3413">
        <v>55</v>
      </c>
      <c r="D3413">
        <v>1</v>
      </c>
      <c r="E3413">
        <v>1</v>
      </c>
      <c r="F3413">
        <v>1</v>
      </c>
      <c r="G3413">
        <v>5</v>
      </c>
      <c r="H3413">
        <v>2</v>
      </c>
      <c r="I3413">
        <v>2000</v>
      </c>
      <c r="J3413">
        <v>5</v>
      </c>
      <c r="K3413">
        <v>0</v>
      </c>
      <c r="L3413" s="4">
        <v>0.91038931983971794</v>
      </c>
      <c r="M3413" s="4">
        <v>8.9610680160282022E-2</v>
      </c>
      <c r="N3413">
        <v>8</v>
      </c>
    </row>
    <row r="3414" spans="1:14" x14ac:dyDescent="0.35">
      <c r="A3414" s="1">
        <v>842</v>
      </c>
      <c r="B3414">
        <v>7</v>
      </c>
      <c r="C3414">
        <v>57</v>
      </c>
      <c r="D3414">
        <v>3</v>
      </c>
      <c r="E3414">
        <v>1</v>
      </c>
      <c r="F3414">
        <v>3</v>
      </c>
      <c r="G3414">
        <v>8</v>
      </c>
      <c r="H3414">
        <v>2</v>
      </c>
      <c r="I3414">
        <v>1000</v>
      </c>
      <c r="J3414">
        <v>8</v>
      </c>
      <c r="K3414">
        <v>0</v>
      </c>
      <c r="L3414" s="4">
        <v>0.91041459321154761</v>
      </c>
      <c r="M3414" s="4">
        <v>8.9585406788452365E-2</v>
      </c>
      <c r="N3414">
        <v>8</v>
      </c>
    </row>
    <row r="3415" spans="1:14" x14ac:dyDescent="0.35">
      <c r="A3415" s="1">
        <v>4435</v>
      </c>
      <c r="B3415">
        <v>8</v>
      </c>
      <c r="C3415">
        <v>58</v>
      </c>
      <c r="D3415">
        <v>1</v>
      </c>
      <c r="E3415">
        <v>2</v>
      </c>
      <c r="F3415">
        <v>1</v>
      </c>
      <c r="G3415">
        <v>7</v>
      </c>
      <c r="H3415">
        <v>2</v>
      </c>
      <c r="I3415">
        <v>3000</v>
      </c>
      <c r="J3415">
        <v>3</v>
      </c>
      <c r="K3415">
        <v>0</v>
      </c>
      <c r="L3415" s="4">
        <v>0.91043022181663713</v>
      </c>
      <c r="M3415" s="4">
        <v>8.9569778183362869E-2</v>
      </c>
      <c r="N3415">
        <v>8</v>
      </c>
    </row>
    <row r="3416" spans="1:14" x14ac:dyDescent="0.35">
      <c r="A3416" s="1">
        <v>1085</v>
      </c>
      <c r="B3416">
        <v>8</v>
      </c>
      <c r="C3416">
        <v>69</v>
      </c>
      <c r="D3416">
        <v>3</v>
      </c>
      <c r="E3416">
        <v>0</v>
      </c>
      <c r="F3416">
        <v>2</v>
      </c>
      <c r="G3416">
        <v>0</v>
      </c>
      <c r="H3416">
        <v>0</v>
      </c>
      <c r="I3416">
        <v>14060.1</v>
      </c>
      <c r="J3416">
        <v>8</v>
      </c>
      <c r="K3416">
        <v>0</v>
      </c>
      <c r="L3416" s="4">
        <v>0.91053570469903544</v>
      </c>
      <c r="M3416" s="4">
        <v>8.9464295300964516E-2</v>
      </c>
      <c r="N3416">
        <v>8</v>
      </c>
    </row>
    <row r="3417" spans="1:14" x14ac:dyDescent="0.35">
      <c r="A3417" s="1">
        <v>1561</v>
      </c>
      <c r="B3417">
        <v>5</v>
      </c>
      <c r="C3417">
        <v>57</v>
      </c>
      <c r="D3417">
        <v>2</v>
      </c>
      <c r="E3417">
        <v>0</v>
      </c>
      <c r="F3417">
        <v>1</v>
      </c>
      <c r="G3417">
        <v>5</v>
      </c>
      <c r="H3417">
        <v>0</v>
      </c>
      <c r="I3417">
        <v>6000</v>
      </c>
      <c r="J3417">
        <v>3</v>
      </c>
      <c r="K3417">
        <v>0</v>
      </c>
      <c r="L3417" s="4">
        <v>0.91063319632590456</v>
      </c>
      <c r="M3417" s="4">
        <v>8.9366803674095413E-2</v>
      </c>
      <c r="N3417">
        <v>8</v>
      </c>
    </row>
    <row r="3418" spans="1:14" x14ac:dyDescent="0.35">
      <c r="A3418" s="1">
        <v>418</v>
      </c>
      <c r="B3418">
        <v>5</v>
      </c>
      <c r="C3418">
        <v>45</v>
      </c>
      <c r="D3418">
        <v>3</v>
      </c>
      <c r="E3418">
        <v>2</v>
      </c>
      <c r="F3418">
        <v>0</v>
      </c>
      <c r="G3418">
        <v>4</v>
      </c>
      <c r="H3418">
        <v>3</v>
      </c>
      <c r="I3418">
        <v>0.01</v>
      </c>
      <c r="J3418">
        <v>5</v>
      </c>
      <c r="K3418">
        <v>0</v>
      </c>
      <c r="L3418" s="4">
        <v>0.91066467354397418</v>
      </c>
      <c r="M3418" s="4">
        <v>8.9335326456025863E-2</v>
      </c>
      <c r="N3418">
        <v>8</v>
      </c>
    </row>
    <row r="3419" spans="1:14" x14ac:dyDescent="0.35">
      <c r="A3419" s="1">
        <v>1796</v>
      </c>
      <c r="B3419">
        <v>3</v>
      </c>
      <c r="C3419">
        <v>41</v>
      </c>
      <c r="D3419">
        <v>2</v>
      </c>
      <c r="E3419">
        <v>1</v>
      </c>
      <c r="F3419">
        <v>3</v>
      </c>
      <c r="G3419">
        <v>3</v>
      </c>
      <c r="H3419">
        <v>3</v>
      </c>
      <c r="I3419">
        <v>0.01</v>
      </c>
      <c r="J3419">
        <v>8</v>
      </c>
      <c r="K3419">
        <v>0</v>
      </c>
      <c r="L3419" s="4">
        <v>0.91073703007293272</v>
      </c>
      <c r="M3419" s="4">
        <v>8.9262969927067309E-2</v>
      </c>
      <c r="N3419">
        <v>8</v>
      </c>
    </row>
    <row r="3420" spans="1:14" x14ac:dyDescent="0.35">
      <c r="A3420" s="1">
        <v>1925</v>
      </c>
      <c r="B3420">
        <v>9</v>
      </c>
      <c r="C3420">
        <v>67</v>
      </c>
      <c r="D3420">
        <v>4</v>
      </c>
      <c r="E3420">
        <v>1</v>
      </c>
      <c r="F3420">
        <v>3</v>
      </c>
      <c r="G3420">
        <v>3</v>
      </c>
      <c r="H3420">
        <v>0</v>
      </c>
      <c r="I3420">
        <v>16000</v>
      </c>
      <c r="J3420">
        <v>5</v>
      </c>
      <c r="K3420">
        <v>0</v>
      </c>
      <c r="L3420" s="4">
        <v>0.91080715742039076</v>
      </c>
      <c r="M3420" s="4">
        <v>8.9192842579609216E-2</v>
      </c>
      <c r="N3420">
        <v>8</v>
      </c>
    </row>
    <row r="3421" spans="1:14" x14ac:dyDescent="0.35">
      <c r="A3421" s="1">
        <v>3589</v>
      </c>
      <c r="B3421">
        <v>10</v>
      </c>
      <c r="C3421">
        <v>67</v>
      </c>
      <c r="D3421">
        <v>5</v>
      </c>
      <c r="E3421">
        <v>2</v>
      </c>
      <c r="F3421">
        <v>0</v>
      </c>
      <c r="G3421">
        <v>4</v>
      </c>
      <c r="H3421">
        <v>0</v>
      </c>
      <c r="I3421">
        <v>12000</v>
      </c>
      <c r="J3421">
        <v>7</v>
      </c>
      <c r="K3421">
        <v>0</v>
      </c>
      <c r="L3421" s="4">
        <v>0.91098180039532062</v>
      </c>
      <c r="M3421" s="4">
        <v>8.9018199604679341E-2</v>
      </c>
      <c r="N3421">
        <v>8</v>
      </c>
    </row>
    <row r="3422" spans="1:14" x14ac:dyDescent="0.35">
      <c r="A3422" s="1">
        <v>4223</v>
      </c>
      <c r="B3422">
        <v>8</v>
      </c>
      <c r="C3422">
        <v>68</v>
      </c>
      <c r="D3422">
        <v>1</v>
      </c>
      <c r="E3422">
        <v>0</v>
      </c>
      <c r="F3422">
        <v>4</v>
      </c>
      <c r="G3422">
        <v>9</v>
      </c>
      <c r="H3422">
        <v>0</v>
      </c>
      <c r="I3422">
        <v>10193.870000000001</v>
      </c>
      <c r="J3422">
        <v>3</v>
      </c>
      <c r="K3422">
        <v>0</v>
      </c>
      <c r="L3422" s="4">
        <v>0.9110338577476943</v>
      </c>
      <c r="M3422" s="4">
        <v>8.8966142252305702E-2</v>
      </c>
      <c r="N3422">
        <v>8</v>
      </c>
    </row>
    <row r="3423" spans="1:14" x14ac:dyDescent="0.35">
      <c r="A3423" s="1">
        <v>1037</v>
      </c>
      <c r="B3423">
        <v>4</v>
      </c>
      <c r="C3423">
        <v>51</v>
      </c>
      <c r="D3423">
        <v>2</v>
      </c>
      <c r="E3423">
        <v>0</v>
      </c>
      <c r="F3423">
        <v>1</v>
      </c>
      <c r="G3423">
        <v>12</v>
      </c>
      <c r="H3423">
        <v>2</v>
      </c>
      <c r="I3423">
        <v>3000</v>
      </c>
      <c r="J3423">
        <v>10</v>
      </c>
      <c r="K3423">
        <v>0</v>
      </c>
      <c r="L3423" s="4">
        <v>0.91103616348827576</v>
      </c>
      <c r="M3423" s="4">
        <v>8.8963836511724223E-2</v>
      </c>
      <c r="N3423">
        <v>8</v>
      </c>
    </row>
    <row r="3424" spans="1:14" x14ac:dyDescent="0.35">
      <c r="A3424" s="1">
        <v>733</v>
      </c>
      <c r="B3424">
        <v>7</v>
      </c>
      <c r="C3424">
        <v>64</v>
      </c>
      <c r="D3424">
        <v>2</v>
      </c>
      <c r="E3424">
        <v>0</v>
      </c>
      <c r="F3424">
        <v>2</v>
      </c>
      <c r="G3424">
        <v>1</v>
      </c>
      <c r="H3424">
        <v>2</v>
      </c>
      <c r="I3424">
        <v>3500</v>
      </c>
      <c r="J3424">
        <v>24</v>
      </c>
      <c r="K3424">
        <v>0</v>
      </c>
      <c r="L3424" s="4">
        <v>0.91106473995746673</v>
      </c>
      <c r="M3424" s="4">
        <v>8.8935260042533298E-2</v>
      </c>
      <c r="N3424">
        <v>8</v>
      </c>
    </row>
    <row r="3425" spans="1:14" x14ac:dyDescent="0.35">
      <c r="A3425" s="1">
        <v>2995</v>
      </c>
      <c r="B3425">
        <v>3</v>
      </c>
      <c r="C3425">
        <v>46</v>
      </c>
      <c r="D3425">
        <v>2</v>
      </c>
      <c r="E3425">
        <v>0</v>
      </c>
      <c r="F3425">
        <v>3</v>
      </c>
      <c r="G3425">
        <v>3</v>
      </c>
      <c r="H3425">
        <v>3</v>
      </c>
      <c r="I3425">
        <v>0.01</v>
      </c>
      <c r="J3425">
        <v>9</v>
      </c>
      <c r="K3425">
        <v>0</v>
      </c>
      <c r="L3425" s="4">
        <v>0.91107040911416626</v>
      </c>
      <c r="M3425" s="4">
        <v>8.892959088583377E-2</v>
      </c>
      <c r="N3425">
        <v>8</v>
      </c>
    </row>
    <row r="3426" spans="1:14" x14ac:dyDescent="0.35">
      <c r="A3426" s="1">
        <v>812</v>
      </c>
      <c r="B3426">
        <v>8</v>
      </c>
      <c r="C3426">
        <v>68</v>
      </c>
      <c r="D3426">
        <v>3</v>
      </c>
      <c r="E3426">
        <v>0</v>
      </c>
      <c r="F3426">
        <v>3</v>
      </c>
      <c r="G3426">
        <v>3</v>
      </c>
      <c r="H3426">
        <v>0</v>
      </c>
      <c r="I3426">
        <v>6000</v>
      </c>
      <c r="J3426">
        <v>1</v>
      </c>
      <c r="K3426">
        <v>1</v>
      </c>
      <c r="L3426" s="4">
        <v>0.91108012524240078</v>
      </c>
      <c r="M3426" s="4">
        <v>8.8919874757599257E-2</v>
      </c>
      <c r="N3426">
        <v>8</v>
      </c>
    </row>
    <row r="3427" spans="1:14" x14ac:dyDescent="0.35">
      <c r="A3427" s="1">
        <v>4384</v>
      </c>
      <c r="B3427">
        <v>8</v>
      </c>
      <c r="C3427">
        <v>63</v>
      </c>
      <c r="D3427">
        <v>2</v>
      </c>
      <c r="E3427">
        <v>1</v>
      </c>
      <c r="F3427">
        <v>3</v>
      </c>
      <c r="G3427">
        <v>8</v>
      </c>
      <c r="H3427">
        <v>1</v>
      </c>
      <c r="I3427">
        <v>24130.32</v>
      </c>
      <c r="J3427">
        <v>8</v>
      </c>
      <c r="K3427">
        <v>0</v>
      </c>
      <c r="L3427" s="4">
        <v>0.91120606567688167</v>
      </c>
      <c r="M3427" s="4">
        <v>8.8793934323118343E-2</v>
      </c>
      <c r="N3427">
        <v>8</v>
      </c>
    </row>
    <row r="3428" spans="1:14" x14ac:dyDescent="0.35">
      <c r="A3428" s="1">
        <v>1998</v>
      </c>
      <c r="B3428">
        <v>6</v>
      </c>
      <c r="C3428">
        <v>60</v>
      </c>
      <c r="D3428">
        <v>1</v>
      </c>
      <c r="E3428">
        <v>0</v>
      </c>
      <c r="F3428">
        <v>2</v>
      </c>
      <c r="G3428">
        <v>1</v>
      </c>
      <c r="H3428">
        <v>2</v>
      </c>
      <c r="I3428">
        <v>3000</v>
      </c>
      <c r="J3428">
        <v>5</v>
      </c>
      <c r="K3428">
        <v>0</v>
      </c>
      <c r="L3428" s="4">
        <v>0.91122188838869156</v>
      </c>
      <c r="M3428" s="4">
        <v>8.8778111611308413E-2</v>
      </c>
      <c r="N3428">
        <v>8</v>
      </c>
    </row>
    <row r="3429" spans="1:14" x14ac:dyDescent="0.35">
      <c r="A3429" s="1">
        <v>3829</v>
      </c>
      <c r="B3429">
        <v>9</v>
      </c>
      <c r="C3429">
        <v>73</v>
      </c>
      <c r="D3429">
        <v>5</v>
      </c>
      <c r="E3429">
        <v>0</v>
      </c>
      <c r="F3429">
        <v>0</v>
      </c>
      <c r="G3429">
        <v>4</v>
      </c>
      <c r="H3429">
        <v>0</v>
      </c>
      <c r="I3429">
        <v>17606.7</v>
      </c>
      <c r="J3429">
        <v>8</v>
      </c>
      <c r="K3429">
        <v>0</v>
      </c>
      <c r="L3429" s="4">
        <v>0.91126429922832008</v>
      </c>
      <c r="M3429" s="4">
        <v>8.8735700771679887E-2</v>
      </c>
      <c r="N3429">
        <v>8</v>
      </c>
    </row>
    <row r="3430" spans="1:14" x14ac:dyDescent="0.35">
      <c r="A3430" s="1">
        <v>3966</v>
      </c>
      <c r="B3430">
        <v>7</v>
      </c>
      <c r="C3430">
        <v>62</v>
      </c>
      <c r="D3430">
        <v>4</v>
      </c>
      <c r="E3430">
        <v>0</v>
      </c>
      <c r="F3430">
        <v>0</v>
      </c>
      <c r="G3430">
        <v>11</v>
      </c>
      <c r="H3430">
        <v>3</v>
      </c>
      <c r="I3430">
        <v>0.01</v>
      </c>
      <c r="J3430">
        <v>6</v>
      </c>
      <c r="K3430">
        <v>0</v>
      </c>
      <c r="L3430" s="4">
        <v>0.91131435954734252</v>
      </c>
      <c r="M3430" s="4">
        <v>8.8685640452657533E-2</v>
      </c>
      <c r="N3430">
        <v>8</v>
      </c>
    </row>
    <row r="3431" spans="1:14" x14ac:dyDescent="0.35">
      <c r="A3431" s="1">
        <v>2050</v>
      </c>
      <c r="B3431">
        <v>5</v>
      </c>
      <c r="C3431">
        <v>58</v>
      </c>
      <c r="D3431">
        <v>0</v>
      </c>
      <c r="E3431">
        <v>0</v>
      </c>
      <c r="F3431">
        <v>2</v>
      </c>
      <c r="G3431">
        <v>1</v>
      </c>
      <c r="H3431">
        <v>0</v>
      </c>
      <c r="I3431">
        <v>6105.32</v>
      </c>
      <c r="J3431">
        <v>7</v>
      </c>
      <c r="K3431">
        <v>0</v>
      </c>
      <c r="L3431" s="4">
        <v>0.91134075017185578</v>
      </c>
      <c r="M3431" s="4">
        <v>8.8659249828144174E-2</v>
      </c>
      <c r="N3431">
        <v>8</v>
      </c>
    </row>
    <row r="3432" spans="1:14" x14ac:dyDescent="0.35">
      <c r="A3432" s="1">
        <v>3501</v>
      </c>
      <c r="B3432">
        <v>8</v>
      </c>
      <c r="C3432">
        <v>70</v>
      </c>
      <c r="D3432">
        <v>0</v>
      </c>
      <c r="E3432">
        <v>0</v>
      </c>
      <c r="F3432">
        <v>3</v>
      </c>
      <c r="G3432">
        <v>3</v>
      </c>
      <c r="H3432">
        <v>1</v>
      </c>
      <c r="I3432">
        <v>46105.32</v>
      </c>
      <c r="J3432">
        <v>12</v>
      </c>
      <c r="K3432">
        <v>1</v>
      </c>
      <c r="L3432" s="4">
        <v>0.91162110561309084</v>
      </c>
      <c r="M3432" s="4">
        <v>8.8378894386909157E-2</v>
      </c>
      <c r="N3432">
        <v>8</v>
      </c>
    </row>
    <row r="3433" spans="1:14" x14ac:dyDescent="0.35">
      <c r="A3433" s="1">
        <v>1890</v>
      </c>
      <c r="B3433">
        <v>9</v>
      </c>
      <c r="C3433">
        <v>73</v>
      </c>
      <c r="D3433">
        <v>1</v>
      </c>
      <c r="E3433">
        <v>0</v>
      </c>
      <c r="F3433">
        <v>0</v>
      </c>
      <c r="G3433">
        <v>4</v>
      </c>
      <c r="H3433">
        <v>2</v>
      </c>
      <c r="I3433">
        <v>3000</v>
      </c>
      <c r="J3433">
        <v>9</v>
      </c>
      <c r="K3433">
        <v>0</v>
      </c>
      <c r="L3433" s="4">
        <v>0.91167282780180936</v>
      </c>
      <c r="M3433" s="4">
        <v>8.8327172198190584E-2</v>
      </c>
      <c r="N3433">
        <v>8</v>
      </c>
    </row>
    <row r="3434" spans="1:14" x14ac:dyDescent="0.35">
      <c r="A3434" s="1">
        <v>3934</v>
      </c>
      <c r="B3434">
        <v>5</v>
      </c>
      <c r="C3434">
        <v>57</v>
      </c>
      <c r="D3434">
        <v>3</v>
      </c>
      <c r="E3434">
        <v>0</v>
      </c>
      <c r="F3434">
        <v>0</v>
      </c>
      <c r="G3434">
        <v>4</v>
      </c>
      <c r="H3434">
        <v>1</v>
      </c>
      <c r="I3434">
        <v>20391.150000000001</v>
      </c>
      <c r="J3434">
        <v>3</v>
      </c>
      <c r="K3434">
        <v>0</v>
      </c>
      <c r="L3434" s="4">
        <v>0.91170258026041417</v>
      </c>
      <c r="M3434" s="4">
        <v>8.8297419739585797E-2</v>
      </c>
      <c r="N3434">
        <v>8</v>
      </c>
    </row>
    <row r="3435" spans="1:14" x14ac:dyDescent="0.35">
      <c r="A3435" s="1">
        <v>2520</v>
      </c>
      <c r="B3435">
        <v>4</v>
      </c>
      <c r="C3435">
        <v>51</v>
      </c>
      <c r="D3435">
        <v>3</v>
      </c>
      <c r="E3435">
        <v>0</v>
      </c>
      <c r="F3435">
        <v>0</v>
      </c>
      <c r="G3435">
        <v>4</v>
      </c>
      <c r="H3435">
        <v>3</v>
      </c>
      <c r="I3435">
        <v>0.01</v>
      </c>
      <c r="J3435">
        <v>5</v>
      </c>
      <c r="K3435">
        <v>0</v>
      </c>
      <c r="L3435" s="4">
        <v>0.91178161782201594</v>
      </c>
      <c r="M3435" s="4">
        <v>8.8218382177984042E-2</v>
      </c>
      <c r="N3435">
        <v>8</v>
      </c>
    </row>
    <row r="3436" spans="1:14" x14ac:dyDescent="0.35">
      <c r="A3436" s="1">
        <v>1460</v>
      </c>
      <c r="B3436">
        <v>10</v>
      </c>
      <c r="C3436">
        <v>76</v>
      </c>
      <c r="D3436">
        <v>4</v>
      </c>
      <c r="E3436">
        <v>0</v>
      </c>
      <c r="F3436">
        <v>3</v>
      </c>
      <c r="G3436">
        <v>3</v>
      </c>
      <c r="H3436">
        <v>0</v>
      </c>
      <c r="I3436">
        <v>10530.53</v>
      </c>
      <c r="J3436">
        <v>4</v>
      </c>
      <c r="K3436">
        <v>0</v>
      </c>
      <c r="L3436" s="4">
        <v>0.9118149162089989</v>
      </c>
      <c r="M3436" s="4">
        <v>8.8185083791001054E-2</v>
      </c>
      <c r="N3436">
        <v>8</v>
      </c>
    </row>
    <row r="3437" spans="1:14" x14ac:dyDescent="0.35">
      <c r="A3437" s="1">
        <v>1492</v>
      </c>
      <c r="B3437">
        <v>7</v>
      </c>
      <c r="C3437">
        <v>60</v>
      </c>
      <c r="D3437">
        <v>2</v>
      </c>
      <c r="E3437">
        <v>1</v>
      </c>
      <c r="F3437">
        <v>1</v>
      </c>
      <c r="G3437">
        <v>7</v>
      </c>
      <c r="H3437">
        <v>1</v>
      </c>
      <c r="I3437">
        <v>25000</v>
      </c>
      <c r="J3437">
        <v>1</v>
      </c>
      <c r="K3437">
        <v>0</v>
      </c>
      <c r="L3437" s="4">
        <v>0.91188743092716906</v>
      </c>
      <c r="M3437" s="4">
        <v>8.811256907283091E-2</v>
      </c>
      <c r="N3437">
        <v>8</v>
      </c>
    </row>
    <row r="3438" spans="1:14" x14ac:dyDescent="0.35">
      <c r="A3438" s="1">
        <v>205</v>
      </c>
      <c r="B3438">
        <v>9</v>
      </c>
      <c r="C3438">
        <v>70</v>
      </c>
      <c r="D3438">
        <v>2</v>
      </c>
      <c r="E3438">
        <v>0</v>
      </c>
      <c r="F3438">
        <v>3</v>
      </c>
      <c r="G3438">
        <v>8</v>
      </c>
      <c r="H3438">
        <v>3</v>
      </c>
      <c r="I3438">
        <v>0.01</v>
      </c>
      <c r="J3438">
        <v>8</v>
      </c>
      <c r="K3438">
        <v>0</v>
      </c>
      <c r="L3438" s="4">
        <v>0.9119256513220485</v>
      </c>
      <c r="M3438" s="4">
        <v>8.8074348677951539E-2</v>
      </c>
      <c r="N3438">
        <v>8</v>
      </c>
    </row>
    <row r="3439" spans="1:14" x14ac:dyDescent="0.35">
      <c r="A3439" s="1">
        <v>2976</v>
      </c>
      <c r="B3439">
        <v>11</v>
      </c>
      <c r="C3439">
        <v>71</v>
      </c>
      <c r="D3439">
        <v>2</v>
      </c>
      <c r="E3439">
        <v>2</v>
      </c>
      <c r="F3439">
        <v>0</v>
      </c>
      <c r="G3439">
        <v>2</v>
      </c>
      <c r="H3439">
        <v>2</v>
      </c>
      <c r="I3439">
        <v>2500</v>
      </c>
      <c r="J3439">
        <v>5</v>
      </c>
      <c r="K3439">
        <v>0</v>
      </c>
      <c r="L3439" s="4">
        <v>0.91202973025357648</v>
      </c>
      <c r="M3439" s="4">
        <v>8.7970269746423579E-2</v>
      </c>
      <c r="N3439">
        <v>8</v>
      </c>
    </row>
    <row r="3440" spans="1:14" x14ac:dyDescent="0.35">
      <c r="A3440" s="1">
        <v>1829</v>
      </c>
      <c r="B3440">
        <v>5</v>
      </c>
      <c r="C3440">
        <v>50</v>
      </c>
      <c r="D3440">
        <v>2</v>
      </c>
      <c r="E3440">
        <v>1</v>
      </c>
      <c r="F3440">
        <v>0</v>
      </c>
      <c r="G3440">
        <v>11</v>
      </c>
      <c r="H3440">
        <v>3</v>
      </c>
      <c r="I3440">
        <v>0.01</v>
      </c>
      <c r="J3440">
        <v>5</v>
      </c>
      <c r="K3440">
        <v>0</v>
      </c>
      <c r="L3440" s="4">
        <v>0.91207950970926976</v>
      </c>
      <c r="M3440" s="4">
        <v>8.7920490290730208E-2</v>
      </c>
      <c r="N3440">
        <v>8</v>
      </c>
    </row>
    <row r="3441" spans="1:14" x14ac:dyDescent="0.35">
      <c r="A3441" s="1">
        <v>1851</v>
      </c>
      <c r="B3441">
        <v>5</v>
      </c>
      <c r="C3441">
        <v>50</v>
      </c>
      <c r="D3441">
        <v>2</v>
      </c>
      <c r="E3441">
        <v>1</v>
      </c>
      <c r="F3441">
        <v>0</v>
      </c>
      <c r="G3441">
        <v>11</v>
      </c>
      <c r="H3441">
        <v>3</v>
      </c>
      <c r="I3441">
        <v>0.01</v>
      </c>
      <c r="J3441">
        <v>5</v>
      </c>
      <c r="K3441">
        <v>0</v>
      </c>
      <c r="L3441" s="4">
        <v>0.91207950970926976</v>
      </c>
      <c r="M3441" s="4">
        <v>8.7920490290730208E-2</v>
      </c>
      <c r="N3441">
        <v>8</v>
      </c>
    </row>
    <row r="3442" spans="1:14" x14ac:dyDescent="0.35">
      <c r="A3442" s="1">
        <v>1652</v>
      </c>
      <c r="B3442">
        <v>10</v>
      </c>
      <c r="C3442">
        <v>77</v>
      </c>
      <c r="D3442">
        <v>1</v>
      </c>
      <c r="E3442">
        <v>0</v>
      </c>
      <c r="F3442">
        <v>0</v>
      </c>
      <c r="G3442">
        <v>4</v>
      </c>
      <c r="H3442">
        <v>2</v>
      </c>
      <c r="I3442">
        <v>1000</v>
      </c>
      <c r="J3442">
        <v>4</v>
      </c>
      <c r="K3442">
        <v>0</v>
      </c>
      <c r="L3442" s="4">
        <v>0.91220494006847286</v>
      </c>
      <c r="M3442" s="4">
        <v>8.7795059931527128E-2</v>
      </c>
      <c r="N3442">
        <v>8</v>
      </c>
    </row>
    <row r="3443" spans="1:14" x14ac:dyDescent="0.35">
      <c r="A3443" s="1">
        <v>1036</v>
      </c>
      <c r="B3443">
        <v>7</v>
      </c>
      <c r="C3443">
        <v>58</v>
      </c>
      <c r="D3443">
        <v>1</v>
      </c>
      <c r="E3443">
        <v>1</v>
      </c>
      <c r="F3443">
        <v>1</v>
      </c>
      <c r="G3443">
        <v>12</v>
      </c>
      <c r="H3443">
        <v>3</v>
      </c>
      <c r="I3443">
        <v>0.01</v>
      </c>
      <c r="J3443">
        <v>5</v>
      </c>
      <c r="K3443">
        <v>0</v>
      </c>
      <c r="L3443" s="4">
        <v>0.91220518398302208</v>
      </c>
      <c r="M3443" s="4">
        <v>8.7794816016977972E-2</v>
      </c>
      <c r="N3443">
        <v>8</v>
      </c>
    </row>
    <row r="3444" spans="1:14" x14ac:dyDescent="0.35">
      <c r="A3444" s="1">
        <v>3087</v>
      </c>
      <c r="B3444">
        <v>9</v>
      </c>
      <c r="C3444">
        <v>67</v>
      </c>
      <c r="D3444">
        <v>2</v>
      </c>
      <c r="E3444">
        <v>1</v>
      </c>
      <c r="F3444">
        <v>0</v>
      </c>
      <c r="G3444">
        <v>4</v>
      </c>
      <c r="H3444">
        <v>3</v>
      </c>
      <c r="I3444">
        <v>0.01</v>
      </c>
      <c r="J3444">
        <v>11</v>
      </c>
      <c r="K3444">
        <v>0</v>
      </c>
      <c r="L3444" s="4">
        <v>0.91223576412344665</v>
      </c>
      <c r="M3444" s="4">
        <v>8.7764235876553298E-2</v>
      </c>
      <c r="N3444">
        <v>8</v>
      </c>
    </row>
    <row r="3445" spans="1:14" x14ac:dyDescent="0.35">
      <c r="A3445" s="1">
        <v>1626</v>
      </c>
      <c r="B3445">
        <v>10</v>
      </c>
      <c r="C3445">
        <v>77</v>
      </c>
      <c r="D3445">
        <v>3</v>
      </c>
      <c r="E3445">
        <v>0</v>
      </c>
      <c r="F3445">
        <v>0</v>
      </c>
      <c r="G3445">
        <v>11</v>
      </c>
      <c r="H3445">
        <v>1</v>
      </c>
      <c r="I3445">
        <v>24078.35</v>
      </c>
      <c r="J3445">
        <v>11</v>
      </c>
      <c r="K3445">
        <v>0</v>
      </c>
      <c r="L3445" s="4">
        <v>0.91227215099029102</v>
      </c>
      <c r="M3445" s="4">
        <v>8.7727849009709008E-2</v>
      </c>
      <c r="N3445">
        <v>8</v>
      </c>
    </row>
    <row r="3446" spans="1:14" x14ac:dyDescent="0.35">
      <c r="A3446" s="1">
        <v>3456</v>
      </c>
      <c r="B3446">
        <v>5</v>
      </c>
      <c r="C3446">
        <v>52</v>
      </c>
      <c r="D3446">
        <v>2</v>
      </c>
      <c r="E3446">
        <v>1</v>
      </c>
      <c r="F3446">
        <v>3</v>
      </c>
      <c r="G3446">
        <v>3</v>
      </c>
      <c r="H3446">
        <v>0</v>
      </c>
      <c r="I3446">
        <v>20000</v>
      </c>
      <c r="J3446">
        <v>1</v>
      </c>
      <c r="K3446">
        <v>0</v>
      </c>
      <c r="L3446" s="4">
        <v>0.91228674140461741</v>
      </c>
      <c r="M3446" s="4">
        <v>8.7713258595382565E-2</v>
      </c>
      <c r="N3446">
        <v>8</v>
      </c>
    </row>
    <row r="3447" spans="1:14" x14ac:dyDescent="0.35">
      <c r="A3447" s="1">
        <v>501</v>
      </c>
      <c r="B3447">
        <v>8</v>
      </c>
      <c r="C3447">
        <v>63</v>
      </c>
      <c r="D3447">
        <v>4</v>
      </c>
      <c r="E3447">
        <v>1</v>
      </c>
      <c r="F3447">
        <v>3</v>
      </c>
      <c r="G3447">
        <v>3</v>
      </c>
      <c r="H3447">
        <v>0</v>
      </c>
      <c r="I3447">
        <v>6000</v>
      </c>
      <c r="J3447">
        <v>3</v>
      </c>
      <c r="K3447">
        <v>1</v>
      </c>
      <c r="L3447" s="4">
        <v>0.91255470850252918</v>
      </c>
      <c r="M3447" s="4">
        <v>8.7445291497470851E-2</v>
      </c>
      <c r="N3447">
        <v>8</v>
      </c>
    </row>
    <row r="3448" spans="1:14" x14ac:dyDescent="0.35">
      <c r="A3448" s="1">
        <v>770</v>
      </c>
      <c r="B3448">
        <v>8</v>
      </c>
      <c r="C3448">
        <v>63</v>
      </c>
      <c r="D3448">
        <v>4</v>
      </c>
      <c r="E3448">
        <v>1</v>
      </c>
      <c r="F3448">
        <v>0</v>
      </c>
      <c r="G3448">
        <v>2</v>
      </c>
      <c r="H3448">
        <v>2</v>
      </c>
      <c r="I3448">
        <v>4500</v>
      </c>
      <c r="J3448">
        <v>2</v>
      </c>
      <c r="K3448">
        <v>0</v>
      </c>
      <c r="L3448" s="4">
        <v>0.91263137133107597</v>
      </c>
      <c r="M3448" s="4">
        <v>8.7368628668924059E-2</v>
      </c>
      <c r="N3448">
        <v>8</v>
      </c>
    </row>
    <row r="3449" spans="1:14" x14ac:dyDescent="0.35">
      <c r="A3449" s="1">
        <v>1761</v>
      </c>
      <c r="B3449">
        <v>10</v>
      </c>
      <c r="C3449">
        <v>75</v>
      </c>
      <c r="D3449">
        <v>2</v>
      </c>
      <c r="E3449">
        <v>0</v>
      </c>
      <c r="F3449">
        <v>3</v>
      </c>
      <c r="G3449">
        <v>8</v>
      </c>
      <c r="H3449">
        <v>2</v>
      </c>
      <c r="I3449">
        <v>3000</v>
      </c>
      <c r="J3449">
        <v>7</v>
      </c>
      <c r="K3449">
        <v>0</v>
      </c>
      <c r="L3449" s="4">
        <v>0.9126930042639122</v>
      </c>
      <c r="M3449" s="4">
        <v>8.7306995736087772E-2</v>
      </c>
      <c r="N3449">
        <v>8</v>
      </c>
    </row>
    <row r="3450" spans="1:14" x14ac:dyDescent="0.35">
      <c r="A3450" s="1">
        <v>1940</v>
      </c>
      <c r="B3450">
        <v>6</v>
      </c>
      <c r="C3450">
        <v>53</v>
      </c>
      <c r="D3450">
        <v>4</v>
      </c>
      <c r="E3450">
        <v>1</v>
      </c>
      <c r="F3450">
        <v>3</v>
      </c>
      <c r="G3450">
        <v>8</v>
      </c>
      <c r="H3450">
        <v>2</v>
      </c>
      <c r="I3450">
        <v>3000</v>
      </c>
      <c r="J3450">
        <v>6</v>
      </c>
      <c r="K3450">
        <v>1</v>
      </c>
      <c r="L3450" s="4">
        <v>0.91272571092650501</v>
      </c>
      <c r="M3450" s="4">
        <v>8.7274289073494979E-2</v>
      </c>
      <c r="N3450">
        <v>8</v>
      </c>
    </row>
    <row r="3451" spans="1:14" x14ac:dyDescent="0.35">
      <c r="A3451" s="1">
        <v>3586</v>
      </c>
      <c r="B3451">
        <v>6</v>
      </c>
      <c r="C3451">
        <v>56</v>
      </c>
      <c r="D3451">
        <v>1</v>
      </c>
      <c r="E3451">
        <v>1</v>
      </c>
      <c r="F3451">
        <v>0</v>
      </c>
      <c r="G3451">
        <v>4</v>
      </c>
      <c r="H3451">
        <v>2</v>
      </c>
      <c r="I3451">
        <v>3000</v>
      </c>
      <c r="J3451">
        <v>1</v>
      </c>
      <c r="K3451">
        <v>0</v>
      </c>
      <c r="L3451" s="4">
        <v>0.91278995392113982</v>
      </c>
      <c r="M3451" s="4">
        <v>8.7210046078860223E-2</v>
      </c>
      <c r="N3451">
        <v>8</v>
      </c>
    </row>
    <row r="3452" spans="1:14" x14ac:dyDescent="0.35">
      <c r="A3452" s="1">
        <v>2807</v>
      </c>
      <c r="B3452">
        <v>7</v>
      </c>
      <c r="C3452">
        <v>61</v>
      </c>
      <c r="D3452">
        <v>3</v>
      </c>
      <c r="E3452">
        <v>1</v>
      </c>
      <c r="F3452">
        <v>0</v>
      </c>
      <c r="G3452">
        <v>4</v>
      </c>
      <c r="H3452">
        <v>0</v>
      </c>
      <c r="I3452">
        <v>9715.77</v>
      </c>
      <c r="J3452">
        <v>9</v>
      </c>
      <c r="K3452">
        <v>0</v>
      </c>
      <c r="L3452" s="4">
        <v>0.91284031904527174</v>
      </c>
      <c r="M3452" s="4">
        <v>8.7159680954728286E-2</v>
      </c>
      <c r="N3452">
        <v>8</v>
      </c>
    </row>
    <row r="3453" spans="1:14" x14ac:dyDescent="0.35">
      <c r="A3453" s="1">
        <v>1282</v>
      </c>
      <c r="B3453">
        <v>9</v>
      </c>
      <c r="C3453">
        <v>74</v>
      </c>
      <c r="D3453">
        <v>1</v>
      </c>
      <c r="E3453">
        <v>0</v>
      </c>
      <c r="F3453">
        <v>0</v>
      </c>
      <c r="G3453">
        <v>11</v>
      </c>
      <c r="H3453">
        <v>0</v>
      </c>
      <c r="I3453">
        <v>6000</v>
      </c>
      <c r="J3453">
        <v>2</v>
      </c>
      <c r="K3453">
        <v>0</v>
      </c>
      <c r="L3453" s="4">
        <v>0.9128524930342079</v>
      </c>
      <c r="M3453" s="4">
        <v>8.7147506965792043E-2</v>
      </c>
      <c r="N3453">
        <v>8</v>
      </c>
    </row>
    <row r="3454" spans="1:14" x14ac:dyDescent="0.35">
      <c r="A3454" s="1">
        <v>2191</v>
      </c>
      <c r="B3454">
        <v>9</v>
      </c>
      <c r="C3454">
        <v>68</v>
      </c>
      <c r="D3454">
        <v>0</v>
      </c>
      <c r="E3454">
        <v>1</v>
      </c>
      <c r="F3454">
        <v>1</v>
      </c>
      <c r="G3454">
        <v>7</v>
      </c>
      <c r="H3454">
        <v>2</v>
      </c>
      <c r="I3454">
        <v>2500</v>
      </c>
      <c r="J3454">
        <v>8</v>
      </c>
      <c r="K3454">
        <v>0</v>
      </c>
      <c r="L3454" s="4">
        <v>0.91289621325500103</v>
      </c>
      <c r="M3454" s="4">
        <v>8.7103786744998954E-2</v>
      </c>
      <c r="N3454">
        <v>8</v>
      </c>
    </row>
    <row r="3455" spans="1:14" x14ac:dyDescent="0.35">
      <c r="A3455" s="1">
        <v>2325</v>
      </c>
      <c r="B3455">
        <v>6</v>
      </c>
      <c r="C3455">
        <v>55</v>
      </c>
      <c r="D3455">
        <v>1</v>
      </c>
      <c r="E3455">
        <v>1</v>
      </c>
      <c r="F3455">
        <v>3</v>
      </c>
      <c r="G3455">
        <v>3</v>
      </c>
      <c r="H3455">
        <v>2</v>
      </c>
      <c r="I3455">
        <v>2000</v>
      </c>
      <c r="J3455">
        <v>16</v>
      </c>
      <c r="K3455">
        <v>0</v>
      </c>
      <c r="L3455" s="4">
        <v>0.91294477151527276</v>
      </c>
      <c r="M3455" s="4">
        <v>8.7055228484727201E-2</v>
      </c>
      <c r="N3455">
        <v>8</v>
      </c>
    </row>
    <row r="3456" spans="1:14" x14ac:dyDescent="0.35">
      <c r="A3456" s="1">
        <v>2588</v>
      </c>
      <c r="B3456">
        <v>9</v>
      </c>
      <c r="C3456">
        <v>68</v>
      </c>
      <c r="D3456">
        <v>2</v>
      </c>
      <c r="E3456">
        <v>1</v>
      </c>
      <c r="F3456">
        <v>0</v>
      </c>
      <c r="G3456">
        <v>2</v>
      </c>
      <c r="H3456">
        <v>2</v>
      </c>
      <c r="I3456">
        <v>1500</v>
      </c>
      <c r="J3456">
        <v>6</v>
      </c>
      <c r="K3456">
        <v>0</v>
      </c>
      <c r="L3456" s="4">
        <v>0.91296889047055918</v>
      </c>
      <c r="M3456" s="4">
        <v>8.7031109529440862E-2</v>
      </c>
      <c r="N3456">
        <v>8</v>
      </c>
    </row>
    <row r="3457" spans="1:14" x14ac:dyDescent="0.35">
      <c r="A3457" s="1">
        <v>1125</v>
      </c>
      <c r="B3457">
        <v>4</v>
      </c>
      <c r="C3457">
        <v>47</v>
      </c>
      <c r="D3457">
        <v>3</v>
      </c>
      <c r="E3457">
        <v>1</v>
      </c>
      <c r="F3457">
        <v>0</v>
      </c>
      <c r="G3457">
        <v>4</v>
      </c>
      <c r="H3457">
        <v>2</v>
      </c>
      <c r="I3457">
        <v>100</v>
      </c>
      <c r="J3457">
        <v>1</v>
      </c>
      <c r="K3457">
        <v>0</v>
      </c>
      <c r="L3457" s="4">
        <v>0.9130401774866086</v>
      </c>
      <c r="M3457" s="4">
        <v>8.6959822513391377E-2</v>
      </c>
      <c r="N3457">
        <v>8</v>
      </c>
    </row>
    <row r="3458" spans="1:14" x14ac:dyDescent="0.35">
      <c r="A3458" s="1">
        <v>2295</v>
      </c>
      <c r="B3458">
        <v>4</v>
      </c>
      <c r="C3458">
        <v>51</v>
      </c>
      <c r="D3458">
        <v>2</v>
      </c>
      <c r="E3458">
        <v>0</v>
      </c>
      <c r="F3458">
        <v>1</v>
      </c>
      <c r="G3458">
        <v>7</v>
      </c>
      <c r="H3458">
        <v>3</v>
      </c>
      <c r="I3458">
        <v>0.01</v>
      </c>
      <c r="J3458">
        <v>7</v>
      </c>
      <c r="K3458">
        <v>0</v>
      </c>
      <c r="L3458" s="4">
        <v>0.91306176664548511</v>
      </c>
      <c r="M3458" s="4">
        <v>8.6938233354514907E-2</v>
      </c>
      <c r="N3458">
        <v>8</v>
      </c>
    </row>
    <row r="3459" spans="1:14" x14ac:dyDescent="0.35">
      <c r="A3459" s="1">
        <v>1155</v>
      </c>
      <c r="B3459">
        <v>11</v>
      </c>
      <c r="C3459">
        <v>72</v>
      </c>
      <c r="D3459">
        <v>0</v>
      </c>
      <c r="E3459">
        <v>2</v>
      </c>
      <c r="F3459">
        <v>0</v>
      </c>
      <c r="G3459">
        <v>4</v>
      </c>
      <c r="H3459">
        <v>2</v>
      </c>
      <c r="I3459">
        <v>3000</v>
      </c>
      <c r="J3459">
        <v>8</v>
      </c>
      <c r="K3459">
        <v>1</v>
      </c>
      <c r="L3459" s="4">
        <v>0.91313752975012152</v>
      </c>
      <c r="M3459" s="4">
        <v>8.6862470249878462E-2</v>
      </c>
      <c r="N3459">
        <v>8</v>
      </c>
    </row>
    <row r="3460" spans="1:14" x14ac:dyDescent="0.35">
      <c r="A3460" s="1">
        <v>2684</v>
      </c>
      <c r="B3460">
        <v>6</v>
      </c>
      <c r="C3460">
        <v>61</v>
      </c>
      <c r="D3460">
        <v>2</v>
      </c>
      <c r="E3460">
        <v>0</v>
      </c>
      <c r="F3460">
        <v>3</v>
      </c>
      <c r="G3460">
        <v>3</v>
      </c>
      <c r="H3460">
        <v>0</v>
      </c>
      <c r="I3460">
        <v>6000</v>
      </c>
      <c r="J3460">
        <v>10</v>
      </c>
      <c r="K3460">
        <v>0</v>
      </c>
      <c r="L3460" s="4">
        <v>0.9133501651772018</v>
      </c>
      <c r="M3460" s="4">
        <v>8.6649834822798213E-2</v>
      </c>
      <c r="N3460">
        <v>8</v>
      </c>
    </row>
    <row r="3461" spans="1:14" x14ac:dyDescent="0.35">
      <c r="A3461" s="1">
        <v>872</v>
      </c>
      <c r="B3461">
        <v>9</v>
      </c>
      <c r="C3461">
        <v>73</v>
      </c>
      <c r="D3461">
        <v>4</v>
      </c>
      <c r="E3461">
        <v>0</v>
      </c>
      <c r="F3461">
        <v>0</v>
      </c>
      <c r="G3461">
        <v>11</v>
      </c>
      <c r="H3461">
        <v>0</v>
      </c>
      <c r="I3461">
        <v>8900</v>
      </c>
      <c r="J3461">
        <v>8</v>
      </c>
      <c r="K3461">
        <v>0</v>
      </c>
      <c r="L3461" s="4">
        <v>0.91335639798284174</v>
      </c>
      <c r="M3461" s="4">
        <v>8.6643602017158247E-2</v>
      </c>
      <c r="N3461">
        <v>8</v>
      </c>
    </row>
    <row r="3462" spans="1:14" x14ac:dyDescent="0.35">
      <c r="A3462" s="1">
        <v>965</v>
      </c>
      <c r="B3462">
        <v>6</v>
      </c>
      <c r="C3462">
        <v>61</v>
      </c>
      <c r="D3462">
        <v>3</v>
      </c>
      <c r="E3462">
        <v>0</v>
      </c>
      <c r="F3462">
        <v>1</v>
      </c>
      <c r="G3462">
        <v>7</v>
      </c>
      <c r="H3462">
        <v>0</v>
      </c>
      <c r="I3462">
        <v>5044.45</v>
      </c>
      <c r="J3462">
        <v>4</v>
      </c>
      <c r="K3462">
        <v>0</v>
      </c>
      <c r="L3462" s="4">
        <v>0.91340245246737783</v>
      </c>
      <c r="M3462" s="4">
        <v>8.6597547532622179E-2</v>
      </c>
      <c r="N3462">
        <v>8</v>
      </c>
    </row>
    <row r="3463" spans="1:14" x14ac:dyDescent="0.35">
      <c r="A3463" s="1">
        <v>2918</v>
      </c>
      <c r="B3463">
        <v>7</v>
      </c>
      <c r="C3463">
        <v>65</v>
      </c>
      <c r="D3463">
        <v>0</v>
      </c>
      <c r="E3463">
        <v>0</v>
      </c>
      <c r="F3463">
        <v>1</v>
      </c>
      <c r="G3463">
        <v>5</v>
      </c>
      <c r="H3463">
        <v>2</v>
      </c>
      <c r="I3463">
        <v>3800</v>
      </c>
      <c r="J3463">
        <v>1</v>
      </c>
      <c r="K3463">
        <v>0</v>
      </c>
      <c r="L3463" s="4">
        <v>0.91347953932155024</v>
      </c>
      <c r="M3463" s="4">
        <v>8.6520460678449748E-2</v>
      </c>
      <c r="N3463">
        <v>8</v>
      </c>
    </row>
    <row r="3464" spans="1:14" x14ac:dyDescent="0.35">
      <c r="A3464" s="1">
        <v>3474</v>
      </c>
      <c r="B3464">
        <v>9</v>
      </c>
      <c r="C3464">
        <v>70</v>
      </c>
      <c r="D3464">
        <v>3</v>
      </c>
      <c r="E3464">
        <v>0</v>
      </c>
      <c r="F3464">
        <v>4</v>
      </c>
      <c r="G3464">
        <v>9</v>
      </c>
      <c r="H3464">
        <v>2</v>
      </c>
      <c r="I3464">
        <v>1000</v>
      </c>
      <c r="J3464">
        <v>3</v>
      </c>
      <c r="K3464">
        <v>0</v>
      </c>
      <c r="L3464" s="4">
        <v>0.91359931421611096</v>
      </c>
      <c r="M3464" s="4">
        <v>8.640068578388907E-2</v>
      </c>
      <c r="N3464">
        <v>8</v>
      </c>
    </row>
    <row r="3465" spans="1:14" x14ac:dyDescent="0.35">
      <c r="A3465" s="1">
        <v>411</v>
      </c>
      <c r="B3465">
        <v>6</v>
      </c>
      <c r="C3465">
        <v>59</v>
      </c>
      <c r="D3465">
        <v>2</v>
      </c>
      <c r="E3465">
        <v>0</v>
      </c>
      <c r="F3465">
        <v>3</v>
      </c>
      <c r="G3465">
        <v>8</v>
      </c>
      <c r="H3465">
        <v>2</v>
      </c>
      <c r="I3465">
        <v>3260</v>
      </c>
      <c r="J3465">
        <v>7</v>
      </c>
      <c r="K3465">
        <v>0</v>
      </c>
      <c r="L3465" s="4">
        <v>0.9136182993023495</v>
      </c>
      <c r="M3465" s="4">
        <v>8.6381700697650485E-2</v>
      </c>
      <c r="N3465">
        <v>8</v>
      </c>
    </row>
    <row r="3466" spans="1:14" x14ac:dyDescent="0.35">
      <c r="A3466" s="1">
        <v>741</v>
      </c>
      <c r="B3466">
        <v>10</v>
      </c>
      <c r="C3466">
        <v>77</v>
      </c>
      <c r="D3466">
        <v>3</v>
      </c>
      <c r="E3466">
        <v>0</v>
      </c>
      <c r="F3466">
        <v>3</v>
      </c>
      <c r="G3466">
        <v>3</v>
      </c>
      <c r="H3466">
        <v>0</v>
      </c>
      <c r="I3466">
        <v>8105.32</v>
      </c>
      <c r="J3466">
        <v>14</v>
      </c>
      <c r="K3466">
        <v>0</v>
      </c>
      <c r="L3466" s="4">
        <v>0.91379887924642189</v>
      </c>
      <c r="M3466" s="4">
        <v>8.6201120753578081E-2</v>
      </c>
      <c r="N3466">
        <v>8</v>
      </c>
    </row>
    <row r="3467" spans="1:14" x14ac:dyDescent="0.35">
      <c r="A3467" s="1">
        <v>3707</v>
      </c>
      <c r="B3467">
        <v>7</v>
      </c>
      <c r="C3467">
        <v>59</v>
      </c>
      <c r="D3467">
        <v>5</v>
      </c>
      <c r="E3467">
        <v>1</v>
      </c>
      <c r="F3467">
        <v>1</v>
      </c>
      <c r="G3467">
        <v>7</v>
      </c>
      <c r="H3467">
        <v>1</v>
      </c>
      <c r="I3467">
        <v>20113.23</v>
      </c>
      <c r="J3467">
        <v>3</v>
      </c>
      <c r="K3467">
        <v>0</v>
      </c>
      <c r="L3467" s="4">
        <v>0.91379978517429328</v>
      </c>
      <c r="M3467" s="4">
        <v>8.6200214825706695E-2</v>
      </c>
      <c r="N3467">
        <v>8</v>
      </c>
    </row>
    <row r="3468" spans="1:14" x14ac:dyDescent="0.35">
      <c r="A3468" s="1">
        <v>2947</v>
      </c>
      <c r="B3468">
        <v>8</v>
      </c>
      <c r="C3468">
        <v>57</v>
      </c>
      <c r="D3468">
        <v>2</v>
      </c>
      <c r="E3468">
        <v>2</v>
      </c>
      <c r="F3468">
        <v>3</v>
      </c>
      <c r="G3468">
        <v>3</v>
      </c>
      <c r="H3468">
        <v>3</v>
      </c>
      <c r="I3468">
        <v>0.01</v>
      </c>
      <c r="J3468">
        <v>8</v>
      </c>
      <c r="K3468">
        <v>0</v>
      </c>
      <c r="L3468" s="4">
        <v>0.91391005476084508</v>
      </c>
      <c r="M3468" s="4">
        <v>8.6089945239154905E-2</v>
      </c>
      <c r="N3468">
        <v>8</v>
      </c>
    </row>
    <row r="3469" spans="1:14" x14ac:dyDescent="0.35">
      <c r="A3469" s="1">
        <v>878</v>
      </c>
      <c r="B3469">
        <v>10</v>
      </c>
      <c r="C3469">
        <v>76</v>
      </c>
      <c r="D3469">
        <v>1</v>
      </c>
      <c r="E3469">
        <v>0</v>
      </c>
      <c r="F3469">
        <v>3</v>
      </c>
      <c r="G3469">
        <v>3</v>
      </c>
      <c r="H3469">
        <v>2</v>
      </c>
      <c r="I3469">
        <v>2000</v>
      </c>
      <c r="J3469">
        <v>1</v>
      </c>
      <c r="K3469">
        <v>0</v>
      </c>
      <c r="L3469" s="4">
        <v>0.91393954767117658</v>
      </c>
      <c r="M3469" s="4">
        <v>8.606045232882345E-2</v>
      </c>
      <c r="N3469">
        <v>8</v>
      </c>
    </row>
    <row r="3470" spans="1:14" x14ac:dyDescent="0.35">
      <c r="A3470" s="1">
        <v>3712</v>
      </c>
      <c r="B3470">
        <v>7</v>
      </c>
      <c r="C3470">
        <v>64</v>
      </c>
      <c r="D3470">
        <v>1</v>
      </c>
      <c r="E3470">
        <v>0</v>
      </c>
      <c r="F3470">
        <v>3</v>
      </c>
      <c r="G3470">
        <v>3</v>
      </c>
      <c r="H3470">
        <v>2</v>
      </c>
      <c r="I3470">
        <v>5000</v>
      </c>
      <c r="J3470">
        <v>4</v>
      </c>
      <c r="K3470">
        <v>0</v>
      </c>
      <c r="L3470" s="4">
        <v>0.91396914121409356</v>
      </c>
      <c r="M3470" s="4">
        <v>8.6030858785906467E-2</v>
      </c>
      <c r="N3470">
        <v>8</v>
      </c>
    </row>
    <row r="3471" spans="1:14" x14ac:dyDescent="0.35">
      <c r="A3471" s="1">
        <v>3763</v>
      </c>
      <c r="B3471">
        <v>4</v>
      </c>
      <c r="C3471">
        <v>53</v>
      </c>
      <c r="D3471">
        <v>2</v>
      </c>
      <c r="E3471">
        <v>0</v>
      </c>
      <c r="F3471">
        <v>1</v>
      </c>
      <c r="G3471">
        <v>12</v>
      </c>
      <c r="H3471">
        <v>0</v>
      </c>
      <c r="I3471">
        <v>6000</v>
      </c>
      <c r="J3471">
        <v>2</v>
      </c>
      <c r="K3471">
        <v>0</v>
      </c>
      <c r="L3471" s="4">
        <v>0.91405033940516911</v>
      </c>
      <c r="M3471" s="4">
        <v>8.5949660594830918E-2</v>
      </c>
      <c r="N3471">
        <v>8</v>
      </c>
    </row>
    <row r="3472" spans="1:14" x14ac:dyDescent="0.35">
      <c r="A3472" s="1">
        <v>2090</v>
      </c>
      <c r="B3472">
        <v>10</v>
      </c>
      <c r="C3472">
        <v>71</v>
      </c>
      <c r="D3472">
        <v>5</v>
      </c>
      <c r="E3472">
        <v>1</v>
      </c>
      <c r="F3472">
        <v>3</v>
      </c>
      <c r="G3472">
        <v>3</v>
      </c>
      <c r="H3472">
        <v>0</v>
      </c>
      <c r="I3472">
        <v>6000</v>
      </c>
      <c r="J3472">
        <v>4</v>
      </c>
      <c r="K3472">
        <v>0</v>
      </c>
      <c r="L3472" s="4">
        <v>0.9140569973755176</v>
      </c>
      <c r="M3472" s="4">
        <v>8.5943002624482415E-2</v>
      </c>
      <c r="N3472">
        <v>8</v>
      </c>
    </row>
    <row r="3473" spans="1:14" x14ac:dyDescent="0.35">
      <c r="A3473" s="1">
        <v>2875</v>
      </c>
      <c r="B3473">
        <v>9</v>
      </c>
      <c r="C3473">
        <v>73</v>
      </c>
      <c r="D3473">
        <v>4</v>
      </c>
      <c r="E3473">
        <v>0</v>
      </c>
      <c r="F3473">
        <v>1</v>
      </c>
      <c r="G3473">
        <v>12</v>
      </c>
      <c r="H3473">
        <v>0</v>
      </c>
      <c r="I3473">
        <v>9053.35</v>
      </c>
      <c r="J3473">
        <v>27</v>
      </c>
      <c r="K3473">
        <v>1</v>
      </c>
      <c r="L3473" s="4">
        <v>0.91408569003181828</v>
      </c>
      <c r="M3473" s="4">
        <v>8.5914309968181751E-2</v>
      </c>
      <c r="N3473">
        <v>8</v>
      </c>
    </row>
    <row r="3474" spans="1:14" x14ac:dyDescent="0.35">
      <c r="A3474" s="1">
        <v>3955</v>
      </c>
      <c r="B3474">
        <v>5</v>
      </c>
      <c r="C3474">
        <v>58</v>
      </c>
      <c r="D3474">
        <v>0</v>
      </c>
      <c r="E3474">
        <v>0</v>
      </c>
      <c r="F3474">
        <v>2</v>
      </c>
      <c r="G3474">
        <v>6</v>
      </c>
      <c r="H3474">
        <v>0</v>
      </c>
      <c r="I3474">
        <v>6000</v>
      </c>
      <c r="J3474">
        <v>1</v>
      </c>
      <c r="K3474">
        <v>0</v>
      </c>
      <c r="L3474" s="4">
        <v>0.91415398205061416</v>
      </c>
      <c r="M3474" s="4">
        <v>8.5846017949385886E-2</v>
      </c>
      <c r="N3474">
        <v>8</v>
      </c>
    </row>
    <row r="3475" spans="1:14" x14ac:dyDescent="0.35">
      <c r="A3475" s="1">
        <v>19</v>
      </c>
      <c r="B3475">
        <v>2</v>
      </c>
      <c r="C3475">
        <v>43</v>
      </c>
      <c r="D3475">
        <v>1</v>
      </c>
      <c r="E3475">
        <v>0</v>
      </c>
      <c r="F3475">
        <v>3</v>
      </c>
      <c r="G3475">
        <v>3</v>
      </c>
      <c r="H3475">
        <v>3</v>
      </c>
      <c r="I3475">
        <v>0.01</v>
      </c>
      <c r="J3475">
        <v>7</v>
      </c>
      <c r="K3475">
        <v>0</v>
      </c>
      <c r="L3475" s="4">
        <v>0.91421630342576565</v>
      </c>
      <c r="M3475" s="4">
        <v>8.5783696574234389E-2</v>
      </c>
      <c r="N3475">
        <v>8</v>
      </c>
    </row>
    <row r="3476" spans="1:14" x14ac:dyDescent="0.35">
      <c r="A3476" s="1">
        <v>3920</v>
      </c>
      <c r="B3476">
        <v>10</v>
      </c>
      <c r="C3476">
        <v>69</v>
      </c>
      <c r="D3476">
        <v>2</v>
      </c>
      <c r="E3476">
        <v>1</v>
      </c>
      <c r="F3476">
        <v>4</v>
      </c>
      <c r="G3476">
        <v>9</v>
      </c>
      <c r="H3476">
        <v>3</v>
      </c>
      <c r="I3476">
        <v>0.01</v>
      </c>
      <c r="J3476">
        <v>5</v>
      </c>
      <c r="K3476">
        <v>1</v>
      </c>
      <c r="L3476" s="4">
        <v>0.91425501170042323</v>
      </c>
      <c r="M3476" s="4">
        <v>8.5744988299576747E-2</v>
      </c>
      <c r="N3476">
        <v>8</v>
      </c>
    </row>
    <row r="3477" spans="1:14" x14ac:dyDescent="0.35">
      <c r="A3477" s="1">
        <v>2462</v>
      </c>
      <c r="B3477">
        <v>6</v>
      </c>
      <c r="C3477">
        <v>59</v>
      </c>
      <c r="D3477">
        <v>1</v>
      </c>
      <c r="E3477">
        <v>0</v>
      </c>
      <c r="F3477">
        <v>4</v>
      </c>
      <c r="G3477">
        <v>9</v>
      </c>
      <c r="H3477">
        <v>2</v>
      </c>
      <c r="I3477">
        <v>300.01</v>
      </c>
      <c r="J3477">
        <v>10</v>
      </c>
      <c r="K3477">
        <v>0</v>
      </c>
      <c r="L3477" s="4">
        <v>0.91428878363842181</v>
      </c>
      <c r="M3477" s="4">
        <v>8.5711216361578163E-2</v>
      </c>
      <c r="N3477">
        <v>8</v>
      </c>
    </row>
    <row r="3478" spans="1:14" x14ac:dyDescent="0.35">
      <c r="A3478" s="1">
        <v>54</v>
      </c>
      <c r="B3478">
        <v>6</v>
      </c>
      <c r="C3478">
        <v>55</v>
      </c>
      <c r="D3478">
        <v>4</v>
      </c>
      <c r="E3478">
        <v>1</v>
      </c>
      <c r="F3478">
        <v>3</v>
      </c>
      <c r="G3478">
        <v>3</v>
      </c>
      <c r="H3478">
        <v>1</v>
      </c>
      <c r="I3478">
        <v>24000</v>
      </c>
      <c r="J3478">
        <v>2</v>
      </c>
      <c r="K3478">
        <v>0</v>
      </c>
      <c r="L3478" s="4">
        <v>0.91432086369887511</v>
      </c>
      <c r="M3478" s="4">
        <v>8.5679136301124864E-2</v>
      </c>
      <c r="N3478">
        <v>8</v>
      </c>
    </row>
    <row r="3479" spans="1:14" x14ac:dyDescent="0.35">
      <c r="A3479" s="1">
        <v>211</v>
      </c>
      <c r="B3479">
        <v>6</v>
      </c>
      <c r="C3479">
        <v>52</v>
      </c>
      <c r="D3479">
        <v>2</v>
      </c>
      <c r="E3479">
        <v>2</v>
      </c>
      <c r="F3479">
        <v>1</v>
      </c>
      <c r="G3479">
        <v>7</v>
      </c>
      <c r="H3479">
        <v>0</v>
      </c>
      <c r="I3479">
        <v>6120</v>
      </c>
      <c r="J3479">
        <v>11</v>
      </c>
      <c r="K3479">
        <v>0</v>
      </c>
      <c r="L3479" s="4">
        <v>0.91437489650724391</v>
      </c>
      <c r="M3479" s="4">
        <v>8.5625103492756136E-2</v>
      </c>
      <c r="N3479">
        <v>8</v>
      </c>
    </row>
    <row r="3480" spans="1:14" x14ac:dyDescent="0.35">
      <c r="A3480" s="1">
        <v>1587</v>
      </c>
      <c r="B3480">
        <v>8</v>
      </c>
      <c r="C3480">
        <v>63</v>
      </c>
      <c r="D3480">
        <v>3</v>
      </c>
      <c r="E3480">
        <v>1</v>
      </c>
      <c r="F3480">
        <v>0</v>
      </c>
      <c r="G3480">
        <v>11</v>
      </c>
      <c r="H3480">
        <v>2</v>
      </c>
      <c r="I3480">
        <v>300.01</v>
      </c>
      <c r="J3480">
        <v>8</v>
      </c>
      <c r="K3480">
        <v>0</v>
      </c>
      <c r="L3480" s="4">
        <v>0.91438218255302484</v>
      </c>
      <c r="M3480" s="4">
        <v>8.5617817446975164E-2</v>
      </c>
      <c r="N3480">
        <v>8</v>
      </c>
    </row>
    <row r="3481" spans="1:14" x14ac:dyDescent="0.35">
      <c r="A3481" s="1">
        <v>2811</v>
      </c>
      <c r="B3481">
        <v>4</v>
      </c>
      <c r="C3481">
        <v>46</v>
      </c>
      <c r="D3481">
        <v>3</v>
      </c>
      <c r="E3481">
        <v>1</v>
      </c>
      <c r="F3481">
        <v>0</v>
      </c>
      <c r="G3481">
        <v>11</v>
      </c>
      <c r="H3481">
        <v>3</v>
      </c>
      <c r="I3481">
        <v>0.01</v>
      </c>
      <c r="J3481">
        <v>5</v>
      </c>
      <c r="K3481">
        <v>0</v>
      </c>
      <c r="L3481" s="4">
        <v>0.91440279130516366</v>
      </c>
      <c r="M3481" s="4">
        <v>8.5597208694836335E-2</v>
      </c>
      <c r="N3481">
        <v>8</v>
      </c>
    </row>
    <row r="3482" spans="1:14" x14ac:dyDescent="0.35">
      <c r="A3482" s="1">
        <v>3878</v>
      </c>
      <c r="B3482">
        <v>6</v>
      </c>
      <c r="C3482">
        <v>54</v>
      </c>
      <c r="D3482">
        <v>3</v>
      </c>
      <c r="E3482">
        <v>1</v>
      </c>
      <c r="F3482">
        <v>1</v>
      </c>
      <c r="G3482">
        <v>7</v>
      </c>
      <c r="H3482">
        <v>3</v>
      </c>
      <c r="I3482">
        <v>0.01</v>
      </c>
      <c r="J3482">
        <v>5</v>
      </c>
      <c r="K3482">
        <v>0</v>
      </c>
      <c r="L3482" s="4">
        <v>0.91443592613866043</v>
      </c>
      <c r="M3482" s="4">
        <v>8.5564073861339573E-2</v>
      </c>
      <c r="N3482">
        <v>8</v>
      </c>
    </row>
    <row r="3483" spans="1:14" x14ac:dyDescent="0.35">
      <c r="A3483" s="1">
        <v>4164</v>
      </c>
      <c r="B3483">
        <v>11</v>
      </c>
      <c r="C3483">
        <v>77</v>
      </c>
      <c r="D3483">
        <v>3</v>
      </c>
      <c r="E3483">
        <v>1</v>
      </c>
      <c r="F3483">
        <v>1</v>
      </c>
      <c r="G3483">
        <v>7</v>
      </c>
      <c r="H3483">
        <v>0</v>
      </c>
      <c r="I3483">
        <v>6000</v>
      </c>
      <c r="J3483">
        <v>23</v>
      </c>
      <c r="K3483">
        <v>0</v>
      </c>
      <c r="L3483" s="4">
        <v>0.91448125603282027</v>
      </c>
      <c r="M3483" s="4">
        <v>8.5518743967179775E-2</v>
      </c>
      <c r="N3483">
        <v>8</v>
      </c>
    </row>
    <row r="3484" spans="1:14" x14ac:dyDescent="0.35">
      <c r="A3484" s="1">
        <v>3855</v>
      </c>
      <c r="B3484">
        <v>9</v>
      </c>
      <c r="C3484">
        <v>71</v>
      </c>
      <c r="D3484">
        <v>1</v>
      </c>
      <c r="E3484">
        <v>0</v>
      </c>
      <c r="F3484">
        <v>3</v>
      </c>
      <c r="G3484">
        <v>8</v>
      </c>
      <c r="H3484">
        <v>3</v>
      </c>
      <c r="I3484">
        <v>0.01</v>
      </c>
      <c r="J3484">
        <v>9</v>
      </c>
      <c r="K3484">
        <v>0</v>
      </c>
      <c r="L3484" s="4">
        <v>0.91450798375831532</v>
      </c>
      <c r="M3484" s="4">
        <v>8.5492016241684662E-2</v>
      </c>
      <c r="N3484">
        <v>8</v>
      </c>
    </row>
    <row r="3485" spans="1:14" x14ac:dyDescent="0.35">
      <c r="A3485" s="1">
        <v>51</v>
      </c>
      <c r="B3485">
        <v>4</v>
      </c>
      <c r="C3485">
        <v>52</v>
      </c>
      <c r="D3485">
        <v>2</v>
      </c>
      <c r="E3485">
        <v>0</v>
      </c>
      <c r="F3485">
        <v>1</v>
      </c>
      <c r="G3485">
        <v>7</v>
      </c>
      <c r="H3485">
        <v>2</v>
      </c>
      <c r="I3485">
        <v>480</v>
      </c>
      <c r="J3485">
        <v>4</v>
      </c>
      <c r="K3485">
        <v>0</v>
      </c>
      <c r="L3485" s="4">
        <v>0.91457726435672204</v>
      </c>
      <c r="M3485" s="4">
        <v>8.5422735643277944E-2</v>
      </c>
      <c r="N3485">
        <v>8</v>
      </c>
    </row>
    <row r="3486" spans="1:14" x14ac:dyDescent="0.35">
      <c r="A3486" s="1">
        <v>2972</v>
      </c>
      <c r="B3486">
        <v>5</v>
      </c>
      <c r="C3486">
        <v>58</v>
      </c>
      <c r="D3486">
        <v>0</v>
      </c>
      <c r="E3486">
        <v>0</v>
      </c>
      <c r="F3486">
        <v>3</v>
      </c>
      <c r="G3486">
        <v>3</v>
      </c>
      <c r="H3486">
        <v>0</v>
      </c>
      <c r="I3486">
        <v>6000</v>
      </c>
      <c r="J3486">
        <v>6</v>
      </c>
      <c r="K3486">
        <v>0</v>
      </c>
      <c r="L3486" s="4">
        <v>0.91458704565888194</v>
      </c>
      <c r="M3486" s="4">
        <v>8.5412954341118064E-2</v>
      </c>
      <c r="N3486">
        <v>8</v>
      </c>
    </row>
    <row r="3487" spans="1:14" x14ac:dyDescent="0.35">
      <c r="A3487" s="1">
        <v>2652</v>
      </c>
      <c r="B3487">
        <v>10</v>
      </c>
      <c r="C3487">
        <v>76</v>
      </c>
      <c r="D3487">
        <v>1</v>
      </c>
      <c r="E3487">
        <v>0</v>
      </c>
      <c r="F3487">
        <v>3</v>
      </c>
      <c r="G3487">
        <v>8</v>
      </c>
      <c r="H3487">
        <v>2</v>
      </c>
      <c r="I3487">
        <v>5000</v>
      </c>
      <c r="J3487">
        <v>12</v>
      </c>
      <c r="K3487">
        <v>1</v>
      </c>
      <c r="L3487" s="4">
        <v>0.91460403121572909</v>
      </c>
      <c r="M3487" s="4">
        <v>8.5395968784270901E-2</v>
      </c>
      <c r="N3487">
        <v>8</v>
      </c>
    </row>
    <row r="3488" spans="1:14" x14ac:dyDescent="0.35">
      <c r="A3488" s="1">
        <v>1226</v>
      </c>
      <c r="B3488">
        <v>8</v>
      </c>
      <c r="C3488">
        <v>68</v>
      </c>
      <c r="D3488">
        <v>3</v>
      </c>
      <c r="E3488">
        <v>0</v>
      </c>
      <c r="F3488">
        <v>2</v>
      </c>
      <c r="G3488">
        <v>1</v>
      </c>
      <c r="H3488">
        <v>2</v>
      </c>
      <c r="I3488">
        <v>3647.2</v>
      </c>
      <c r="J3488">
        <v>7</v>
      </c>
      <c r="K3488">
        <v>0</v>
      </c>
      <c r="L3488" s="4">
        <v>0.91463546491051018</v>
      </c>
      <c r="M3488" s="4">
        <v>8.5364535089489865E-2</v>
      </c>
      <c r="N3488">
        <v>8</v>
      </c>
    </row>
    <row r="3489" spans="1:14" x14ac:dyDescent="0.35">
      <c r="A3489" s="1">
        <v>1205</v>
      </c>
      <c r="B3489">
        <v>7</v>
      </c>
      <c r="C3489">
        <v>66</v>
      </c>
      <c r="D3489">
        <v>2</v>
      </c>
      <c r="E3489">
        <v>0</v>
      </c>
      <c r="F3489">
        <v>1</v>
      </c>
      <c r="G3489">
        <v>5</v>
      </c>
      <c r="H3489">
        <v>0</v>
      </c>
      <c r="I3489">
        <v>6000</v>
      </c>
      <c r="J3489">
        <v>5</v>
      </c>
      <c r="K3489">
        <v>1</v>
      </c>
      <c r="L3489" s="4">
        <v>0.91474128132602506</v>
      </c>
      <c r="M3489" s="4">
        <v>8.5258718673974915E-2</v>
      </c>
      <c r="N3489">
        <v>8</v>
      </c>
    </row>
    <row r="3490" spans="1:14" x14ac:dyDescent="0.35">
      <c r="A3490" s="1">
        <v>3961</v>
      </c>
      <c r="B3490">
        <v>7</v>
      </c>
      <c r="C3490">
        <v>63</v>
      </c>
      <c r="D3490">
        <v>2</v>
      </c>
      <c r="E3490">
        <v>0</v>
      </c>
      <c r="F3490">
        <v>1</v>
      </c>
      <c r="G3490">
        <v>12</v>
      </c>
      <c r="H3490">
        <v>3</v>
      </c>
      <c r="I3490">
        <v>0.01</v>
      </c>
      <c r="J3490">
        <v>4</v>
      </c>
      <c r="K3490">
        <v>0</v>
      </c>
      <c r="L3490" s="4">
        <v>0.91481081994400004</v>
      </c>
      <c r="M3490" s="4">
        <v>8.5189180055999972E-2</v>
      </c>
      <c r="N3490">
        <v>8</v>
      </c>
    </row>
    <row r="3491" spans="1:14" x14ac:dyDescent="0.35">
      <c r="A3491" s="1">
        <v>1092</v>
      </c>
      <c r="B3491">
        <v>7</v>
      </c>
      <c r="C3491">
        <v>61</v>
      </c>
      <c r="D3491">
        <v>0</v>
      </c>
      <c r="E3491">
        <v>1</v>
      </c>
      <c r="F3491">
        <v>3</v>
      </c>
      <c r="G3491">
        <v>3</v>
      </c>
      <c r="H3491">
        <v>1</v>
      </c>
      <c r="I3491">
        <v>28780.41</v>
      </c>
      <c r="J3491">
        <v>0</v>
      </c>
      <c r="K3491">
        <v>0</v>
      </c>
      <c r="L3491" s="4">
        <v>0.91486634240121245</v>
      </c>
      <c r="M3491" s="4">
        <v>8.5133657598787493E-2</v>
      </c>
      <c r="N3491">
        <v>8</v>
      </c>
    </row>
    <row r="3492" spans="1:14" x14ac:dyDescent="0.35">
      <c r="A3492" s="1">
        <v>3420</v>
      </c>
      <c r="B3492">
        <v>5</v>
      </c>
      <c r="C3492">
        <v>54</v>
      </c>
      <c r="D3492">
        <v>3</v>
      </c>
      <c r="E3492">
        <v>0</v>
      </c>
      <c r="F3492">
        <v>3</v>
      </c>
      <c r="G3492">
        <v>8</v>
      </c>
      <c r="H3492">
        <v>3</v>
      </c>
      <c r="I3492">
        <v>0.01</v>
      </c>
      <c r="J3492">
        <v>8</v>
      </c>
      <c r="K3492">
        <v>0</v>
      </c>
      <c r="L3492" s="4">
        <v>0.91496061832006714</v>
      </c>
      <c r="M3492" s="4">
        <v>8.5039381679932857E-2</v>
      </c>
      <c r="N3492">
        <v>8</v>
      </c>
    </row>
    <row r="3493" spans="1:14" x14ac:dyDescent="0.35">
      <c r="A3493" s="1">
        <v>3335</v>
      </c>
      <c r="B3493">
        <v>8</v>
      </c>
      <c r="C3493">
        <v>63</v>
      </c>
      <c r="D3493">
        <v>5</v>
      </c>
      <c r="E3493">
        <v>1</v>
      </c>
      <c r="F3493">
        <v>0</v>
      </c>
      <c r="G3493">
        <v>4</v>
      </c>
      <c r="H3493">
        <v>2</v>
      </c>
      <c r="I3493">
        <v>500</v>
      </c>
      <c r="J3493">
        <v>13</v>
      </c>
      <c r="K3493">
        <v>0</v>
      </c>
      <c r="L3493" s="4">
        <v>0.91496216580972001</v>
      </c>
      <c r="M3493" s="4">
        <v>8.5037834190280007E-2</v>
      </c>
      <c r="N3493">
        <v>8</v>
      </c>
    </row>
    <row r="3494" spans="1:14" x14ac:dyDescent="0.35">
      <c r="A3494" s="1">
        <v>2002</v>
      </c>
      <c r="B3494">
        <v>7</v>
      </c>
      <c r="C3494">
        <v>58</v>
      </c>
      <c r="D3494">
        <v>4</v>
      </c>
      <c r="E3494">
        <v>1</v>
      </c>
      <c r="F3494">
        <v>3</v>
      </c>
      <c r="G3494">
        <v>3</v>
      </c>
      <c r="H3494">
        <v>2</v>
      </c>
      <c r="I3494">
        <v>200.01</v>
      </c>
      <c r="J3494">
        <v>10</v>
      </c>
      <c r="K3494">
        <v>0</v>
      </c>
      <c r="L3494" s="4">
        <v>0.91501419346778134</v>
      </c>
      <c r="M3494" s="4">
        <v>8.4985806532218613E-2</v>
      </c>
      <c r="N3494">
        <v>8</v>
      </c>
    </row>
    <row r="3495" spans="1:14" x14ac:dyDescent="0.35">
      <c r="A3495" s="1">
        <v>2939</v>
      </c>
      <c r="B3495">
        <v>7</v>
      </c>
      <c r="C3495">
        <v>61</v>
      </c>
      <c r="D3495">
        <v>4</v>
      </c>
      <c r="E3495">
        <v>1</v>
      </c>
      <c r="F3495">
        <v>0</v>
      </c>
      <c r="G3495">
        <v>2</v>
      </c>
      <c r="H3495">
        <v>0</v>
      </c>
      <c r="I3495">
        <v>6000</v>
      </c>
      <c r="J3495">
        <v>4</v>
      </c>
      <c r="K3495">
        <v>1</v>
      </c>
      <c r="L3495" s="4">
        <v>0.91502194410017712</v>
      </c>
      <c r="M3495" s="4">
        <v>8.4978055899822907E-2</v>
      </c>
      <c r="N3495">
        <v>8</v>
      </c>
    </row>
    <row r="3496" spans="1:14" x14ac:dyDescent="0.35">
      <c r="A3496" s="1">
        <v>3426</v>
      </c>
      <c r="B3496">
        <v>4</v>
      </c>
      <c r="C3496">
        <v>53</v>
      </c>
      <c r="D3496">
        <v>0</v>
      </c>
      <c r="E3496">
        <v>0</v>
      </c>
      <c r="F3496">
        <v>0</v>
      </c>
      <c r="G3496">
        <v>4</v>
      </c>
      <c r="H3496">
        <v>3</v>
      </c>
      <c r="I3496">
        <v>0.01</v>
      </c>
      <c r="J3496">
        <v>5</v>
      </c>
      <c r="K3496">
        <v>0</v>
      </c>
      <c r="L3496" s="4">
        <v>0.91505847861591572</v>
      </c>
      <c r="M3496" s="4">
        <v>8.494152138408434E-2</v>
      </c>
      <c r="N3496">
        <v>8</v>
      </c>
    </row>
    <row r="3497" spans="1:14" x14ac:dyDescent="0.35">
      <c r="A3497" s="1">
        <v>341</v>
      </c>
      <c r="B3497">
        <v>6</v>
      </c>
      <c r="C3497">
        <v>57</v>
      </c>
      <c r="D3497">
        <v>2</v>
      </c>
      <c r="E3497">
        <v>1</v>
      </c>
      <c r="F3497">
        <v>1</v>
      </c>
      <c r="G3497">
        <v>7</v>
      </c>
      <c r="H3497">
        <v>0</v>
      </c>
      <c r="I3497">
        <v>6000</v>
      </c>
      <c r="J3497">
        <v>8</v>
      </c>
      <c r="K3497">
        <v>0</v>
      </c>
      <c r="L3497" s="4">
        <v>0.91511120745747521</v>
      </c>
      <c r="M3497" s="4">
        <v>8.4888792542524766E-2</v>
      </c>
      <c r="N3497">
        <v>8</v>
      </c>
    </row>
    <row r="3498" spans="1:14" x14ac:dyDescent="0.35">
      <c r="A3498" s="1">
        <v>3465</v>
      </c>
      <c r="B3498">
        <v>9</v>
      </c>
      <c r="C3498">
        <v>71</v>
      </c>
      <c r="D3498">
        <v>3</v>
      </c>
      <c r="E3498">
        <v>0</v>
      </c>
      <c r="F3498">
        <v>3</v>
      </c>
      <c r="G3498">
        <v>8</v>
      </c>
      <c r="H3498">
        <v>2</v>
      </c>
      <c r="I3498">
        <v>3500</v>
      </c>
      <c r="J3498">
        <v>5</v>
      </c>
      <c r="K3498">
        <v>1</v>
      </c>
      <c r="L3498" s="4">
        <v>0.91513871633118438</v>
      </c>
      <c r="M3498" s="4">
        <v>8.4861283668815568E-2</v>
      </c>
      <c r="N3498">
        <v>8</v>
      </c>
    </row>
    <row r="3499" spans="1:14" x14ac:dyDescent="0.35">
      <c r="A3499" s="1">
        <v>3462</v>
      </c>
      <c r="B3499">
        <v>9</v>
      </c>
      <c r="C3499">
        <v>74</v>
      </c>
      <c r="D3499">
        <v>1</v>
      </c>
      <c r="E3499">
        <v>0</v>
      </c>
      <c r="F3499">
        <v>3</v>
      </c>
      <c r="G3499">
        <v>8</v>
      </c>
      <c r="H3499">
        <v>0</v>
      </c>
      <c r="I3499">
        <v>18000</v>
      </c>
      <c r="J3499">
        <v>17</v>
      </c>
      <c r="K3499">
        <v>0</v>
      </c>
      <c r="L3499" s="4">
        <v>0.91522483165701662</v>
      </c>
      <c r="M3499" s="4">
        <v>8.4775168342983431E-2</v>
      </c>
      <c r="N3499">
        <v>8</v>
      </c>
    </row>
    <row r="3500" spans="1:14" x14ac:dyDescent="0.35">
      <c r="A3500" s="1">
        <v>3619</v>
      </c>
      <c r="B3500">
        <v>6</v>
      </c>
      <c r="C3500">
        <v>59</v>
      </c>
      <c r="D3500">
        <v>2</v>
      </c>
      <c r="E3500">
        <v>0</v>
      </c>
      <c r="F3500">
        <v>3</v>
      </c>
      <c r="G3500">
        <v>3</v>
      </c>
      <c r="H3500">
        <v>3</v>
      </c>
      <c r="I3500">
        <v>0.01</v>
      </c>
      <c r="J3500">
        <v>8</v>
      </c>
      <c r="K3500">
        <v>0</v>
      </c>
      <c r="L3500" s="4">
        <v>0.9152249561105702</v>
      </c>
      <c r="M3500" s="4">
        <v>8.4775043889429844E-2</v>
      </c>
      <c r="N3500">
        <v>8</v>
      </c>
    </row>
    <row r="3501" spans="1:14" x14ac:dyDescent="0.35">
      <c r="A3501" s="1">
        <v>1681</v>
      </c>
      <c r="B3501">
        <v>7</v>
      </c>
      <c r="C3501">
        <v>59</v>
      </c>
      <c r="D3501">
        <v>3</v>
      </c>
      <c r="E3501">
        <v>1</v>
      </c>
      <c r="F3501">
        <v>1</v>
      </c>
      <c r="G3501">
        <v>7</v>
      </c>
      <c r="H3501">
        <v>2</v>
      </c>
      <c r="I3501">
        <v>2500</v>
      </c>
      <c r="J3501">
        <v>4</v>
      </c>
      <c r="K3501">
        <v>0</v>
      </c>
      <c r="L3501" s="4">
        <v>0.91524595592775893</v>
      </c>
      <c r="M3501" s="4">
        <v>8.4754044072241033E-2</v>
      </c>
      <c r="N3501">
        <v>8</v>
      </c>
    </row>
    <row r="3502" spans="1:14" x14ac:dyDescent="0.35">
      <c r="A3502" s="1">
        <v>4106</v>
      </c>
      <c r="B3502">
        <v>7</v>
      </c>
      <c r="C3502">
        <v>65</v>
      </c>
      <c r="D3502">
        <v>5</v>
      </c>
      <c r="E3502">
        <v>0</v>
      </c>
      <c r="F3502">
        <v>1</v>
      </c>
      <c r="G3502">
        <v>7</v>
      </c>
      <c r="H3502">
        <v>0</v>
      </c>
      <c r="I3502">
        <v>6000</v>
      </c>
      <c r="J3502">
        <v>23</v>
      </c>
      <c r="K3502">
        <v>0</v>
      </c>
      <c r="L3502" s="4">
        <v>0.91525318167849523</v>
      </c>
      <c r="M3502" s="4">
        <v>8.4746818321504727E-2</v>
      </c>
      <c r="N3502">
        <v>8</v>
      </c>
    </row>
    <row r="3503" spans="1:14" x14ac:dyDescent="0.35">
      <c r="A3503" s="1">
        <v>839</v>
      </c>
      <c r="B3503">
        <v>5</v>
      </c>
      <c r="C3503">
        <v>50</v>
      </c>
      <c r="D3503">
        <v>2</v>
      </c>
      <c r="E3503">
        <v>1</v>
      </c>
      <c r="F3503">
        <v>3</v>
      </c>
      <c r="G3503">
        <v>3</v>
      </c>
      <c r="H3503">
        <v>3</v>
      </c>
      <c r="I3503">
        <v>0.01</v>
      </c>
      <c r="J3503">
        <v>5</v>
      </c>
      <c r="K3503">
        <v>0</v>
      </c>
      <c r="L3503" s="4">
        <v>0.91534003262485286</v>
      </c>
      <c r="M3503" s="4">
        <v>8.4659967375147194E-2</v>
      </c>
      <c r="N3503">
        <v>8</v>
      </c>
    </row>
    <row r="3504" spans="1:14" x14ac:dyDescent="0.35">
      <c r="A3504" s="1">
        <v>2482</v>
      </c>
      <c r="B3504">
        <v>7</v>
      </c>
      <c r="C3504">
        <v>61</v>
      </c>
      <c r="D3504">
        <v>3</v>
      </c>
      <c r="E3504">
        <v>1</v>
      </c>
      <c r="F3504">
        <v>0</v>
      </c>
      <c r="G3504">
        <v>4</v>
      </c>
      <c r="H3504">
        <v>1</v>
      </c>
      <c r="I3504">
        <v>20520.14</v>
      </c>
      <c r="J3504">
        <v>3</v>
      </c>
      <c r="K3504">
        <v>0</v>
      </c>
      <c r="L3504" s="4">
        <v>0.9155319870756915</v>
      </c>
      <c r="M3504" s="4">
        <v>8.4468012924308528E-2</v>
      </c>
      <c r="N3504">
        <v>8</v>
      </c>
    </row>
    <row r="3505" spans="1:14" x14ac:dyDescent="0.35">
      <c r="A3505" s="1">
        <v>1255</v>
      </c>
      <c r="B3505">
        <v>10</v>
      </c>
      <c r="C3505">
        <v>75</v>
      </c>
      <c r="D3505">
        <v>5</v>
      </c>
      <c r="E3505">
        <v>0</v>
      </c>
      <c r="F3505">
        <v>1</v>
      </c>
      <c r="G3505">
        <v>12</v>
      </c>
      <c r="H3505">
        <v>2</v>
      </c>
      <c r="I3505">
        <v>3000</v>
      </c>
      <c r="J3505">
        <v>12</v>
      </c>
      <c r="K3505">
        <v>0</v>
      </c>
      <c r="L3505" s="4">
        <v>0.91564228468620756</v>
      </c>
      <c r="M3505" s="4">
        <v>8.4357715313792395E-2</v>
      </c>
      <c r="N3505">
        <v>8</v>
      </c>
    </row>
    <row r="3506" spans="1:14" x14ac:dyDescent="0.35">
      <c r="A3506" s="1">
        <v>4129</v>
      </c>
      <c r="B3506">
        <v>6</v>
      </c>
      <c r="C3506">
        <v>58</v>
      </c>
      <c r="D3506">
        <v>5</v>
      </c>
      <c r="E3506">
        <v>0</v>
      </c>
      <c r="F3506">
        <v>3</v>
      </c>
      <c r="G3506">
        <v>8</v>
      </c>
      <c r="H3506">
        <v>2</v>
      </c>
      <c r="I3506">
        <v>2100</v>
      </c>
      <c r="J3506">
        <v>2</v>
      </c>
      <c r="K3506">
        <v>0</v>
      </c>
      <c r="L3506" s="4">
        <v>0.91572764917909644</v>
      </c>
      <c r="M3506" s="4">
        <v>8.4272350820903563E-2</v>
      </c>
      <c r="N3506">
        <v>8</v>
      </c>
    </row>
    <row r="3507" spans="1:14" x14ac:dyDescent="0.35">
      <c r="A3507" s="1">
        <v>4077</v>
      </c>
      <c r="B3507">
        <v>9</v>
      </c>
      <c r="C3507">
        <v>68</v>
      </c>
      <c r="D3507">
        <v>0</v>
      </c>
      <c r="E3507">
        <v>1</v>
      </c>
      <c r="F3507">
        <v>3</v>
      </c>
      <c r="G3507">
        <v>3</v>
      </c>
      <c r="H3507">
        <v>2</v>
      </c>
      <c r="I3507">
        <v>4250</v>
      </c>
      <c r="J3507">
        <v>4</v>
      </c>
      <c r="K3507">
        <v>0</v>
      </c>
      <c r="L3507" s="4">
        <v>0.9158100948933785</v>
      </c>
      <c r="M3507" s="4">
        <v>8.4189905106621485E-2</v>
      </c>
      <c r="N3507">
        <v>8</v>
      </c>
    </row>
    <row r="3508" spans="1:14" x14ac:dyDescent="0.35">
      <c r="A3508" s="1">
        <v>1287</v>
      </c>
      <c r="B3508">
        <v>6</v>
      </c>
      <c r="C3508">
        <v>56</v>
      </c>
      <c r="D3508">
        <v>3</v>
      </c>
      <c r="E3508">
        <v>1</v>
      </c>
      <c r="F3508">
        <v>0</v>
      </c>
      <c r="G3508">
        <v>2</v>
      </c>
      <c r="H3508">
        <v>2</v>
      </c>
      <c r="I3508">
        <v>2200</v>
      </c>
      <c r="J3508">
        <v>2</v>
      </c>
      <c r="K3508">
        <v>0</v>
      </c>
      <c r="L3508" s="4">
        <v>0.91604743639628805</v>
      </c>
      <c r="M3508" s="4">
        <v>8.3952563603711977E-2</v>
      </c>
      <c r="N3508">
        <v>8</v>
      </c>
    </row>
    <row r="3509" spans="1:14" x14ac:dyDescent="0.35">
      <c r="A3509" s="1">
        <v>743</v>
      </c>
      <c r="B3509">
        <v>5</v>
      </c>
      <c r="C3509">
        <v>58</v>
      </c>
      <c r="D3509">
        <v>1</v>
      </c>
      <c r="E3509">
        <v>0</v>
      </c>
      <c r="F3509">
        <v>2</v>
      </c>
      <c r="G3509">
        <v>6</v>
      </c>
      <c r="H3509">
        <v>0</v>
      </c>
      <c r="I3509">
        <v>6000</v>
      </c>
      <c r="J3509">
        <v>2</v>
      </c>
      <c r="K3509">
        <v>0</v>
      </c>
      <c r="L3509" s="4">
        <v>0.91609702701574602</v>
      </c>
      <c r="M3509" s="4">
        <v>8.3902972984254018E-2</v>
      </c>
      <c r="N3509">
        <v>8</v>
      </c>
    </row>
    <row r="3510" spans="1:14" x14ac:dyDescent="0.35">
      <c r="A3510" s="1">
        <v>1387</v>
      </c>
      <c r="B3510">
        <v>5</v>
      </c>
      <c r="C3510">
        <v>58</v>
      </c>
      <c r="D3510">
        <v>2</v>
      </c>
      <c r="E3510">
        <v>0</v>
      </c>
      <c r="F3510">
        <v>2</v>
      </c>
      <c r="G3510">
        <v>6</v>
      </c>
      <c r="H3510">
        <v>0</v>
      </c>
      <c r="I3510">
        <v>6000</v>
      </c>
      <c r="J3510">
        <v>22</v>
      </c>
      <c r="K3510">
        <v>0</v>
      </c>
      <c r="L3510" s="4">
        <v>0.91614323062946612</v>
      </c>
      <c r="M3510" s="4">
        <v>8.3856769370533851E-2</v>
      </c>
      <c r="N3510">
        <v>8</v>
      </c>
    </row>
    <row r="3511" spans="1:14" x14ac:dyDescent="0.35">
      <c r="A3511" s="1">
        <v>1868</v>
      </c>
      <c r="B3511">
        <v>4</v>
      </c>
      <c r="C3511">
        <v>52</v>
      </c>
      <c r="D3511">
        <v>5</v>
      </c>
      <c r="E3511">
        <v>0</v>
      </c>
      <c r="F3511">
        <v>0</v>
      </c>
      <c r="G3511">
        <v>2</v>
      </c>
      <c r="H3511">
        <v>2</v>
      </c>
      <c r="I3511">
        <v>3000</v>
      </c>
      <c r="J3511">
        <v>3</v>
      </c>
      <c r="K3511">
        <v>0</v>
      </c>
      <c r="L3511" s="4">
        <v>0.91614686666046163</v>
      </c>
      <c r="M3511" s="4">
        <v>8.385313333953838E-2</v>
      </c>
      <c r="N3511">
        <v>8</v>
      </c>
    </row>
    <row r="3512" spans="1:14" x14ac:dyDescent="0.35">
      <c r="A3512" s="1">
        <v>3534</v>
      </c>
      <c r="B3512">
        <v>10</v>
      </c>
      <c r="C3512">
        <v>79</v>
      </c>
      <c r="D3512">
        <v>2</v>
      </c>
      <c r="E3512">
        <v>0</v>
      </c>
      <c r="F3512">
        <v>0</v>
      </c>
      <c r="G3512">
        <v>4</v>
      </c>
      <c r="H3512">
        <v>0</v>
      </c>
      <c r="I3512">
        <v>6053.34</v>
      </c>
      <c r="J3512">
        <v>4</v>
      </c>
      <c r="K3512">
        <v>1</v>
      </c>
      <c r="L3512" s="4">
        <v>0.91616487199749552</v>
      </c>
      <c r="M3512" s="4">
        <v>8.383512800250445E-2</v>
      </c>
      <c r="N3512">
        <v>8</v>
      </c>
    </row>
    <row r="3513" spans="1:14" x14ac:dyDescent="0.35">
      <c r="A3513" s="1">
        <v>2079</v>
      </c>
      <c r="B3513">
        <v>6</v>
      </c>
      <c r="C3513">
        <v>50</v>
      </c>
      <c r="D3513">
        <v>2</v>
      </c>
      <c r="E3513">
        <v>2</v>
      </c>
      <c r="F3513">
        <v>1</v>
      </c>
      <c r="G3513">
        <v>7</v>
      </c>
      <c r="H3513">
        <v>3</v>
      </c>
      <c r="I3513">
        <v>0.01</v>
      </c>
      <c r="J3513">
        <v>8</v>
      </c>
      <c r="K3513">
        <v>0</v>
      </c>
      <c r="L3513" s="4">
        <v>0.91634295195696702</v>
      </c>
      <c r="M3513" s="4">
        <v>8.365704804303295E-2</v>
      </c>
      <c r="N3513">
        <v>8</v>
      </c>
    </row>
    <row r="3514" spans="1:14" x14ac:dyDescent="0.35">
      <c r="A3514" s="1">
        <v>757</v>
      </c>
      <c r="B3514">
        <v>8</v>
      </c>
      <c r="C3514">
        <v>67</v>
      </c>
      <c r="D3514">
        <v>3</v>
      </c>
      <c r="E3514">
        <v>0</v>
      </c>
      <c r="F3514">
        <v>1</v>
      </c>
      <c r="G3514">
        <v>12</v>
      </c>
      <c r="H3514">
        <v>3</v>
      </c>
      <c r="I3514">
        <v>0.01</v>
      </c>
      <c r="J3514">
        <v>5</v>
      </c>
      <c r="K3514">
        <v>0</v>
      </c>
      <c r="L3514" s="4">
        <v>0.91650941970993438</v>
      </c>
      <c r="M3514" s="4">
        <v>8.3490580290065633E-2</v>
      </c>
      <c r="N3514">
        <v>8</v>
      </c>
    </row>
    <row r="3515" spans="1:14" x14ac:dyDescent="0.35">
      <c r="A3515" s="1">
        <v>2789</v>
      </c>
      <c r="B3515">
        <v>6</v>
      </c>
      <c r="C3515">
        <v>62</v>
      </c>
      <c r="D3515">
        <v>0</v>
      </c>
      <c r="E3515">
        <v>0</v>
      </c>
      <c r="F3515">
        <v>1</v>
      </c>
      <c r="G3515">
        <v>7</v>
      </c>
      <c r="H3515">
        <v>2</v>
      </c>
      <c r="I3515">
        <v>3000</v>
      </c>
      <c r="J3515">
        <v>29</v>
      </c>
      <c r="K3515">
        <v>0</v>
      </c>
      <c r="L3515" s="4">
        <v>0.91654943646898113</v>
      </c>
      <c r="M3515" s="4">
        <v>8.3450563531018845E-2</v>
      </c>
      <c r="N3515">
        <v>8</v>
      </c>
    </row>
    <row r="3516" spans="1:14" x14ac:dyDescent="0.35">
      <c r="A3516" s="1">
        <v>2528</v>
      </c>
      <c r="B3516">
        <v>10</v>
      </c>
      <c r="C3516">
        <v>76</v>
      </c>
      <c r="D3516">
        <v>4</v>
      </c>
      <c r="E3516">
        <v>0</v>
      </c>
      <c r="F3516">
        <v>0</v>
      </c>
      <c r="G3516">
        <v>11</v>
      </c>
      <c r="H3516">
        <v>2</v>
      </c>
      <c r="I3516">
        <v>1200</v>
      </c>
      <c r="J3516">
        <v>4</v>
      </c>
      <c r="K3516">
        <v>1</v>
      </c>
      <c r="L3516" s="4">
        <v>0.91665153379640929</v>
      </c>
      <c r="M3516" s="4">
        <v>8.334846620359071E-2</v>
      </c>
      <c r="N3516">
        <v>8</v>
      </c>
    </row>
    <row r="3517" spans="1:14" x14ac:dyDescent="0.35">
      <c r="A3517" s="1">
        <v>3607</v>
      </c>
      <c r="B3517">
        <v>8</v>
      </c>
      <c r="C3517">
        <v>69</v>
      </c>
      <c r="D3517">
        <v>5</v>
      </c>
      <c r="E3517">
        <v>0</v>
      </c>
      <c r="F3517">
        <v>2</v>
      </c>
      <c r="G3517">
        <v>1</v>
      </c>
      <c r="H3517">
        <v>0</v>
      </c>
      <c r="I3517">
        <v>6000</v>
      </c>
      <c r="J3517">
        <v>2</v>
      </c>
      <c r="K3517">
        <v>1</v>
      </c>
      <c r="L3517" s="4">
        <v>0.91674987462429713</v>
      </c>
      <c r="M3517" s="4">
        <v>8.325012537570288E-2</v>
      </c>
      <c r="N3517">
        <v>8</v>
      </c>
    </row>
    <row r="3518" spans="1:14" x14ac:dyDescent="0.35">
      <c r="A3518" s="1">
        <v>4023</v>
      </c>
      <c r="B3518">
        <v>4</v>
      </c>
      <c r="C3518">
        <v>53</v>
      </c>
      <c r="D3518">
        <v>1</v>
      </c>
      <c r="E3518">
        <v>0</v>
      </c>
      <c r="F3518">
        <v>1</v>
      </c>
      <c r="G3518">
        <v>7</v>
      </c>
      <c r="H3518">
        <v>2</v>
      </c>
      <c r="I3518">
        <v>5000</v>
      </c>
      <c r="J3518">
        <v>1</v>
      </c>
      <c r="K3518">
        <v>0</v>
      </c>
      <c r="L3518" s="4">
        <v>0.9169258599541571</v>
      </c>
      <c r="M3518" s="4">
        <v>8.3074140045842931E-2</v>
      </c>
      <c r="N3518">
        <v>8</v>
      </c>
    </row>
    <row r="3519" spans="1:14" x14ac:dyDescent="0.35">
      <c r="A3519" s="1">
        <v>4444</v>
      </c>
      <c r="B3519">
        <v>5</v>
      </c>
      <c r="C3519">
        <v>54</v>
      </c>
      <c r="D3519">
        <v>5</v>
      </c>
      <c r="E3519">
        <v>0</v>
      </c>
      <c r="F3519">
        <v>3</v>
      </c>
      <c r="G3519">
        <v>3</v>
      </c>
      <c r="H3519">
        <v>3</v>
      </c>
      <c r="I3519">
        <v>0.01</v>
      </c>
      <c r="J3519">
        <v>6</v>
      </c>
      <c r="K3519">
        <v>0</v>
      </c>
      <c r="L3519" s="4">
        <v>0.91709337775929778</v>
      </c>
      <c r="M3519" s="4">
        <v>8.2906622240702221E-2</v>
      </c>
      <c r="N3519">
        <v>8</v>
      </c>
    </row>
    <row r="3520" spans="1:14" x14ac:dyDescent="0.35">
      <c r="A3520" s="1">
        <v>46</v>
      </c>
      <c r="B3520">
        <v>6</v>
      </c>
      <c r="C3520">
        <v>63</v>
      </c>
      <c r="D3520">
        <v>2</v>
      </c>
      <c r="E3520">
        <v>0</v>
      </c>
      <c r="F3520">
        <v>0</v>
      </c>
      <c r="G3520">
        <v>4</v>
      </c>
      <c r="H3520">
        <v>0</v>
      </c>
      <c r="I3520">
        <v>5425.13</v>
      </c>
      <c r="J3520">
        <v>4</v>
      </c>
      <c r="K3520">
        <v>0</v>
      </c>
      <c r="L3520" s="4">
        <v>0.91716550689890619</v>
      </c>
      <c r="M3520" s="4">
        <v>8.2834493101093781E-2</v>
      </c>
      <c r="N3520">
        <v>8</v>
      </c>
    </row>
    <row r="3521" spans="1:14" x14ac:dyDescent="0.35">
      <c r="A3521" s="1">
        <v>2310</v>
      </c>
      <c r="B3521">
        <v>5</v>
      </c>
      <c r="C3521">
        <v>57</v>
      </c>
      <c r="D3521">
        <v>4</v>
      </c>
      <c r="E3521">
        <v>0</v>
      </c>
      <c r="F3521">
        <v>1</v>
      </c>
      <c r="G3521">
        <v>7</v>
      </c>
      <c r="H3521">
        <v>1</v>
      </c>
      <c r="I3521">
        <v>20119.73</v>
      </c>
      <c r="J3521">
        <v>3</v>
      </c>
      <c r="K3521">
        <v>1</v>
      </c>
      <c r="L3521" s="4">
        <v>0.91730157964399628</v>
      </c>
      <c r="M3521" s="4">
        <v>8.269842035600368E-2</v>
      </c>
      <c r="N3521">
        <v>8</v>
      </c>
    </row>
    <row r="3522" spans="1:14" x14ac:dyDescent="0.35">
      <c r="A3522" s="1">
        <v>2326</v>
      </c>
      <c r="B3522">
        <v>5</v>
      </c>
      <c r="C3522">
        <v>56</v>
      </c>
      <c r="D3522">
        <v>2</v>
      </c>
      <c r="E3522">
        <v>0</v>
      </c>
      <c r="F3522">
        <v>1</v>
      </c>
      <c r="G3522">
        <v>7</v>
      </c>
      <c r="H3522">
        <v>3</v>
      </c>
      <c r="I3522">
        <v>0.01</v>
      </c>
      <c r="J3522">
        <v>8</v>
      </c>
      <c r="K3522">
        <v>0</v>
      </c>
      <c r="L3522" s="4">
        <v>0.91739534147276902</v>
      </c>
      <c r="M3522" s="4">
        <v>8.2604658527230979E-2</v>
      </c>
      <c r="N3522">
        <v>8</v>
      </c>
    </row>
    <row r="3523" spans="1:14" x14ac:dyDescent="0.35">
      <c r="A3523" s="1">
        <v>1401</v>
      </c>
      <c r="B3523">
        <v>8</v>
      </c>
      <c r="C3523">
        <v>69</v>
      </c>
      <c r="D3523">
        <v>2</v>
      </c>
      <c r="E3523">
        <v>0</v>
      </c>
      <c r="F3523">
        <v>2</v>
      </c>
      <c r="G3523">
        <v>1</v>
      </c>
      <c r="H3523">
        <v>2</v>
      </c>
      <c r="I3523">
        <v>1952.2</v>
      </c>
      <c r="J3523">
        <v>6</v>
      </c>
      <c r="K3523">
        <v>0</v>
      </c>
      <c r="L3523" s="4">
        <v>0.91754750892013714</v>
      </c>
      <c r="M3523" s="4">
        <v>8.2452491079862827E-2</v>
      </c>
      <c r="N3523">
        <v>8</v>
      </c>
    </row>
    <row r="3524" spans="1:14" x14ac:dyDescent="0.35">
      <c r="A3524" s="1">
        <v>1965</v>
      </c>
      <c r="B3524">
        <v>10</v>
      </c>
      <c r="C3524">
        <v>79</v>
      </c>
      <c r="D3524">
        <v>3</v>
      </c>
      <c r="E3524">
        <v>0</v>
      </c>
      <c r="F3524">
        <v>0</v>
      </c>
      <c r="G3524">
        <v>2</v>
      </c>
      <c r="H3524">
        <v>0</v>
      </c>
      <c r="I3524">
        <v>6000</v>
      </c>
      <c r="J3524">
        <v>1</v>
      </c>
      <c r="K3524">
        <v>0</v>
      </c>
      <c r="L3524" s="4">
        <v>0.91763271750962194</v>
      </c>
      <c r="M3524" s="4">
        <v>8.2367282490378016E-2</v>
      </c>
      <c r="N3524">
        <v>8</v>
      </c>
    </row>
    <row r="3525" spans="1:14" x14ac:dyDescent="0.35">
      <c r="A3525" s="1">
        <v>97</v>
      </c>
      <c r="B3525">
        <v>5</v>
      </c>
      <c r="C3525">
        <v>57</v>
      </c>
      <c r="D3525">
        <v>0</v>
      </c>
      <c r="E3525">
        <v>0</v>
      </c>
      <c r="F3525">
        <v>3</v>
      </c>
      <c r="G3525">
        <v>3</v>
      </c>
      <c r="H3525">
        <v>2</v>
      </c>
      <c r="I3525">
        <v>1000</v>
      </c>
      <c r="J3525">
        <v>3</v>
      </c>
      <c r="K3525">
        <v>0</v>
      </c>
      <c r="L3525" s="4">
        <v>0.91764227601850901</v>
      </c>
      <c r="M3525" s="4">
        <v>8.2357723981491049E-2</v>
      </c>
      <c r="N3525">
        <v>8</v>
      </c>
    </row>
    <row r="3526" spans="1:14" x14ac:dyDescent="0.35">
      <c r="A3526" s="1">
        <v>4195</v>
      </c>
      <c r="B3526">
        <v>4</v>
      </c>
      <c r="C3526">
        <v>53</v>
      </c>
      <c r="D3526">
        <v>2</v>
      </c>
      <c r="E3526">
        <v>0</v>
      </c>
      <c r="F3526">
        <v>1</v>
      </c>
      <c r="G3526">
        <v>5</v>
      </c>
      <c r="H3526">
        <v>2</v>
      </c>
      <c r="I3526">
        <v>3050</v>
      </c>
      <c r="J3526">
        <v>8</v>
      </c>
      <c r="K3526">
        <v>0</v>
      </c>
      <c r="L3526" s="4">
        <v>0.91764437921576136</v>
      </c>
      <c r="M3526" s="4">
        <v>8.2355620784238665E-2</v>
      </c>
      <c r="N3526">
        <v>8</v>
      </c>
    </row>
    <row r="3527" spans="1:14" x14ac:dyDescent="0.35">
      <c r="A3527" s="1">
        <v>3796</v>
      </c>
      <c r="B3527">
        <v>8</v>
      </c>
      <c r="C3527">
        <v>68</v>
      </c>
      <c r="D3527">
        <v>2</v>
      </c>
      <c r="E3527">
        <v>0</v>
      </c>
      <c r="F3527">
        <v>3</v>
      </c>
      <c r="G3527">
        <v>8</v>
      </c>
      <c r="H3527">
        <v>2</v>
      </c>
      <c r="I3527">
        <v>3000.01</v>
      </c>
      <c r="J3527">
        <v>8</v>
      </c>
      <c r="K3527">
        <v>0</v>
      </c>
      <c r="L3527" s="4">
        <v>0.91773032263757415</v>
      </c>
      <c r="M3527" s="4">
        <v>8.2269677362425839E-2</v>
      </c>
      <c r="N3527">
        <v>8</v>
      </c>
    </row>
    <row r="3528" spans="1:14" x14ac:dyDescent="0.35">
      <c r="A3528" s="1">
        <v>1442</v>
      </c>
      <c r="B3528">
        <v>7</v>
      </c>
      <c r="C3528">
        <v>67</v>
      </c>
      <c r="D3528">
        <v>1</v>
      </c>
      <c r="E3528">
        <v>0</v>
      </c>
      <c r="F3528">
        <v>1</v>
      </c>
      <c r="G3528">
        <v>7</v>
      </c>
      <c r="H3528">
        <v>0</v>
      </c>
      <c r="I3528">
        <v>6000</v>
      </c>
      <c r="J3528">
        <v>8</v>
      </c>
      <c r="K3528">
        <v>0</v>
      </c>
      <c r="L3528" s="4">
        <v>0.91788457329444728</v>
      </c>
      <c r="M3528" s="4">
        <v>8.2115426705552677E-2</v>
      </c>
      <c r="N3528">
        <v>8</v>
      </c>
    </row>
    <row r="3529" spans="1:14" x14ac:dyDescent="0.35">
      <c r="A3529" s="1">
        <v>4165</v>
      </c>
      <c r="B3529">
        <v>8</v>
      </c>
      <c r="C3529">
        <v>64</v>
      </c>
      <c r="D3529">
        <v>1</v>
      </c>
      <c r="E3529">
        <v>1</v>
      </c>
      <c r="F3529">
        <v>3</v>
      </c>
      <c r="G3529">
        <v>3</v>
      </c>
      <c r="H3529">
        <v>2</v>
      </c>
      <c r="I3529">
        <v>3000</v>
      </c>
      <c r="J3529">
        <v>7</v>
      </c>
      <c r="K3529">
        <v>0</v>
      </c>
      <c r="L3529" s="4">
        <v>0.91790502236525051</v>
      </c>
      <c r="M3529" s="4">
        <v>8.209497763474953E-2</v>
      </c>
      <c r="N3529">
        <v>8</v>
      </c>
    </row>
    <row r="3530" spans="1:14" x14ac:dyDescent="0.35">
      <c r="A3530" s="1">
        <v>901</v>
      </c>
      <c r="B3530">
        <v>4</v>
      </c>
      <c r="C3530">
        <v>49</v>
      </c>
      <c r="D3530">
        <v>2</v>
      </c>
      <c r="E3530">
        <v>1</v>
      </c>
      <c r="F3530">
        <v>3</v>
      </c>
      <c r="G3530">
        <v>3</v>
      </c>
      <c r="H3530">
        <v>0</v>
      </c>
      <c r="I3530">
        <v>10000</v>
      </c>
      <c r="J3530">
        <v>6</v>
      </c>
      <c r="K3530">
        <v>0</v>
      </c>
      <c r="L3530" s="4">
        <v>0.9179462067267723</v>
      </c>
      <c r="M3530" s="4">
        <v>8.205379327322769E-2</v>
      </c>
      <c r="N3530">
        <v>8</v>
      </c>
    </row>
    <row r="3531" spans="1:14" x14ac:dyDescent="0.35">
      <c r="A3531" s="1">
        <v>2549</v>
      </c>
      <c r="B3531">
        <v>7</v>
      </c>
      <c r="C3531">
        <v>65</v>
      </c>
      <c r="D3531">
        <v>4</v>
      </c>
      <c r="E3531">
        <v>0</v>
      </c>
      <c r="F3531">
        <v>3</v>
      </c>
      <c r="G3531">
        <v>3</v>
      </c>
      <c r="H3531">
        <v>0</v>
      </c>
      <c r="I3531">
        <v>6000</v>
      </c>
      <c r="J3531">
        <v>2</v>
      </c>
      <c r="K3531">
        <v>0</v>
      </c>
      <c r="L3531" s="4">
        <v>0.91797212641077452</v>
      </c>
      <c r="M3531" s="4">
        <v>8.2027873589225489E-2</v>
      </c>
      <c r="N3531">
        <v>8</v>
      </c>
    </row>
    <row r="3532" spans="1:14" x14ac:dyDescent="0.35">
      <c r="A3532" s="1">
        <v>574</v>
      </c>
      <c r="B3532">
        <v>8</v>
      </c>
      <c r="C3532">
        <v>71</v>
      </c>
      <c r="D3532">
        <v>2</v>
      </c>
      <c r="E3532">
        <v>0</v>
      </c>
      <c r="F3532">
        <v>0</v>
      </c>
      <c r="G3532">
        <v>4</v>
      </c>
      <c r="H3532">
        <v>1</v>
      </c>
      <c r="I3532">
        <v>23121.23</v>
      </c>
      <c r="J3532">
        <v>3</v>
      </c>
      <c r="K3532">
        <v>1</v>
      </c>
      <c r="L3532" s="4">
        <v>0.9179778271060034</v>
      </c>
      <c r="M3532" s="4">
        <v>8.2022172893996589E-2</v>
      </c>
      <c r="N3532">
        <v>8</v>
      </c>
    </row>
    <row r="3533" spans="1:14" x14ac:dyDescent="0.35">
      <c r="A3533" s="1">
        <v>2859</v>
      </c>
      <c r="B3533">
        <v>2</v>
      </c>
      <c r="C3533">
        <v>43</v>
      </c>
      <c r="D3533">
        <v>3</v>
      </c>
      <c r="E3533">
        <v>0</v>
      </c>
      <c r="F3533">
        <v>1</v>
      </c>
      <c r="G3533">
        <v>12</v>
      </c>
      <c r="H3533">
        <v>3</v>
      </c>
      <c r="I3533">
        <v>0.01</v>
      </c>
      <c r="J3533">
        <v>4</v>
      </c>
      <c r="K3533">
        <v>0</v>
      </c>
      <c r="L3533" s="4">
        <v>0.91798312758346179</v>
      </c>
      <c r="M3533" s="4">
        <v>8.2016872416538253E-2</v>
      </c>
      <c r="N3533">
        <v>8</v>
      </c>
    </row>
    <row r="3534" spans="1:14" x14ac:dyDescent="0.35">
      <c r="A3534" s="1">
        <v>916</v>
      </c>
      <c r="B3534">
        <v>9</v>
      </c>
      <c r="C3534">
        <v>63</v>
      </c>
      <c r="D3534">
        <v>2</v>
      </c>
      <c r="E3534">
        <v>2</v>
      </c>
      <c r="F3534">
        <v>3</v>
      </c>
      <c r="G3534">
        <v>3</v>
      </c>
      <c r="H3534">
        <v>2</v>
      </c>
      <c r="I3534">
        <v>1705.44</v>
      </c>
      <c r="J3534">
        <v>21</v>
      </c>
      <c r="K3534">
        <v>0</v>
      </c>
      <c r="L3534" s="4">
        <v>0.9180543209594535</v>
      </c>
      <c r="M3534" s="4">
        <v>8.1945679040546504E-2</v>
      </c>
      <c r="N3534">
        <v>8</v>
      </c>
    </row>
    <row r="3535" spans="1:14" x14ac:dyDescent="0.35">
      <c r="A3535" s="1">
        <v>291</v>
      </c>
      <c r="B3535">
        <v>4</v>
      </c>
      <c r="C3535">
        <v>51</v>
      </c>
      <c r="D3535">
        <v>3</v>
      </c>
      <c r="E3535">
        <v>0</v>
      </c>
      <c r="F3535">
        <v>3</v>
      </c>
      <c r="G3535">
        <v>3</v>
      </c>
      <c r="H3535">
        <v>3</v>
      </c>
      <c r="I3535">
        <v>0.01</v>
      </c>
      <c r="J3535">
        <v>4</v>
      </c>
      <c r="K3535">
        <v>0</v>
      </c>
      <c r="L3535" s="4">
        <v>0.91808853593330042</v>
      </c>
      <c r="M3535" s="4">
        <v>8.1911464066699524E-2</v>
      </c>
      <c r="N3535">
        <v>8</v>
      </c>
    </row>
    <row r="3536" spans="1:14" x14ac:dyDescent="0.35">
      <c r="A3536" s="1">
        <v>1145</v>
      </c>
      <c r="B3536">
        <v>4</v>
      </c>
      <c r="C3536">
        <v>51</v>
      </c>
      <c r="D3536">
        <v>5</v>
      </c>
      <c r="E3536">
        <v>0</v>
      </c>
      <c r="F3536">
        <v>1</v>
      </c>
      <c r="G3536">
        <v>12</v>
      </c>
      <c r="H3536">
        <v>2</v>
      </c>
      <c r="I3536">
        <v>2000</v>
      </c>
      <c r="J3536">
        <v>1</v>
      </c>
      <c r="K3536">
        <v>0</v>
      </c>
      <c r="L3536" s="4">
        <v>0.91822244324549362</v>
      </c>
      <c r="M3536" s="4">
        <v>8.1777556754506361E-2</v>
      </c>
      <c r="N3536">
        <v>8</v>
      </c>
    </row>
    <row r="3537" spans="1:14" x14ac:dyDescent="0.35">
      <c r="A3537" s="1">
        <v>4197</v>
      </c>
      <c r="B3537">
        <v>6</v>
      </c>
      <c r="C3537">
        <v>61</v>
      </c>
      <c r="D3537">
        <v>0</v>
      </c>
      <c r="E3537">
        <v>0</v>
      </c>
      <c r="F3537">
        <v>3</v>
      </c>
      <c r="G3537">
        <v>3</v>
      </c>
      <c r="H3537">
        <v>3</v>
      </c>
      <c r="I3537">
        <v>0.01</v>
      </c>
      <c r="J3537">
        <v>29</v>
      </c>
      <c r="K3537">
        <v>0</v>
      </c>
      <c r="L3537" s="4">
        <v>0.91833409556294843</v>
      </c>
      <c r="M3537" s="4">
        <v>8.1665904437051573E-2</v>
      </c>
      <c r="N3537">
        <v>8</v>
      </c>
    </row>
    <row r="3538" spans="1:14" x14ac:dyDescent="0.35">
      <c r="A3538" s="1">
        <v>3120</v>
      </c>
      <c r="B3538">
        <v>5</v>
      </c>
      <c r="C3538">
        <v>60</v>
      </c>
      <c r="D3538">
        <v>1</v>
      </c>
      <c r="E3538">
        <v>0</v>
      </c>
      <c r="F3538">
        <v>0</v>
      </c>
      <c r="G3538">
        <v>2</v>
      </c>
      <c r="H3538">
        <v>0</v>
      </c>
      <c r="I3538">
        <v>12000</v>
      </c>
      <c r="J3538">
        <v>3</v>
      </c>
      <c r="K3538">
        <v>1</v>
      </c>
      <c r="L3538" s="4">
        <v>0.91841835373305214</v>
      </c>
      <c r="M3538" s="4">
        <v>8.1581646266947846E-2</v>
      </c>
      <c r="N3538">
        <v>8</v>
      </c>
    </row>
    <row r="3539" spans="1:14" x14ac:dyDescent="0.35">
      <c r="A3539" s="1">
        <v>1504</v>
      </c>
      <c r="B3539">
        <v>9</v>
      </c>
      <c r="C3539">
        <v>70</v>
      </c>
      <c r="D3539">
        <v>5</v>
      </c>
      <c r="E3539">
        <v>0</v>
      </c>
      <c r="F3539">
        <v>3</v>
      </c>
      <c r="G3539">
        <v>8</v>
      </c>
      <c r="H3539">
        <v>3</v>
      </c>
      <c r="I3539">
        <v>0.01</v>
      </c>
      <c r="J3539">
        <v>4</v>
      </c>
      <c r="K3539">
        <v>0</v>
      </c>
      <c r="L3539" s="4">
        <v>0.91844652847147368</v>
      </c>
      <c r="M3539" s="4">
        <v>8.155347152852635E-2</v>
      </c>
      <c r="N3539">
        <v>8</v>
      </c>
    </row>
    <row r="3540" spans="1:14" x14ac:dyDescent="0.35">
      <c r="A3540" s="1">
        <v>1593</v>
      </c>
      <c r="B3540">
        <v>9</v>
      </c>
      <c r="C3540">
        <v>62</v>
      </c>
      <c r="D3540">
        <v>3</v>
      </c>
      <c r="E3540">
        <v>2</v>
      </c>
      <c r="F3540">
        <v>3</v>
      </c>
      <c r="G3540">
        <v>8</v>
      </c>
      <c r="H3540">
        <v>2</v>
      </c>
      <c r="I3540">
        <v>3000</v>
      </c>
      <c r="J3540">
        <v>10</v>
      </c>
      <c r="K3540">
        <v>1</v>
      </c>
      <c r="L3540" s="4">
        <v>0.91847657045149977</v>
      </c>
      <c r="M3540" s="4">
        <v>8.152342954850024E-2</v>
      </c>
      <c r="N3540">
        <v>8</v>
      </c>
    </row>
    <row r="3541" spans="1:14" x14ac:dyDescent="0.35">
      <c r="A3541" s="1">
        <v>3895</v>
      </c>
      <c r="B3541">
        <v>6</v>
      </c>
      <c r="C3541">
        <v>55</v>
      </c>
      <c r="D3541">
        <v>5</v>
      </c>
      <c r="E3541">
        <v>1</v>
      </c>
      <c r="F3541">
        <v>0</v>
      </c>
      <c r="G3541">
        <v>2</v>
      </c>
      <c r="H3541">
        <v>3</v>
      </c>
      <c r="I3541">
        <v>0.01</v>
      </c>
      <c r="J3541">
        <v>8</v>
      </c>
      <c r="K3541">
        <v>0</v>
      </c>
      <c r="L3541" s="4">
        <v>0.91849658696224823</v>
      </c>
      <c r="M3541" s="4">
        <v>8.1503413037751743E-2</v>
      </c>
      <c r="N3541">
        <v>8</v>
      </c>
    </row>
    <row r="3542" spans="1:14" x14ac:dyDescent="0.35">
      <c r="A3542" s="1">
        <v>1325</v>
      </c>
      <c r="B3542">
        <v>8</v>
      </c>
      <c r="C3542">
        <v>71</v>
      </c>
      <c r="D3542">
        <v>1</v>
      </c>
      <c r="E3542">
        <v>0</v>
      </c>
      <c r="F3542">
        <v>3</v>
      </c>
      <c r="G3542">
        <v>3</v>
      </c>
      <c r="H3542">
        <v>0</v>
      </c>
      <c r="I3542">
        <v>6000</v>
      </c>
      <c r="J3542">
        <v>26</v>
      </c>
      <c r="K3542">
        <v>0</v>
      </c>
      <c r="L3542" s="4">
        <v>0.91854083544234488</v>
      </c>
      <c r="M3542" s="4">
        <v>8.1459164557655159E-2</v>
      </c>
      <c r="N3542">
        <v>8</v>
      </c>
    </row>
    <row r="3543" spans="1:14" x14ac:dyDescent="0.35">
      <c r="A3543" s="1">
        <v>439</v>
      </c>
      <c r="B3543">
        <v>7</v>
      </c>
      <c r="C3543">
        <v>64</v>
      </c>
      <c r="D3543">
        <v>4</v>
      </c>
      <c r="E3543">
        <v>0</v>
      </c>
      <c r="F3543">
        <v>3</v>
      </c>
      <c r="G3543">
        <v>3</v>
      </c>
      <c r="H3543">
        <v>2</v>
      </c>
      <c r="I3543">
        <v>750</v>
      </c>
      <c r="J3543">
        <v>24</v>
      </c>
      <c r="K3543">
        <v>0</v>
      </c>
      <c r="L3543" s="4">
        <v>0.91857526446481752</v>
      </c>
      <c r="M3543" s="4">
        <v>8.1424735535182438E-2</v>
      </c>
      <c r="N3543">
        <v>8</v>
      </c>
    </row>
    <row r="3544" spans="1:14" x14ac:dyDescent="0.35">
      <c r="A3544" s="1">
        <v>2824</v>
      </c>
      <c r="B3544">
        <v>9</v>
      </c>
      <c r="C3544">
        <v>67</v>
      </c>
      <c r="D3544">
        <v>2</v>
      </c>
      <c r="E3544">
        <v>1</v>
      </c>
      <c r="F3544">
        <v>3</v>
      </c>
      <c r="G3544">
        <v>3</v>
      </c>
      <c r="H3544">
        <v>3</v>
      </c>
      <c r="I3544">
        <v>0.01</v>
      </c>
      <c r="J3544">
        <v>8</v>
      </c>
      <c r="K3544">
        <v>0</v>
      </c>
      <c r="L3544" s="4">
        <v>0.91870527448123873</v>
      </c>
      <c r="M3544" s="4">
        <v>8.1294725518761241E-2</v>
      </c>
      <c r="N3544">
        <v>8</v>
      </c>
    </row>
    <row r="3545" spans="1:14" x14ac:dyDescent="0.35">
      <c r="A3545" s="1">
        <v>1737</v>
      </c>
      <c r="B3545">
        <v>7</v>
      </c>
      <c r="C3545">
        <v>59</v>
      </c>
      <c r="D3545">
        <v>5</v>
      </c>
      <c r="E3545">
        <v>1</v>
      </c>
      <c r="F3545">
        <v>0</v>
      </c>
      <c r="G3545">
        <v>11</v>
      </c>
      <c r="H3545">
        <v>2</v>
      </c>
      <c r="I3545">
        <v>1000</v>
      </c>
      <c r="J3545">
        <v>6</v>
      </c>
      <c r="K3545">
        <v>0</v>
      </c>
      <c r="L3545" s="4">
        <v>0.91874559087279972</v>
      </c>
      <c r="M3545" s="4">
        <v>8.125440912720025E-2</v>
      </c>
      <c r="N3545">
        <v>8</v>
      </c>
    </row>
    <row r="3546" spans="1:14" x14ac:dyDescent="0.35">
      <c r="A3546" s="1">
        <v>4415</v>
      </c>
      <c r="B3546">
        <v>4</v>
      </c>
      <c r="C3546">
        <v>51</v>
      </c>
      <c r="D3546">
        <v>5</v>
      </c>
      <c r="E3546">
        <v>0</v>
      </c>
      <c r="F3546">
        <v>0</v>
      </c>
      <c r="G3546">
        <v>11</v>
      </c>
      <c r="H3546">
        <v>3</v>
      </c>
      <c r="I3546">
        <v>0.01</v>
      </c>
      <c r="J3546">
        <v>5</v>
      </c>
      <c r="K3546">
        <v>0</v>
      </c>
      <c r="L3546" s="4">
        <v>0.91883453953127281</v>
      </c>
      <c r="M3546" s="4">
        <v>8.1165460468727177E-2</v>
      </c>
      <c r="N3546">
        <v>8</v>
      </c>
    </row>
    <row r="3547" spans="1:14" x14ac:dyDescent="0.35">
      <c r="A3547" s="1">
        <v>1923</v>
      </c>
      <c r="B3547">
        <v>7</v>
      </c>
      <c r="C3547">
        <v>54</v>
      </c>
      <c r="D3547">
        <v>2</v>
      </c>
      <c r="E3547">
        <v>2</v>
      </c>
      <c r="F3547">
        <v>3</v>
      </c>
      <c r="G3547">
        <v>3</v>
      </c>
      <c r="H3547">
        <v>3</v>
      </c>
      <c r="I3547">
        <v>0.01</v>
      </c>
      <c r="J3547">
        <v>7</v>
      </c>
      <c r="K3547">
        <v>0</v>
      </c>
      <c r="L3547" s="4">
        <v>0.91884972699438683</v>
      </c>
      <c r="M3547" s="4">
        <v>8.115027300561313E-2</v>
      </c>
      <c r="N3547">
        <v>8</v>
      </c>
    </row>
    <row r="3548" spans="1:14" x14ac:dyDescent="0.35">
      <c r="A3548" s="1">
        <v>3991</v>
      </c>
      <c r="B3548">
        <v>8</v>
      </c>
      <c r="C3548">
        <v>62</v>
      </c>
      <c r="D3548">
        <v>5</v>
      </c>
      <c r="E3548">
        <v>1</v>
      </c>
      <c r="F3548">
        <v>3</v>
      </c>
      <c r="G3548">
        <v>8</v>
      </c>
      <c r="H3548">
        <v>2</v>
      </c>
      <c r="I3548">
        <v>4000</v>
      </c>
      <c r="J3548">
        <v>5</v>
      </c>
      <c r="K3548">
        <v>0</v>
      </c>
      <c r="L3548" s="4">
        <v>0.91889937193161864</v>
      </c>
      <c r="M3548" s="4">
        <v>8.1100628068381378E-2</v>
      </c>
      <c r="N3548">
        <v>8</v>
      </c>
    </row>
    <row r="3549" spans="1:14" x14ac:dyDescent="0.35">
      <c r="A3549" s="1">
        <v>881</v>
      </c>
      <c r="B3549">
        <v>5</v>
      </c>
      <c r="C3549">
        <v>51</v>
      </c>
      <c r="D3549">
        <v>2</v>
      </c>
      <c r="E3549">
        <v>1</v>
      </c>
      <c r="F3549">
        <v>1</v>
      </c>
      <c r="G3549">
        <v>12</v>
      </c>
      <c r="H3549">
        <v>3</v>
      </c>
      <c r="I3549">
        <v>0.01</v>
      </c>
      <c r="J3549">
        <v>9</v>
      </c>
      <c r="K3549">
        <v>0</v>
      </c>
      <c r="L3549" s="4">
        <v>0.91895568517804649</v>
      </c>
      <c r="M3549" s="4">
        <v>8.104431482195347E-2</v>
      </c>
      <c r="N3549">
        <v>8</v>
      </c>
    </row>
    <row r="3550" spans="1:14" x14ac:dyDescent="0.35">
      <c r="A3550" s="1">
        <v>1581</v>
      </c>
      <c r="B3550">
        <v>8</v>
      </c>
      <c r="C3550">
        <v>63</v>
      </c>
      <c r="D3550">
        <v>5</v>
      </c>
      <c r="E3550">
        <v>1</v>
      </c>
      <c r="F3550">
        <v>1</v>
      </c>
      <c r="G3550">
        <v>7</v>
      </c>
      <c r="H3550">
        <v>2</v>
      </c>
      <c r="I3550">
        <v>4000</v>
      </c>
      <c r="J3550">
        <v>2</v>
      </c>
      <c r="K3550">
        <v>0</v>
      </c>
      <c r="L3550" s="4">
        <v>0.91902522105533302</v>
      </c>
      <c r="M3550" s="4">
        <v>8.0974778944667022E-2</v>
      </c>
      <c r="N3550">
        <v>8</v>
      </c>
    </row>
    <row r="3551" spans="1:14" x14ac:dyDescent="0.35">
      <c r="A3551" s="1">
        <v>1161</v>
      </c>
      <c r="B3551">
        <v>4</v>
      </c>
      <c r="C3551">
        <v>53</v>
      </c>
      <c r="D3551">
        <v>2</v>
      </c>
      <c r="E3551">
        <v>0</v>
      </c>
      <c r="F3551">
        <v>3</v>
      </c>
      <c r="G3551">
        <v>3</v>
      </c>
      <c r="H3551">
        <v>2</v>
      </c>
      <c r="I3551">
        <v>3000</v>
      </c>
      <c r="J3551">
        <v>29</v>
      </c>
      <c r="K3551">
        <v>0</v>
      </c>
      <c r="L3551" s="4">
        <v>0.91906630414898927</v>
      </c>
      <c r="M3551" s="4">
        <v>8.093369585101079E-2</v>
      </c>
      <c r="N3551">
        <v>8</v>
      </c>
    </row>
    <row r="3552" spans="1:14" x14ac:dyDescent="0.35">
      <c r="A3552" s="1">
        <v>4194</v>
      </c>
      <c r="B3552">
        <v>7</v>
      </c>
      <c r="C3552">
        <v>66</v>
      </c>
      <c r="D3552">
        <v>3</v>
      </c>
      <c r="E3552">
        <v>0</v>
      </c>
      <c r="F3552">
        <v>3</v>
      </c>
      <c r="G3552">
        <v>3</v>
      </c>
      <c r="H3552">
        <v>0</v>
      </c>
      <c r="I3552">
        <v>12158.67</v>
      </c>
      <c r="J3552">
        <v>7</v>
      </c>
      <c r="K3552">
        <v>0</v>
      </c>
      <c r="L3552" s="4">
        <v>0.91928194809250696</v>
      </c>
      <c r="M3552" s="4">
        <v>8.0718051907493038E-2</v>
      </c>
      <c r="N3552">
        <v>8</v>
      </c>
    </row>
    <row r="3553" spans="1:14" x14ac:dyDescent="0.35">
      <c r="A3553" s="1">
        <v>3591</v>
      </c>
      <c r="B3553">
        <v>6</v>
      </c>
      <c r="C3553">
        <v>57</v>
      </c>
      <c r="D3553">
        <v>2</v>
      </c>
      <c r="E3553">
        <v>1</v>
      </c>
      <c r="F3553">
        <v>0</v>
      </c>
      <c r="G3553">
        <v>4</v>
      </c>
      <c r="H3553">
        <v>2</v>
      </c>
      <c r="I3553">
        <v>1000</v>
      </c>
      <c r="J3553">
        <v>5</v>
      </c>
      <c r="K3553">
        <v>0</v>
      </c>
      <c r="L3553" s="4">
        <v>0.91929040260571349</v>
      </c>
      <c r="M3553" s="4">
        <v>8.0709597394286542E-2</v>
      </c>
      <c r="N3553">
        <v>8</v>
      </c>
    </row>
    <row r="3554" spans="1:14" x14ac:dyDescent="0.35">
      <c r="A3554" s="1">
        <v>3911</v>
      </c>
      <c r="B3554">
        <v>6</v>
      </c>
      <c r="C3554">
        <v>60</v>
      </c>
      <c r="D3554">
        <v>5</v>
      </c>
      <c r="E3554">
        <v>0</v>
      </c>
      <c r="F3554">
        <v>1</v>
      </c>
      <c r="G3554">
        <v>7</v>
      </c>
      <c r="H3554">
        <v>2</v>
      </c>
      <c r="I3554">
        <v>3050</v>
      </c>
      <c r="J3554">
        <v>8</v>
      </c>
      <c r="K3554">
        <v>0</v>
      </c>
      <c r="L3554" s="4">
        <v>0.91941554771972422</v>
      </c>
      <c r="M3554" s="4">
        <v>8.0584452280275762E-2</v>
      </c>
      <c r="N3554">
        <v>8</v>
      </c>
    </row>
    <row r="3555" spans="1:14" x14ac:dyDescent="0.35">
      <c r="A3555" s="1">
        <v>2500</v>
      </c>
      <c r="B3555">
        <v>4</v>
      </c>
      <c r="C3555">
        <v>50</v>
      </c>
      <c r="D3555">
        <v>5</v>
      </c>
      <c r="E3555">
        <v>0</v>
      </c>
      <c r="F3555">
        <v>3</v>
      </c>
      <c r="G3555">
        <v>8</v>
      </c>
      <c r="H3555">
        <v>3</v>
      </c>
      <c r="I3555">
        <v>0.01</v>
      </c>
      <c r="J3555">
        <v>5</v>
      </c>
      <c r="K3555">
        <v>0</v>
      </c>
      <c r="L3555" s="4">
        <v>0.91947598201373693</v>
      </c>
      <c r="M3555" s="4">
        <v>8.0524017986263074E-2</v>
      </c>
      <c r="N3555">
        <v>8</v>
      </c>
    </row>
    <row r="3556" spans="1:14" x14ac:dyDescent="0.35">
      <c r="A3556" s="1">
        <v>77</v>
      </c>
      <c r="B3556">
        <v>5</v>
      </c>
      <c r="C3556">
        <v>60</v>
      </c>
      <c r="D3556">
        <v>0</v>
      </c>
      <c r="E3556">
        <v>0</v>
      </c>
      <c r="F3556">
        <v>1</v>
      </c>
      <c r="G3556">
        <v>7</v>
      </c>
      <c r="H3556">
        <v>0</v>
      </c>
      <c r="I3556">
        <v>20000</v>
      </c>
      <c r="J3556">
        <v>4</v>
      </c>
      <c r="K3556">
        <v>0</v>
      </c>
      <c r="L3556" s="4">
        <v>0.91956439876594243</v>
      </c>
      <c r="M3556" s="4">
        <v>8.0435601234057547E-2</v>
      </c>
      <c r="N3556">
        <v>8</v>
      </c>
    </row>
    <row r="3557" spans="1:14" x14ac:dyDescent="0.35">
      <c r="A3557" s="1">
        <v>3131</v>
      </c>
      <c r="B3557">
        <v>3</v>
      </c>
      <c r="C3557">
        <v>48</v>
      </c>
      <c r="D3557">
        <v>5</v>
      </c>
      <c r="E3557">
        <v>0</v>
      </c>
      <c r="F3557">
        <v>0</v>
      </c>
      <c r="G3557">
        <v>2</v>
      </c>
      <c r="H3557">
        <v>3</v>
      </c>
      <c r="I3557">
        <v>0.01</v>
      </c>
      <c r="J3557">
        <v>8</v>
      </c>
      <c r="K3557">
        <v>0</v>
      </c>
      <c r="L3557" s="4">
        <v>0.91957239743801655</v>
      </c>
      <c r="M3557" s="4">
        <v>8.0427602561983502E-2</v>
      </c>
      <c r="N3557">
        <v>8</v>
      </c>
    </row>
    <row r="3558" spans="1:14" x14ac:dyDescent="0.35">
      <c r="A3558" s="1">
        <v>3798</v>
      </c>
      <c r="B3558">
        <v>8</v>
      </c>
      <c r="C3558">
        <v>66</v>
      </c>
      <c r="D3558">
        <v>2</v>
      </c>
      <c r="E3558">
        <v>1</v>
      </c>
      <c r="F3558">
        <v>2</v>
      </c>
      <c r="G3558">
        <v>6</v>
      </c>
      <c r="H3558">
        <v>1</v>
      </c>
      <c r="I3558">
        <v>35042.92</v>
      </c>
      <c r="J3558">
        <v>19</v>
      </c>
      <c r="K3558">
        <v>0</v>
      </c>
      <c r="L3558" s="4">
        <v>0.91966834871783631</v>
      </c>
      <c r="M3558" s="4">
        <v>8.0331651282163644E-2</v>
      </c>
      <c r="N3558">
        <v>8</v>
      </c>
    </row>
    <row r="3559" spans="1:14" x14ac:dyDescent="0.35">
      <c r="A3559" s="1">
        <v>626</v>
      </c>
      <c r="B3559">
        <v>2</v>
      </c>
      <c r="C3559">
        <v>46</v>
      </c>
      <c r="D3559">
        <v>1</v>
      </c>
      <c r="E3559">
        <v>0</v>
      </c>
      <c r="F3559">
        <v>3</v>
      </c>
      <c r="G3559">
        <v>8</v>
      </c>
      <c r="H3559">
        <v>0</v>
      </c>
      <c r="I3559">
        <v>6000</v>
      </c>
      <c r="J3559">
        <v>2</v>
      </c>
      <c r="K3559">
        <v>0</v>
      </c>
      <c r="L3559" s="4">
        <v>0.9197481497753287</v>
      </c>
      <c r="M3559" s="4">
        <v>8.0251850224671337E-2</v>
      </c>
      <c r="N3559">
        <v>9</v>
      </c>
    </row>
    <row r="3560" spans="1:14" x14ac:dyDescent="0.35">
      <c r="A3560" s="1">
        <v>313</v>
      </c>
      <c r="B3560">
        <v>7</v>
      </c>
      <c r="C3560">
        <v>63</v>
      </c>
      <c r="D3560">
        <v>5</v>
      </c>
      <c r="E3560">
        <v>0</v>
      </c>
      <c r="F3560">
        <v>3</v>
      </c>
      <c r="G3560">
        <v>8</v>
      </c>
      <c r="H3560">
        <v>2</v>
      </c>
      <c r="I3560">
        <v>1621.6</v>
      </c>
      <c r="J3560">
        <v>5</v>
      </c>
      <c r="K3560">
        <v>0</v>
      </c>
      <c r="L3560" s="4">
        <v>0.91980737110587218</v>
      </c>
      <c r="M3560" s="4">
        <v>8.0192628894127801E-2</v>
      </c>
      <c r="N3560">
        <v>9</v>
      </c>
    </row>
    <row r="3561" spans="1:14" x14ac:dyDescent="0.35">
      <c r="A3561" s="1">
        <v>1529</v>
      </c>
      <c r="B3561">
        <v>5</v>
      </c>
      <c r="C3561">
        <v>56</v>
      </c>
      <c r="D3561">
        <v>5</v>
      </c>
      <c r="E3561">
        <v>0</v>
      </c>
      <c r="F3561">
        <v>0</v>
      </c>
      <c r="G3561">
        <v>4</v>
      </c>
      <c r="H3561">
        <v>3</v>
      </c>
      <c r="I3561">
        <v>0.01</v>
      </c>
      <c r="J3561">
        <v>9</v>
      </c>
      <c r="K3561">
        <v>0</v>
      </c>
      <c r="L3561" s="4">
        <v>0.91984196196261192</v>
      </c>
      <c r="M3561" s="4">
        <v>8.0158038037388135E-2</v>
      </c>
      <c r="N3561">
        <v>9</v>
      </c>
    </row>
    <row r="3562" spans="1:14" x14ac:dyDescent="0.35">
      <c r="A3562" s="1">
        <v>1174</v>
      </c>
      <c r="B3562">
        <v>7</v>
      </c>
      <c r="C3562">
        <v>61</v>
      </c>
      <c r="D3562">
        <v>1</v>
      </c>
      <c r="E3562">
        <v>1</v>
      </c>
      <c r="F3562">
        <v>1</v>
      </c>
      <c r="G3562">
        <v>5</v>
      </c>
      <c r="H3562">
        <v>2</v>
      </c>
      <c r="I3562">
        <v>2300</v>
      </c>
      <c r="J3562">
        <v>1</v>
      </c>
      <c r="K3562">
        <v>0</v>
      </c>
      <c r="L3562" s="4">
        <v>0.91985511765610661</v>
      </c>
      <c r="M3562" s="4">
        <v>8.0144882343893387E-2</v>
      </c>
      <c r="N3562">
        <v>9</v>
      </c>
    </row>
    <row r="3563" spans="1:14" x14ac:dyDescent="0.35">
      <c r="A3563" s="1">
        <v>3840</v>
      </c>
      <c r="B3563">
        <v>4</v>
      </c>
      <c r="C3563">
        <v>55</v>
      </c>
      <c r="D3563">
        <v>0</v>
      </c>
      <c r="E3563">
        <v>0</v>
      </c>
      <c r="F3563">
        <v>3</v>
      </c>
      <c r="G3563">
        <v>3</v>
      </c>
      <c r="H3563">
        <v>0</v>
      </c>
      <c r="I3563">
        <v>6000</v>
      </c>
      <c r="J3563">
        <v>1</v>
      </c>
      <c r="K3563">
        <v>0</v>
      </c>
      <c r="L3563" s="4">
        <v>0.9198709927266413</v>
      </c>
      <c r="M3563" s="4">
        <v>8.0129007273358741E-2</v>
      </c>
      <c r="N3563">
        <v>9</v>
      </c>
    </row>
    <row r="3564" spans="1:14" x14ac:dyDescent="0.35">
      <c r="A3564" s="1">
        <v>4405</v>
      </c>
      <c r="B3564">
        <v>8</v>
      </c>
      <c r="C3564">
        <v>70</v>
      </c>
      <c r="D3564">
        <v>5</v>
      </c>
      <c r="E3564">
        <v>0</v>
      </c>
      <c r="F3564">
        <v>1</v>
      </c>
      <c r="G3564">
        <v>7</v>
      </c>
      <c r="H3564">
        <v>0</v>
      </c>
      <c r="I3564">
        <v>16053.35</v>
      </c>
      <c r="J3564">
        <v>7</v>
      </c>
      <c r="K3564">
        <v>0</v>
      </c>
      <c r="L3564" s="4">
        <v>0.91990426266974934</v>
      </c>
      <c r="M3564" s="4">
        <v>8.0095737330250702E-2</v>
      </c>
      <c r="N3564">
        <v>9</v>
      </c>
    </row>
    <row r="3565" spans="1:14" x14ac:dyDescent="0.35">
      <c r="A3565" s="1">
        <v>1718</v>
      </c>
      <c r="B3565">
        <v>3</v>
      </c>
      <c r="C3565">
        <v>45</v>
      </c>
      <c r="D3565">
        <v>4</v>
      </c>
      <c r="E3565">
        <v>1</v>
      </c>
      <c r="F3565">
        <v>0</v>
      </c>
      <c r="G3565">
        <v>11</v>
      </c>
      <c r="H3565">
        <v>0</v>
      </c>
      <c r="I3565">
        <v>6000</v>
      </c>
      <c r="J3565">
        <v>1</v>
      </c>
      <c r="K3565">
        <v>0</v>
      </c>
      <c r="L3565" s="4">
        <v>0.91996725470822382</v>
      </c>
      <c r="M3565" s="4">
        <v>8.0032745291776161E-2</v>
      </c>
      <c r="N3565">
        <v>9</v>
      </c>
    </row>
    <row r="3566" spans="1:14" x14ac:dyDescent="0.35">
      <c r="A3566" s="1">
        <v>2286</v>
      </c>
      <c r="B3566">
        <v>9</v>
      </c>
      <c r="C3566">
        <v>62</v>
      </c>
      <c r="D3566">
        <v>3</v>
      </c>
      <c r="E3566">
        <v>2</v>
      </c>
      <c r="F3566">
        <v>3</v>
      </c>
      <c r="G3566">
        <v>3</v>
      </c>
      <c r="H3566">
        <v>3</v>
      </c>
      <c r="I3566">
        <v>0.01</v>
      </c>
      <c r="J3566">
        <v>11</v>
      </c>
      <c r="K3566">
        <v>0</v>
      </c>
      <c r="L3566" s="4">
        <v>0.91996994026201262</v>
      </c>
      <c r="M3566" s="4">
        <v>8.0030059737987339E-2</v>
      </c>
      <c r="N3566">
        <v>9</v>
      </c>
    </row>
    <row r="3567" spans="1:14" x14ac:dyDescent="0.35">
      <c r="A3567" s="1">
        <v>64</v>
      </c>
      <c r="B3567">
        <v>7</v>
      </c>
      <c r="C3567">
        <v>65</v>
      </c>
      <c r="D3567">
        <v>5</v>
      </c>
      <c r="E3567">
        <v>0</v>
      </c>
      <c r="F3567">
        <v>0</v>
      </c>
      <c r="G3567">
        <v>4</v>
      </c>
      <c r="H3567">
        <v>2</v>
      </c>
      <c r="I3567">
        <v>4100</v>
      </c>
      <c r="J3567">
        <v>10</v>
      </c>
      <c r="K3567">
        <v>0</v>
      </c>
      <c r="L3567" s="4">
        <v>0.9200060568819588</v>
      </c>
      <c r="M3567" s="4">
        <v>7.9993943118041241E-2</v>
      </c>
      <c r="N3567">
        <v>9</v>
      </c>
    </row>
    <row r="3568" spans="1:14" x14ac:dyDescent="0.35">
      <c r="A3568" s="1">
        <v>405</v>
      </c>
      <c r="B3568">
        <v>6</v>
      </c>
      <c r="C3568">
        <v>56</v>
      </c>
      <c r="D3568">
        <v>3</v>
      </c>
      <c r="E3568">
        <v>1</v>
      </c>
      <c r="F3568">
        <v>1</v>
      </c>
      <c r="G3568">
        <v>7</v>
      </c>
      <c r="H3568">
        <v>2</v>
      </c>
      <c r="I3568">
        <v>1500</v>
      </c>
      <c r="J3568">
        <v>5</v>
      </c>
      <c r="K3568">
        <v>0</v>
      </c>
      <c r="L3568" s="4">
        <v>0.92004516817827198</v>
      </c>
      <c r="M3568" s="4">
        <v>7.9954831821728023E-2</v>
      </c>
      <c r="N3568">
        <v>9</v>
      </c>
    </row>
    <row r="3569" spans="1:14" x14ac:dyDescent="0.35">
      <c r="A3569" s="1">
        <v>460</v>
      </c>
      <c r="B3569">
        <v>5</v>
      </c>
      <c r="C3569">
        <v>57</v>
      </c>
      <c r="D3569">
        <v>2</v>
      </c>
      <c r="E3569">
        <v>0</v>
      </c>
      <c r="F3569">
        <v>3</v>
      </c>
      <c r="G3569">
        <v>3</v>
      </c>
      <c r="H3569">
        <v>2</v>
      </c>
      <c r="I3569">
        <v>3000</v>
      </c>
      <c r="J3569">
        <v>16</v>
      </c>
      <c r="K3569">
        <v>0</v>
      </c>
      <c r="L3569" s="4">
        <v>0.92007835101168844</v>
      </c>
      <c r="M3569" s="4">
        <v>7.9921648988311569E-2</v>
      </c>
      <c r="N3569">
        <v>9</v>
      </c>
    </row>
    <row r="3570" spans="1:14" x14ac:dyDescent="0.35">
      <c r="A3570" s="1">
        <v>509</v>
      </c>
      <c r="B3570">
        <v>7</v>
      </c>
      <c r="C3570">
        <v>65</v>
      </c>
      <c r="D3570">
        <v>3</v>
      </c>
      <c r="E3570">
        <v>0</v>
      </c>
      <c r="F3570">
        <v>1</v>
      </c>
      <c r="G3570">
        <v>12</v>
      </c>
      <c r="H3570">
        <v>2</v>
      </c>
      <c r="I3570">
        <v>2134</v>
      </c>
      <c r="J3570">
        <v>27</v>
      </c>
      <c r="K3570">
        <v>0</v>
      </c>
      <c r="L3570" s="4">
        <v>0.92008381730906363</v>
      </c>
      <c r="M3570" s="4">
        <v>7.9916182690936408E-2</v>
      </c>
      <c r="N3570">
        <v>9</v>
      </c>
    </row>
    <row r="3571" spans="1:14" x14ac:dyDescent="0.35">
      <c r="A3571" s="1">
        <v>2120</v>
      </c>
      <c r="B3571">
        <v>8</v>
      </c>
      <c r="C3571">
        <v>59</v>
      </c>
      <c r="D3571">
        <v>4</v>
      </c>
      <c r="E3571">
        <v>2</v>
      </c>
      <c r="F3571">
        <v>2</v>
      </c>
      <c r="G3571">
        <v>0</v>
      </c>
      <c r="H3571">
        <v>2</v>
      </c>
      <c r="I3571">
        <v>2500</v>
      </c>
      <c r="J3571">
        <v>7</v>
      </c>
      <c r="K3571">
        <v>0</v>
      </c>
      <c r="L3571" s="4">
        <v>0.92009542044888204</v>
      </c>
      <c r="M3571" s="4">
        <v>7.9904579551117974E-2</v>
      </c>
      <c r="N3571">
        <v>9</v>
      </c>
    </row>
    <row r="3572" spans="1:14" x14ac:dyDescent="0.35">
      <c r="A3572" s="1">
        <v>1933</v>
      </c>
      <c r="B3572">
        <v>5</v>
      </c>
      <c r="C3572">
        <v>51</v>
      </c>
      <c r="D3572">
        <v>4</v>
      </c>
      <c r="E3572">
        <v>1</v>
      </c>
      <c r="F3572">
        <v>1</v>
      </c>
      <c r="G3572">
        <v>5</v>
      </c>
      <c r="H3572">
        <v>3</v>
      </c>
      <c r="I3572">
        <v>0.01</v>
      </c>
      <c r="J3572">
        <v>8</v>
      </c>
      <c r="K3572">
        <v>1</v>
      </c>
      <c r="L3572" s="4">
        <v>0.9200999351907807</v>
      </c>
      <c r="M3572" s="4">
        <v>7.9900064809219296E-2</v>
      </c>
      <c r="N3572">
        <v>9</v>
      </c>
    </row>
    <row r="3573" spans="1:14" x14ac:dyDescent="0.35">
      <c r="A3573" s="1">
        <v>3496</v>
      </c>
      <c r="B3573">
        <v>6</v>
      </c>
      <c r="C3573">
        <v>60</v>
      </c>
      <c r="D3573">
        <v>1</v>
      </c>
      <c r="E3573">
        <v>0</v>
      </c>
      <c r="F3573">
        <v>3</v>
      </c>
      <c r="G3573">
        <v>8</v>
      </c>
      <c r="H3573">
        <v>3</v>
      </c>
      <c r="I3573">
        <v>0.01</v>
      </c>
      <c r="J3573">
        <v>5</v>
      </c>
      <c r="K3573">
        <v>0</v>
      </c>
      <c r="L3573" s="4">
        <v>0.92014672563237787</v>
      </c>
      <c r="M3573" s="4">
        <v>7.9853274367622157E-2</v>
      </c>
      <c r="N3573">
        <v>9</v>
      </c>
    </row>
    <row r="3574" spans="1:14" x14ac:dyDescent="0.35">
      <c r="A3574" s="1">
        <v>3810</v>
      </c>
      <c r="B3574">
        <v>6</v>
      </c>
      <c r="C3574">
        <v>63</v>
      </c>
      <c r="D3574">
        <v>0</v>
      </c>
      <c r="E3574">
        <v>0</v>
      </c>
      <c r="F3574">
        <v>0</v>
      </c>
      <c r="G3574">
        <v>4</v>
      </c>
      <c r="H3574">
        <v>2</v>
      </c>
      <c r="I3574">
        <v>1000</v>
      </c>
      <c r="J3574">
        <v>6</v>
      </c>
      <c r="K3574">
        <v>0</v>
      </c>
      <c r="L3574" s="4">
        <v>0.92015251158991884</v>
      </c>
      <c r="M3574" s="4">
        <v>7.9847488410081144E-2</v>
      </c>
      <c r="N3574">
        <v>9</v>
      </c>
    </row>
    <row r="3575" spans="1:14" x14ac:dyDescent="0.35">
      <c r="A3575" s="1">
        <v>3603</v>
      </c>
      <c r="B3575">
        <v>10</v>
      </c>
      <c r="C3575">
        <v>77</v>
      </c>
      <c r="D3575">
        <v>2</v>
      </c>
      <c r="E3575">
        <v>0</v>
      </c>
      <c r="F3575">
        <v>3</v>
      </c>
      <c r="G3575">
        <v>3</v>
      </c>
      <c r="H3575">
        <v>2</v>
      </c>
      <c r="I3575">
        <v>3000</v>
      </c>
      <c r="J3575">
        <v>2</v>
      </c>
      <c r="K3575">
        <v>0</v>
      </c>
      <c r="L3575" s="4">
        <v>0.92029003114069696</v>
      </c>
      <c r="M3575" s="4">
        <v>7.9709968859302996E-2</v>
      </c>
      <c r="N3575">
        <v>9</v>
      </c>
    </row>
    <row r="3576" spans="1:14" x14ac:dyDescent="0.35">
      <c r="A3576" s="1">
        <v>4403</v>
      </c>
      <c r="B3576">
        <v>8</v>
      </c>
      <c r="C3576">
        <v>65</v>
      </c>
      <c r="D3576">
        <v>4</v>
      </c>
      <c r="E3576">
        <v>1</v>
      </c>
      <c r="F3576">
        <v>1</v>
      </c>
      <c r="G3576">
        <v>12</v>
      </c>
      <c r="H3576">
        <v>0</v>
      </c>
      <c r="I3576">
        <v>9000</v>
      </c>
      <c r="J3576">
        <v>8</v>
      </c>
      <c r="K3576">
        <v>0</v>
      </c>
      <c r="L3576" s="4">
        <v>0.92033288349668685</v>
      </c>
      <c r="M3576" s="4">
        <v>7.9667116503313165E-2</v>
      </c>
      <c r="N3576">
        <v>9</v>
      </c>
    </row>
    <row r="3577" spans="1:14" x14ac:dyDescent="0.35">
      <c r="A3577" s="1">
        <v>1629</v>
      </c>
      <c r="B3577">
        <v>7</v>
      </c>
      <c r="C3577">
        <v>64</v>
      </c>
      <c r="D3577">
        <v>4</v>
      </c>
      <c r="E3577">
        <v>0</v>
      </c>
      <c r="F3577">
        <v>0</v>
      </c>
      <c r="G3577">
        <v>11</v>
      </c>
      <c r="H3577">
        <v>3</v>
      </c>
      <c r="I3577">
        <v>0.01</v>
      </c>
      <c r="J3577">
        <v>8</v>
      </c>
      <c r="K3577">
        <v>1</v>
      </c>
      <c r="L3577" s="4">
        <v>0.92038334814091249</v>
      </c>
      <c r="M3577" s="4">
        <v>7.9616651859087464E-2</v>
      </c>
      <c r="N3577">
        <v>9</v>
      </c>
    </row>
    <row r="3578" spans="1:14" x14ac:dyDescent="0.35">
      <c r="A3578" s="1">
        <v>488</v>
      </c>
      <c r="B3578">
        <v>6</v>
      </c>
      <c r="C3578">
        <v>62</v>
      </c>
      <c r="D3578">
        <v>4</v>
      </c>
      <c r="E3578">
        <v>0</v>
      </c>
      <c r="F3578">
        <v>0</v>
      </c>
      <c r="G3578">
        <v>11</v>
      </c>
      <c r="H3578">
        <v>1</v>
      </c>
      <c r="I3578">
        <v>21000.01</v>
      </c>
      <c r="J3578">
        <v>9</v>
      </c>
      <c r="K3578">
        <v>0</v>
      </c>
      <c r="L3578" s="4">
        <v>0.92039983830201155</v>
      </c>
      <c r="M3578" s="4">
        <v>7.9600161697988503E-2</v>
      </c>
      <c r="N3578">
        <v>9</v>
      </c>
    </row>
    <row r="3579" spans="1:14" x14ac:dyDescent="0.35">
      <c r="A3579" s="1">
        <v>3028</v>
      </c>
      <c r="B3579">
        <v>9</v>
      </c>
      <c r="C3579">
        <v>74</v>
      </c>
      <c r="D3579">
        <v>3</v>
      </c>
      <c r="E3579">
        <v>0</v>
      </c>
      <c r="F3579">
        <v>0</v>
      </c>
      <c r="G3579">
        <v>4</v>
      </c>
      <c r="H3579">
        <v>2</v>
      </c>
      <c r="I3579">
        <v>3000</v>
      </c>
      <c r="J3579">
        <v>8</v>
      </c>
      <c r="K3579">
        <v>0</v>
      </c>
      <c r="L3579" s="4">
        <v>0.9204368245304777</v>
      </c>
      <c r="M3579" s="4">
        <v>7.9563175469522351E-2</v>
      </c>
      <c r="N3579">
        <v>9</v>
      </c>
    </row>
    <row r="3580" spans="1:14" x14ac:dyDescent="0.35">
      <c r="A3580" s="1">
        <v>49</v>
      </c>
      <c r="B3580">
        <v>6</v>
      </c>
      <c r="C3580">
        <v>62</v>
      </c>
      <c r="D3580">
        <v>3</v>
      </c>
      <c r="E3580">
        <v>0</v>
      </c>
      <c r="F3580">
        <v>0</v>
      </c>
      <c r="G3580">
        <v>2</v>
      </c>
      <c r="H3580">
        <v>2</v>
      </c>
      <c r="I3580">
        <v>5000</v>
      </c>
      <c r="J3580">
        <v>4</v>
      </c>
      <c r="K3580">
        <v>0</v>
      </c>
      <c r="L3580" s="4">
        <v>0.92043712224629637</v>
      </c>
      <c r="M3580" s="4">
        <v>7.9562877753703673E-2</v>
      </c>
      <c r="N3580">
        <v>9</v>
      </c>
    </row>
    <row r="3581" spans="1:14" x14ac:dyDescent="0.35">
      <c r="A3581" s="1">
        <v>2068</v>
      </c>
      <c r="B3581">
        <v>10</v>
      </c>
      <c r="C3581">
        <v>75</v>
      </c>
      <c r="D3581">
        <v>2</v>
      </c>
      <c r="E3581">
        <v>1</v>
      </c>
      <c r="F3581">
        <v>1</v>
      </c>
      <c r="G3581">
        <v>7</v>
      </c>
      <c r="H3581">
        <v>0</v>
      </c>
      <c r="I3581">
        <v>12158.67</v>
      </c>
      <c r="J3581">
        <v>29</v>
      </c>
      <c r="K3581">
        <v>0</v>
      </c>
      <c r="L3581" s="4">
        <v>0.92049227246101872</v>
      </c>
      <c r="M3581" s="4">
        <v>7.9507727538981277E-2</v>
      </c>
      <c r="N3581">
        <v>9</v>
      </c>
    </row>
    <row r="3582" spans="1:14" x14ac:dyDescent="0.35">
      <c r="A3582" s="1">
        <v>209</v>
      </c>
      <c r="B3582">
        <v>4</v>
      </c>
      <c r="C3582">
        <v>55</v>
      </c>
      <c r="D3582">
        <v>0</v>
      </c>
      <c r="E3582">
        <v>0</v>
      </c>
      <c r="F3582">
        <v>3</v>
      </c>
      <c r="G3582">
        <v>8</v>
      </c>
      <c r="H3582">
        <v>0</v>
      </c>
      <c r="I3582">
        <v>12088.81</v>
      </c>
      <c r="J3582">
        <v>8</v>
      </c>
      <c r="K3582">
        <v>0</v>
      </c>
      <c r="L3582" s="4">
        <v>0.92050562193646779</v>
      </c>
      <c r="M3582" s="4">
        <v>7.9494378063532184E-2</v>
      </c>
      <c r="N3582">
        <v>9</v>
      </c>
    </row>
    <row r="3583" spans="1:14" x14ac:dyDescent="0.35">
      <c r="A3583" s="1">
        <v>2922</v>
      </c>
      <c r="B3583">
        <v>10</v>
      </c>
      <c r="C3583">
        <v>68</v>
      </c>
      <c r="D3583">
        <v>4</v>
      </c>
      <c r="E3583">
        <v>2</v>
      </c>
      <c r="F3583">
        <v>0</v>
      </c>
      <c r="G3583">
        <v>4</v>
      </c>
      <c r="H3583">
        <v>2</v>
      </c>
      <c r="I3583">
        <v>600</v>
      </c>
      <c r="J3583">
        <v>19</v>
      </c>
      <c r="K3583">
        <v>0</v>
      </c>
      <c r="L3583" s="4">
        <v>0.9205997161257089</v>
      </c>
      <c r="M3583" s="4">
        <v>7.9400283874291155E-2</v>
      </c>
      <c r="N3583">
        <v>9</v>
      </c>
    </row>
    <row r="3584" spans="1:14" x14ac:dyDescent="0.35">
      <c r="A3584" s="1">
        <v>1149</v>
      </c>
      <c r="B3584">
        <v>4</v>
      </c>
      <c r="C3584">
        <v>53</v>
      </c>
      <c r="D3584">
        <v>3</v>
      </c>
      <c r="E3584">
        <v>0</v>
      </c>
      <c r="F3584">
        <v>1</v>
      </c>
      <c r="G3584">
        <v>7</v>
      </c>
      <c r="H3584">
        <v>2</v>
      </c>
      <c r="I3584">
        <v>600</v>
      </c>
      <c r="J3584">
        <v>9</v>
      </c>
      <c r="K3584">
        <v>0</v>
      </c>
      <c r="L3584" s="4">
        <v>0.92061314298987651</v>
      </c>
      <c r="M3584" s="4">
        <v>7.9386857010123477E-2</v>
      </c>
      <c r="N3584">
        <v>9</v>
      </c>
    </row>
    <row r="3585" spans="1:14" x14ac:dyDescent="0.35">
      <c r="A3585" s="1">
        <v>23</v>
      </c>
      <c r="B3585">
        <v>10</v>
      </c>
      <c r="C3585">
        <v>79</v>
      </c>
      <c r="D3585">
        <v>1</v>
      </c>
      <c r="E3585">
        <v>0</v>
      </c>
      <c r="F3585">
        <v>0</v>
      </c>
      <c r="G3585">
        <v>4</v>
      </c>
      <c r="H3585">
        <v>2</v>
      </c>
      <c r="I3585">
        <v>1000</v>
      </c>
      <c r="J3585">
        <v>11</v>
      </c>
      <c r="K3585">
        <v>1</v>
      </c>
      <c r="L3585" s="4">
        <v>0.92072300303016708</v>
      </c>
      <c r="M3585" s="4">
        <v>7.9276996969832939E-2</v>
      </c>
      <c r="N3585">
        <v>9</v>
      </c>
    </row>
    <row r="3586" spans="1:14" x14ac:dyDescent="0.35">
      <c r="A3586" s="1">
        <v>2880</v>
      </c>
      <c r="B3586">
        <v>8</v>
      </c>
      <c r="C3586">
        <v>70</v>
      </c>
      <c r="D3586">
        <v>0</v>
      </c>
      <c r="E3586">
        <v>0</v>
      </c>
      <c r="F3586">
        <v>3</v>
      </c>
      <c r="G3586">
        <v>3</v>
      </c>
      <c r="H3586">
        <v>2</v>
      </c>
      <c r="I3586">
        <v>2000</v>
      </c>
      <c r="J3586">
        <v>9</v>
      </c>
      <c r="K3586">
        <v>0</v>
      </c>
      <c r="L3586" s="4">
        <v>0.92074569667687822</v>
      </c>
      <c r="M3586" s="4">
        <v>7.9254303323121819E-2</v>
      </c>
      <c r="N3586">
        <v>9</v>
      </c>
    </row>
    <row r="3587" spans="1:14" x14ac:dyDescent="0.35">
      <c r="A3587" s="1">
        <v>3010</v>
      </c>
      <c r="B3587">
        <v>5</v>
      </c>
      <c r="C3587">
        <v>57</v>
      </c>
      <c r="D3587">
        <v>2</v>
      </c>
      <c r="E3587">
        <v>0</v>
      </c>
      <c r="F3587">
        <v>3</v>
      </c>
      <c r="G3587">
        <v>3</v>
      </c>
      <c r="H3587">
        <v>2</v>
      </c>
      <c r="I3587">
        <v>3000</v>
      </c>
      <c r="J3587">
        <v>8</v>
      </c>
      <c r="K3587">
        <v>0</v>
      </c>
      <c r="L3587" s="4">
        <v>0.92083106056509867</v>
      </c>
      <c r="M3587" s="4">
        <v>7.9168939434901275E-2</v>
      </c>
      <c r="N3587">
        <v>9</v>
      </c>
    </row>
    <row r="3588" spans="1:14" x14ac:dyDescent="0.35">
      <c r="A3588" s="1">
        <v>3376</v>
      </c>
      <c r="B3588">
        <v>6</v>
      </c>
      <c r="C3588">
        <v>63</v>
      </c>
      <c r="D3588">
        <v>1</v>
      </c>
      <c r="E3588">
        <v>0</v>
      </c>
      <c r="F3588">
        <v>3</v>
      </c>
      <c r="G3588">
        <v>3</v>
      </c>
      <c r="H3588">
        <v>0</v>
      </c>
      <c r="I3588">
        <v>10000</v>
      </c>
      <c r="J3588">
        <v>1</v>
      </c>
      <c r="K3588">
        <v>0</v>
      </c>
      <c r="L3588" s="4">
        <v>0.92088331393437972</v>
      </c>
      <c r="M3588" s="4">
        <v>7.9116686065620237E-2</v>
      </c>
      <c r="N3588">
        <v>9</v>
      </c>
    </row>
    <row r="3589" spans="1:14" x14ac:dyDescent="0.35">
      <c r="A3589" s="1">
        <v>1193</v>
      </c>
      <c r="B3589">
        <v>3</v>
      </c>
      <c r="C3589">
        <v>51</v>
      </c>
      <c r="D3589">
        <v>0</v>
      </c>
      <c r="E3589">
        <v>0</v>
      </c>
      <c r="F3589">
        <v>3</v>
      </c>
      <c r="G3589">
        <v>3</v>
      </c>
      <c r="H3589">
        <v>1</v>
      </c>
      <c r="I3589">
        <v>21008.63</v>
      </c>
      <c r="J3589">
        <v>8</v>
      </c>
      <c r="K3589">
        <v>0</v>
      </c>
      <c r="L3589" s="4">
        <v>0.92088630946275352</v>
      </c>
      <c r="M3589" s="4">
        <v>7.9113690537246442E-2</v>
      </c>
      <c r="N3589">
        <v>9</v>
      </c>
    </row>
    <row r="3590" spans="1:14" x14ac:dyDescent="0.35">
      <c r="A3590" s="1">
        <v>2398</v>
      </c>
      <c r="B3590">
        <v>8</v>
      </c>
      <c r="C3590">
        <v>63</v>
      </c>
      <c r="D3590">
        <v>2</v>
      </c>
      <c r="E3590">
        <v>1</v>
      </c>
      <c r="F3590">
        <v>3</v>
      </c>
      <c r="G3590">
        <v>8</v>
      </c>
      <c r="H3590">
        <v>3</v>
      </c>
      <c r="I3590">
        <v>0.01</v>
      </c>
      <c r="J3590">
        <v>8</v>
      </c>
      <c r="K3590">
        <v>0</v>
      </c>
      <c r="L3590" s="4">
        <v>0.92095204246440621</v>
      </c>
      <c r="M3590" s="4">
        <v>7.9047957535593835E-2</v>
      </c>
      <c r="N3590">
        <v>9</v>
      </c>
    </row>
    <row r="3591" spans="1:14" x14ac:dyDescent="0.35">
      <c r="A3591" s="1">
        <v>2026</v>
      </c>
      <c r="B3591">
        <v>8</v>
      </c>
      <c r="C3591">
        <v>69</v>
      </c>
      <c r="D3591">
        <v>1</v>
      </c>
      <c r="E3591">
        <v>0</v>
      </c>
      <c r="F3591">
        <v>2</v>
      </c>
      <c r="G3591">
        <v>6</v>
      </c>
      <c r="H3591">
        <v>3</v>
      </c>
      <c r="I3591">
        <v>0.01</v>
      </c>
      <c r="J3591">
        <v>7</v>
      </c>
      <c r="K3591">
        <v>0</v>
      </c>
      <c r="L3591" s="4">
        <v>0.9210353876119427</v>
      </c>
      <c r="M3591" s="4">
        <v>7.896461238805727E-2</v>
      </c>
      <c r="N3591">
        <v>9</v>
      </c>
    </row>
    <row r="3592" spans="1:14" x14ac:dyDescent="0.35">
      <c r="A3592" s="1">
        <v>2876</v>
      </c>
      <c r="B3592">
        <v>10</v>
      </c>
      <c r="C3592">
        <v>69</v>
      </c>
      <c r="D3592">
        <v>2</v>
      </c>
      <c r="E3592">
        <v>2</v>
      </c>
      <c r="F3592">
        <v>3</v>
      </c>
      <c r="G3592">
        <v>3</v>
      </c>
      <c r="H3592">
        <v>0</v>
      </c>
      <c r="I3592">
        <v>6000</v>
      </c>
      <c r="J3592">
        <v>5</v>
      </c>
      <c r="K3592">
        <v>0</v>
      </c>
      <c r="L3592" s="4">
        <v>0.92122757516382658</v>
      </c>
      <c r="M3592" s="4">
        <v>7.8772424836173374E-2</v>
      </c>
      <c r="N3592">
        <v>9</v>
      </c>
    </row>
    <row r="3593" spans="1:14" x14ac:dyDescent="0.35">
      <c r="A3593" s="1">
        <v>2969</v>
      </c>
      <c r="B3593">
        <v>6</v>
      </c>
      <c r="C3593">
        <v>63</v>
      </c>
      <c r="D3593">
        <v>0</v>
      </c>
      <c r="E3593">
        <v>0</v>
      </c>
      <c r="F3593">
        <v>3</v>
      </c>
      <c r="G3593">
        <v>8</v>
      </c>
      <c r="H3593">
        <v>0</v>
      </c>
      <c r="I3593">
        <v>6025</v>
      </c>
      <c r="J3593">
        <v>3</v>
      </c>
      <c r="K3593">
        <v>0</v>
      </c>
      <c r="L3593" s="4">
        <v>0.9212453372946412</v>
      </c>
      <c r="M3593" s="4">
        <v>7.8754662705358816E-2</v>
      </c>
      <c r="N3593">
        <v>9</v>
      </c>
    </row>
    <row r="3594" spans="1:14" x14ac:dyDescent="0.35">
      <c r="A3594" s="1">
        <v>3186</v>
      </c>
      <c r="B3594">
        <v>9</v>
      </c>
      <c r="C3594">
        <v>71</v>
      </c>
      <c r="D3594">
        <v>1</v>
      </c>
      <c r="E3594">
        <v>1</v>
      </c>
      <c r="F3594">
        <v>2</v>
      </c>
      <c r="G3594">
        <v>1</v>
      </c>
      <c r="H3594">
        <v>0</v>
      </c>
      <c r="I3594">
        <v>6000</v>
      </c>
      <c r="J3594">
        <v>7</v>
      </c>
      <c r="K3594">
        <v>0</v>
      </c>
      <c r="L3594" s="4">
        <v>0.92125021107012883</v>
      </c>
      <c r="M3594" s="4">
        <v>7.8749788929871153E-2</v>
      </c>
      <c r="N3594">
        <v>9</v>
      </c>
    </row>
    <row r="3595" spans="1:14" x14ac:dyDescent="0.35">
      <c r="A3595" s="1">
        <v>1846</v>
      </c>
      <c r="B3595">
        <v>5</v>
      </c>
      <c r="C3595">
        <v>57</v>
      </c>
      <c r="D3595">
        <v>2</v>
      </c>
      <c r="E3595">
        <v>0</v>
      </c>
      <c r="F3595">
        <v>0</v>
      </c>
      <c r="G3595">
        <v>10</v>
      </c>
      <c r="H3595">
        <v>3</v>
      </c>
      <c r="I3595">
        <v>0.01</v>
      </c>
      <c r="J3595">
        <v>5</v>
      </c>
      <c r="K3595">
        <v>0</v>
      </c>
      <c r="L3595" s="4">
        <v>0.92125665228108</v>
      </c>
      <c r="M3595" s="4">
        <v>7.874334771891997E-2</v>
      </c>
      <c r="N3595">
        <v>9</v>
      </c>
    </row>
    <row r="3596" spans="1:14" x14ac:dyDescent="0.35">
      <c r="A3596" s="1">
        <v>2906</v>
      </c>
      <c r="B3596">
        <v>8</v>
      </c>
      <c r="C3596">
        <v>70</v>
      </c>
      <c r="D3596">
        <v>4</v>
      </c>
      <c r="E3596">
        <v>0</v>
      </c>
      <c r="F3596">
        <v>3</v>
      </c>
      <c r="G3596">
        <v>3</v>
      </c>
      <c r="H3596">
        <v>0</v>
      </c>
      <c r="I3596">
        <v>9000</v>
      </c>
      <c r="J3596">
        <v>8</v>
      </c>
      <c r="K3596">
        <v>0</v>
      </c>
      <c r="L3596" s="4">
        <v>0.92126904343048366</v>
      </c>
      <c r="M3596" s="4">
        <v>7.8730956569516328E-2</v>
      </c>
      <c r="N3596">
        <v>9</v>
      </c>
    </row>
    <row r="3597" spans="1:14" x14ac:dyDescent="0.35">
      <c r="A3597" s="1">
        <v>723</v>
      </c>
      <c r="B3597">
        <v>9</v>
      </c>
      <c r="C3597">
        <v>75</v>
      </c>
      <c r="D3597">
        <v>1</v>
      </c>
      <c r="E3597">
        <v>0</v>
      </c>
      <c r="F3597">
        <v>0</v>
      </c>
      <c r="G3597">
        <v>4</v>
      </c>
      <c r="H3597">
        <v>2</v>
      </c>
      <c r="I3597">
        <v>3000</v>
      </c>
      <c r="J3597">
        <v>5</v>
      </c>
      <c r="K3597">
        <v>0</v>
      </c>
      <c r="L3597" s="4">
        <v>0.92126941711840371</v>
      </c>
      <c r="M3597" s="4">
        <v>7.8730582881596234E-2</v>
      </c>
      <c r="N3597">
        <v>9</v>
      </c>
    </row>
    <row r="3598" spans="1:14" x14ac:dyDescent="0.35">
      <c r="A3598" s="1">
        <v>889</v>
      </c>
      <c r="B3598">
        <v>10</v>
      </c>
      <c r="C3598">
        <v>70</v>
      </c>
      <c r="D3598">
        <v>0</v>
      </c>
      <c r="E3598">
        <v>2</v>
      </c>
      <c r="F3598">
        <v>3</v>
      </c>
      <c r="G3598">
        <v>3</v>
      </c>
      <c r="H3598">
        <v>0</v>
      </c>
      <c r="I3598">
        <v>6053.35</v>
      </c>
      <c r="J3598">
        <v>7</v>
      </c>
      <c r="K3598">
        <v>0</v>
      </c>
      <c r="L3598" s="4">
        <v>0.92158333091706912</v>
      </c>
      <c r="M3598" s="4">
        <v>7.8416669082930851E-2</v>
      </c>
      <c r="N3598">
        <v>9</v>
      </c>
    </row>
    <row r="3599" spans="1:14" x14ac:dyDescent="0.35">
      <c r="A3599" s="1">
        <v>2189</v>
      </c>
      <c r="B3599">
        <v>5</v>
      </c>
      <c r="C3599">
        <v>58</v>
      </c>
      <c r="D3599">
        <v>0</v>
      </c>
      <c r="E3599">
        <v>0</v>
      </c>
      <c r="F3599">
        <v>3</v>
      </c>
      <c r="G3599">
        <v>3</v>
      </c>
      <c r="H3599">
        <v>2</v>
      </c>
      <c r="I3599">
        <v>2500</v>
      </c>
      <c r="J3599">
        <v>5</v>
      </c>
      <c r="K3599">
        <v>0</v>
      </c>
      <c r="L3599" s="4">
        <v>0.92171802725154728</v>
      </c>
      <c r="M3599" s="4">
        <v>7.8281972748452749E-2</v>
      </c>
      <c r="N3599">
        <v>9</v>
      </c>
    </row>
    <row r="3600" spans="1:14" x14ac:dyDescent="0.35">
      <c r="A3600" s="1">
        <v>3375</v>
      </c>
      <c r="B3600">
        <v>6</v>
      </c>
      <c r="C3600">
        <v>63</v>
      </c>
      <c r="D3600">
        <v>4</v>
      </c>
      <c r="E3600">
        <v>0</v>
      </c>
      <c r="F3600">
        <v>0</v>
      </c>
      <c r="G3600">
        <v>2</v>
      </c>
      <c r="H3600">
        <v>1</v>
      </c>
      <c r="I3600">
        <v>20504.650000000001</v>
      </c>
      <c r="J3600">
        <v>3</v>
      </c>
      <c r="K3600">
        <v>1</v>
      </c>
      <c r="L3600" s="4">
        <v>0.92180075323666422</v>
      </c>
      <c r="M3600" s="4">
        <v>7.8199246763335797E-2</v>
      </c>
      <c r="N3600">
        <v>9</v>
      </c>
    </row>
    <row r="3601" spans="1:14" x14ac:dyDescent="0.35">
      <c r="A3601" s="1">
        <v>740</v>
      </c>
      <c r="B3601">
        <v>7</v>
      </c>
      <c r="C3601">
        <v>67</v>
      </c>
      <c r="D3601">
        <v>1</v>
      </c>
      <c r="E3601">
        <v>0</v>
      </c>
      <c r="F3601">
        <v>3</v>
      </c>
      <c r="G3601">
        <v>8</v>
      </c>
      <c r="H3601">
        <v>0</v>
      </c>
      <c r="I3601">
        <v>10800</v>
      </c>
      <c r="J3601">
        <v>8</v>
      </c>
      <c r="K3601">
        <v>0</v>
      </c>
      <c r="L3601" s="4">
        <v>0.92190748369840136</v>
      </c>
      <c r="M3601" s="4">
        <v>7.8092516301598622E-2</v>
      </c>
      <c r="N3601">
        <v>9</v>
      </c>
    </row>
    <row r="3602" spans="1:14" x14ac:dyDescent="0.35">
      <c r="A3602" s="1">
        <v>1758</v>
      </c>
      <c r="B3602">
        <v>6</v>
      </c>
      <c r="C3602">
        <v>63</v>
      </c>
      <c r="D3602">
        <v>2</v>
      </c>
      <c r="E3602">
        <v>0</v>
      </c>
      <c r="F3602">
        <v>2</v>
      </c>
      <c r="G3602">
        <v>6</v>
      </c>
      <c r="H3602">
        <v>0</v>
      </c>
      <c r="I3602">
        <v>10000</v>
      </c>
      <c r="J3602">
        <v>1</v>
      </c>
      <c r="K3602">
        <v>0</v>
      </c>
      <c r="L3602" s="4">
        <v>0.92192224218767593</v>
      </c>
      <c r="M3602" s="4">
        <v>7.8077757812324067E-2</v>
      </c>
      <c r="N3602">
        <v>9</v>
      </c>
    </row>
    <row r="3603" spans="1:14" x14ac:dyDescent="0.35">
      <c r="A3603" s="1">
        <v>3172</v>
      </c>
      <c r="B3603">
        <v>7</v>
      </c>
      <c r="C3603">
        <v>61</v>
      </c>
      <c r="D3603">
        <v>2</v>
      </c>
      <c r="E3603">
        <v>1</v>
      </c>
      <c r="F3603">
        <v>0</v>
      </c>
      <c r="G3603">
        <v>4</v>
      </c>
      <c r="H3603">
        <v>3</v>
      </c>
      <c r="I3603">
        <v>0.01</v>
      </c>
      <c r="J3603">
        <v>8</v>
      </c>
      <c r="K3603">
        <v>0</v>
      </c>
      <c r="L3603" s="4">
        <v>0.92211885532477467</v>
      </c>
      <c r="M3603" s="4">
        <v>7.7881144675225292E-2</v>
      </c>
      <c r="N3603">
        <v>9</v>
      </c>
    </row>
    <row r="3604" spans="1:14" x14ac:dyDescent="0.35">
      <c r="A3604" s="1">
        <v>2179</v>
      </c>
      <c r="B3604">
        <v>7</v>
      </c>
      <c r="C3604">
        <v>68</v>
      </c>
      <c r="D3604">
        <v>1</v>
      </c>
      <c r="E3604">
        <v>0</v>
      </c>
      <c r="F3604">
        <v>2</v>
      </c>
      <c r="G3604">
        <v>1</v>
      </c>
      <c r="H3604">
        <v>0</v>
      </c>
      <c r="I3604">
        <v>6000</v>
      </c>
      <c r="J3604">
        <v>5</v>
      </c>
      <c r="K3604">
        <v>0</v>
      </c>
      <c r="L3604" s="4">
        <v>0.92226037677965733</v>
      </c>
      <c r="M3604" s="4">
        <v>7.7739623220342641E-2</v>
      </c>
      <c r="N3604">
        <v>9</v>
      </c>
    </row>
    <row r="3605" spans="1:14" x14ac:dyDescent="0.35">
      <c r="A3605" s="1">
        <v>798</v>
      </c>
      <c r="B3605">
        <v>8</v>
      </c>
      <c r="C3605">
        <v>62</v>
      </c>
      <c r="D3605">
        <v>2</v>
      </c>
      <c r="E3605">
        <v>2</v>
      </c>
      <c r="F3605">
        <v>1</v>
      </c>
      <c r="G3605">
        <v>7</v>
      </c>
      <c r="H3605">
        <v>0</v>
      </c>
      <c r="I3605">
        <v>14331.72</v>
      </c>
      <c r="J3605">
        <v>7</v>
      </c>
      <c r="K3605">
        <v>0</v>
      </c>
      <c r="L3605" s="4">
        <v>0.9223329406999734</v>
      </c>
      <c r="M3605" s="4">
        <v>7.7667059300026597E-2</v>
      </c>
      <c r="N3605">
        <v>9</v>
      </c>
    </row>
    <row r="3606" spans="1:14" x14ac:dyDescent="0.35">
      <c r="A3606" s="1">
        <v>3291</v>
      </c>
      <c r="B3606">
        <v>8</v>
      </c>
      <c r="C3606">
        <v>72</v>
      </c>
      <c r="D3606">
        <v>1</v>
      </c>
      <c r="E3606">
        <v>0</v>
      </c>
      <c r="F3606">
        <v>1</v>
      </c>
      <c r="G3606">
        <v>7</v>
      </c>
      <c r="H3606">
        <v>0</v>
      </c>
      <c r="I3606">
        <v>6000</v>
      </c>
      <c r="J3606">
        <v>5</v>
      </c>
      <c r="K3606">
        <v>0</v>
      </c>
      <c r="L3606" s="4">
        <v>0.92236715681824089</v>
      </c>
      <c r="M3606" s="4">
        <v>7.7632843181759073E-2</v>
      </c>
      <c r="N3606">
        <v>9</v>
      </c>
    </row>
    <row r="3607" spans="1:14" x14ac:dyDescent="0.35">
      <c r="A3607" s="1">
        <v>614</v>
      </c>
      <c r="B3607">
        <v>4</v>
      </c>
      <c r="C3607">
        <v>55</v>
      </c>
      <c r="D3607">
        <v>1</v>
      </c>
      <c r="E3607">
        <v>0</v>
      </c>
      <c r="F3607">
        <v>0</v>
      </c>
      <c r="G3607">
        <v>4</v>
      </c>
      <c r="H3607">
        <v>2</v>
      </c>
      <c r="I3607">
        <v>0.02</v>
      </c>
      <c r="J3607">
        <v>7</v>
      </c>
      <c r="K3607">
        <v>0</v>
      </c>
      <c r="L3607" s="4">
        <v>0.92252027809146453</v>
      </c>
      <c r="M3607" s="4">
        <v>7.7479721908535512E-2</v>
      </c>
      <c r="N3607">
        <v>9</v>
      </c>
    </row>
    <row r="3608" spans="1:14" x14ac:dyDescent="0.35">
      <c r="A3608" s="1">
        <v>2127</v>
      </c>
      <c r="B3608">
        <v>9</v>
      </c>
      <c r="C3608">
        <v>75</v>
      </c>
      <c r="D3608">
        <v>2</v>
      </c>
      <c r="E3608">
        <v>0</v>
      </c>
      <c r="F3608">
        <v>3</v>
      </c>
      <c r="G3608">
        <v>3</v>
      </c>
      <c r="H3608">
        <v>0</v>
      </c>
      <c r="I3608">
        <v>6000</v>
      </c>
      <c r="J3608">
        <v>1</v>
      </c>
      <c r="K3608">
        <v>0</v>
      </c>
      <c r="L3608" s="4">
        <v>0.92259162797440553</v>
      </c>
      <c r="M3608" s="4">
        <v>7.7408372025594502E-2</v>
      </c>
      <c r="N3608">
        <v>9</v>
      </c>
    </row>
    <row r="3609" spans="1:14" x14ac:dyDescent="0.35">
      <c r="A3609" s="1">
        <v>1114</v>
      </c>
      <c r="B3609">
        <v>3</v>
      </c>
      <c r="C3609">
        <v>50</v>
      </c>
      <c r="D3609">
        <v>2</v>
      </c>
      <c r="E3609">
        <v>0</v>
      </c>
      <c r="F3609">
        <v>0</v>
      </c>
      <c r="G3609">
        <v>11</v>
      </c>
      <c r="H3609">
        <v>2</v>
      </c>
      <c r="I3609">
        <v>2000.01</v>
      </c>
      <c r="J3609">
        <v>8</v>
      </c>
      <c r="K3609">
        <v>0</v>
      </c>
      <c r="L3609" s="4">
        <v>0.92273937384959948</v>
      </c>
      <c r="M3609" s="4">
        <v>7.7260626150400469E-2</v>
      </c>
      <c r="N3609">
        <v>9</v>
      </c>
    </row>
    <row r="3610" spans="1:14" x14ac:dyDescent="0.35">
      <c r="A3610" s="1">
        <v>2259</v>
      </c>
      <c r="B3610">
        <v>7</v>
      </c>
      <c r="C3610">
        <v>60</v>
      </c>
      <c r="D3610">
        <v>5</v>
      </c>
      <c r="E3610">
        <v>1</v>
      </c>
      <c r="F3610">
        <v>0</v>
      </c>
      <c r="G3610">
        <v>2</v>
      </c>
      <c r="H3610">
        <v>3</v>
      </c>
      <c r="I3610">
        <v>0.01</v>
      </c>
      <c r="J3610">
        <v>7</v>
      </c>
      <c r="K3610">
        <v>0</v>
      </c>
      <c r="L3610" s="4">
        <v>0.92276559423502968</v>
      </c>
      <c r="M3610" s="4">
        <v>7.723440576497026E-2</v>
      </c>
      <c r="N3610">
        <v>9</v>
      </c>
    </row>
    <row r="3611" spans="1:14" x14ac:dyDescent="0.35">
      <c r="A3611" s="1">
        <v>206</v>
      </c>
      <c r="B3611">
        <v>9</v>
      </c>
      <c r="C3611">
        <v>64</v>
      </c>
      <c r="D3611">
        <v>1</v>
      </c>
      <c r="E3611">
        <v>2</v>
      </c>
      <c r="F3611">
        <v>1</v>
      </c>
      <c r="G3611">
        <v>7</v>
      </c>
      <c r="H3611">
        <v>3</v>
      </c>
      <c r="I3611">
        <v>0.01</v>
      </c>
      <c r="J3611">
        <v>5</v>
      </c>
      <c r="K3611">
        <v>0</v>
      </c>
      <c r="L3611" s="4">
        <v>0.92290584195870473</v>
      </c>
      <c r="M3611" s="4">
        <v>7.7094158041295255E-2</v>
      </c>
      <c r="N3611">
        <v>9</v>
      </c>
    </row>
    <row r="3612" spans="1:14" x14ac:dyDescent="0.35">
      <c r="A3612" s="1">
        <v>3504</v>
      </c>
      <c r="B3612">
        <v>5</v>
      </c>
      <c r="C3612">
        <v>58</v>
      </c>
      <c r="D3612">
        <v>4</v>
      </c>
      <c r="E3612">
        <v>0</v>
      </c>
      <c r="F3612">
        <v>3</v>
      </c>
      <c r="G3612">
        <v>3</v>
      </c>
      <c r="H3612">
        <v>0</v>
      </c>
      <c r="I3612">
        <v>6000</v>
      </c>
      <c r="J3612">
        <v>1</v>
      </c>
      <c r="K3612">
        <v>0</v>
      </c>
      <c r="L3612" s="4">
        <v>0.92291369261738121</v>
      </c>
      <c r="M3612" s="4">
        <v>7.7086307382618749E-2</v>
      </c>
      <c r="N3612">
        <v>9</v>
      </c>
    </row>
    <row r="3613" spans="1:14" x14ac:dyDescent="0.35">
      <c r="A3613" s="1">
        <v>663</v>
      </c>
      <c r="B3613">
        <v>6</v>
      </c>
      <c r="C3613">
        <v>54</v>
      </c>
      <c r="D3613">
        <v>0</v>
      </c>
      <c r="E3613">
        <v>2</v>
      </c>
      <c r="F3613">
        <v>3</v>
      </c>
      <c r="G3613">
        <v>3</v>
      </c>
      <c r="H3613">
        <v>0</v>
      </c>
      <c r="I3613">
        <v>6000</v>
      </c>
      <c r="J3613">
        <v>2</v>
      </c>
      <c r="K3613">
        <v>0</v>
      </c>
      <c r="L3613" s="4">
        <v>0.92291688302093622</v>
      </c>
      <c r="M3613" s="4">
        <v>7.7083116979063768E-2</v>
      </c>
      <c r="N3613">
        <v>9</v>
      </c>
    </row>
    <row r="3614" spans="1:14" x14ac:dyDescent="0.35">
      <c r="A3614" s="1">
        <v>2425</v>
      </c>
      <c r="B3614">
        <v>9</v>
      </c>
      <c r="C3614">
        <v>71</v>
      </c>
      <c r="D3614">
        <v>1</v>
      </c>
      <c r="E3614">
        <v>1</v>
      </c>
      <c r="F3614">
        <v>2</v>
      </c>
      <c r="G3614">
        <v>6</v>
      </c>
      <c r="H3614">
        <v>0</v>
      </c>
      <c r="I3614">
        <v>10600</v>
      </c>
      <c r="J3614">
        <v>4</v>
      </c>
      <c r="K3614">
        <v>0</v>
      </c>
      <c r="L3614" s="4">
        <v>0.92296609204641633</v>
      </c>
      <c r="M3614" s="4">
        <v>7.7033907953583711E-2</v>
      </c>
      <c r="N3614">
        <v>9</v>
      </c>
    </row>
    <row r="3615" spans="1:14" x14ac:dyDescent="0.35">
      <c r="A3615" s="1">
        <v>762</v>
      </c>
      <c r="B3615">
        <v>8</v>
      </c>
      <c r="C3615">
        <v>58</v>
      </c>
      <c r="D3615">
        <v>5</v>
      </c>
      <c r="E3615">
        <v>2</v>
      </c>
      <c r="F3615">
        <v>3</v>
      </c>
      <c r="G3615">
        <v>8</v>
      </c>
      <c r="H3615">
        <v>2</v>
      </c>
      <c r="I3615">
        <v>3000</v>
      </c>
      <c r="J3615">
        <v>4</v>
      </c>
      <c r="K3615">
        <v>0</v>
      </c>
      <c r="L3615" s="4">
        <v>0.92309512210281852</v>
      </c>
      <c r="M3615" s="4">
        <v>7.6904877897181423E-2</v>
      </c>
      <c r="N3615">
        <v>9</v>
      </c>
    </row>
    <row r="3616" spans="1:14" x14ac:dyDescent="0.35">
      <c r="A3616" s="1">
        <v>2640</v>
      </c>
      <c r="B3616">
        <v>8</v>
      </c>
      <c r="C3616">
        <v>69</v>
      </c>
      <c r="D3616">
        <v>5</v>
      </c>
      <c r="E3616">
        <v>0</v>
      </c>
      <c r="F3616">
        <v>0</v>
      </c>
      <c r="G3616">
        <v>11</v>
      </c>
      <c r="H3616">
        <v>2</v>
      </c>
      <c r="I3616">
        <v>2200</v>
      </c>
      <c r="J3616">
        <v>5</v>
      </c>
      <c r="K3616">
        <v>0</v>
      </c>
      <c r="L3616" s="4">
        <v>0.92324814096696439</v>
      </c>
      <c r="M3616" s="4">
        <v>7.6751859033035594E-2</v>
      </c>
      <c r="N3616">
        <v>9</v>
      </c>
    </row>
    <row r="3617" spans="1:14" x14ac:dyDescent="0.35">
      <c r="A3617" s="1">
        <v>2452</v>
      </c>
      <c r="B3617">
        <v>7</v>
      </c>
      <c r="C3617">
        <v>62</v>
      </c>
      <c r="D3617">
        <v>2</v>
      </c>
      <c r="E3617">
        <v>1</v>
      </c>
      <c r="F3617">
        <v>0</v>
      </c>
      <c r="G3617">
        <v>4</v>
      </c>
      <c r="H3617">
        <v>2</v>
      </c>
      <c r="I3617">
        <v>1500</v>
      </c>
      <c r="J3617">
        <v>5</v>
      </c>
      <c r="K3617">
        <v>0</v>
      </c>
      <c r="L3617" s="4">
        <v>0.92337349819554959</v>
      </c>
      <c r="M3617" s="4">
        <v>7.6626501804450381E-2</v>
      </c>
      <c r="N3617">
        <v>9</v>
      </c>
    </row>
    <row r="3618" spans="1:14" x14ac:dyDescent="0.35">
      <c r="A3618" s="1">
        <v>3379</v>
      </c>
      <c r="B3618">
        <v>8</v>
      </c>
      <c r="C3618">
        <v>67</v>
      </c>
      <c r="D3618">
        <v>1</v>
      </c>
      <c r="E3618">
        <v>1</v>
      </c>
      <c r="F3618">
        <v>3</v>
      </c>
      <c r="G3618">
        <v>3</v>
      </c>
      <c r="H3618">
        <v>0</v>
      </c>
      <c r="I3618">
        <v>12106</v>
      </c>
      <c r="J3618">
        <v>8</v>
      </c>
      <c r="K3618">
        <v>0</v>
      </c>
      <c r="L3618" s="4">
        <v>0.92349138482004756</v>
      </c>
      <c r="M3618" s="4">
        <v>7.6508615179952472E-2</v>
      </c>
      <c r="N3618">
        <v>9</v>
      </c>
    </row>
    <row r="3619" spans="1:14" x14ac:dyDescent="0.35">
      <c r="A3619" s="1">
        <v>1072</v>
      </c>
      <c r="B3619">
        <v>6</v>
      </c>
      <c r="C3619">
        <v>62</v>
      </c>
      <c r="D3619">
        <v>3</v>
      </c>
      <c r="E3619">
        <v>0</v>
      </c>
      <c r="F3619">
        <v>0</v>
      </c>
      <c r="G3619">
        <v>2</v>
      </c>
      <c r="H3619">
        <v>3</v>
      </c>
      <c r="I3619">
        <v>0.01</v>
      </c>
      <c r="J3619">
        <v>11</v>
      </c>
      <c r="K3619">
        <v>0</v>
      </c>
      <c r="L3619" s="4">
        <v>0.92353483236846168</v>
      </c>
      <c r="M3619" s="4">
        <v>7.6465167631538364E-2</v>
      </c>
      <c r="N3619">
        <v>9</v>
      </c>
    </row>
    <row r="3620" spans="1:14" x14ac:dyDescent="0.35">
      <c r="A3620" s="1">
        <v>20</v>
      </c>
      <c r="B3620">
        <v>7</v>
      </c>
      <c r="C3620">
        <v>65</v>
      </c>
      <c r="D3620">
        <v>4</v>
      </c>
      <c r="E3620">
        <v>0</v>
      </c>
      <c r="F3620">
        <v>1</v>
      </c>
      <c r="G3620">
        <v>12</v>
      </c>
      <c r="H3620">
        <v>2</v>
      </c>
      <c r="I3620">
        <v>180</v>
      </c>
      <c r="J3620">
        <v>12</v>
      </c>
      <c r="K3620">
        <v>0</v>
      </c>
      <c r="L3620" s="4">
        <v>0.92359412646311856</v>
      </c>
      <c r="M3620" s="4">
        <v>7.6405873536881455E-2</v>
      </c>
      <c r="N3620">
        <v>9</v>
      </c>
    </row>
    <row r="3621" spans="1:14" x14ac:dyDescent="0.35">
      <c r="A3621" s="1">
        <v>3368</v>
      </c>
      <c r="B3621">
        <v>10</v>
      </c>
      <c r="C3621">
        <v>78</v>
      </c>
      <c r="D3621">
        <v>3</v>
      </c>
      <c r="E3621">
        <v>0</v>
      </c>
      <c r="F3621">
        <v>1</v>
      </c>
      <c r="G3621">
        <v>7</v>
      </c>
      <c r="H3621">
        <v>2</v>
      </c>
      <c r="I3621">
        <v>2500</v>
      </c>
      <c r="J3621">
        <v>7</v>
      </c>
      <c r="K3621">
        <v>1</v>
      </c>
      <c r="L3621" s="4">
        <v>0.92359736287994543</v>
      </c>
      <c r="M3621" s="4">
        <v>7.6402637120054587E-2</v>
      </c>
      <c r="N3621">
        <v>9</v>
      </c>
    </row>
    <row r="3622" spans="1:14" x14ac:dyDescent="0.35">
      <c r="A3622" s="1">
        <v>2599</v>
      </c>
      <c r="B3622">
        <v>7</v>
      </c>
      <c r="C3622">
        <v>67</v>
      </c>
      <c r="D3622">
        <v>2</v>
      </c>
      <c r="E3622">
        <v>0</v>
      </c>
      <c r="F3622">
        <v>3</v>
      </c>
      <c r="G3622">
        <v>8</v>
      </c>
      <c r="H3622">
        <v>1</v>
      </c>
      <c r="I3622">
        <v>42000</v>
      </c>
      <c r="J3622">
        <v>5</v>
      </c>
      <c r="K3622">
        <v>0</v>
      </c>
      <c r="L3622" s="4">
        <v>0.92361076127587216</v>
      </c>
      <c r="M3622" s="4">
        <v>7.6389238724127825E-2</v>
      </c>
      <c r="N3622">
        <v>9</v>
      </c>
    </row>
    <row r="3623" spans="1:14" x14ac:dyDescent="0.35">
      <c r="A3623" s="1">
        <v>2162</v>
      </c>
      <c r="B3623">
        <v>6</v>
      </c>
      <c r="C3623">
        <v>51</v>
      </c>
      <c r="D3623">
        <v>2</v>
      </c>
      <c r="E3623">
        <v>2</v>
      </c>
      <c r="F3623">
        <v>3</v>
      </c>
      <c r="G3623">
        <v>3</v>
      </c>
      <c r="H3623">
        <v>3</v>
      </c>
      <c r="I3623">
        <v>0.01</v>
      </c>
      <c r="J3623">
        <v>5</v>
      </c>
      <c r="K3623">
        <v>0</v>
      </c>
      <c r="L3623" s="4">
        <v>0.92362039100193505</v>
      </c>
      <c r="M3623" s="4">
        <v>7.6379608998064938E-2</v>
      </c>
      <c r="N3623">
        <v>9</v>
      </c>
    </row>
    <row r="3624" spans="1:14" x14ac:dyDescent="0.35">
      <c r="A3624" s="1">
        <v>2053</v>
      </c>
      <c r="B3624">
        <v>6</v>
      </c>
      <c r="C3624">
        <v>52</v>
      </c>
      <c r="D3624">
        <v>5</v>
      </c>
      <c r="E3624">
        <v>2</v>
      </c>
      <c r="F3624">
        <v>0</v>
      </c>
      <c r="G3624">
        <v>2</v>
      </c>
      <c r="H3624">
        <v>2</v>
      </c>
      <c r="I3624">
        <v>840</v>
      </c>
      <c r="J3624">
        <v>5</v>
      </c>
      <c r="K3624">
        <v>0</v>
      </c>
      <c r="L3624" s="4">
        <v>0.92382842774461604</v>
      </c>
      <c r="M3624" s="4">
        <v>7.6171572255383971E-2</v>
      </c>
      <c r="N3624">
        <v>9</v>
      </c>
    </row>
    <row r="3625" spans="1:14" x14ac:dyDescent="0.35">
      <c r="A3625" s="1">
        <v>781</v>
      </c>
      <c r="B3625">
        <v>5</v>
      </c>
      <c r="C3625">
        <v>58</v>
      </c>
      <c r="D3625">
        <v>3</v>
      </c>
      <c r="E3625">
        <v>0</v>
      </c>
      <c r="F3625">
        <v>2</v>
      </c>
      <c r="G3625">
        <v>1</v>
      </c>
      <c r="H3625">
        <v>2</v>
      </c>
      <c r="I3625">
        <v>3050</v>
      </c>
      <c r="J3625">
        <v>11</v>
      </c>
      <c r="K3625">
        <v>0</v>
      </c>
      <c r="L3625" s="4">
        <v>0.92391924028641881</v>
      </c>
      <c r="M3625" s="4">
        <v>7.6080759713581192E-2</v>
      </c>
      <c r="N3625">
        <v>9</v>
      </c>
    </row>
    <row r="3626" spans="1:14" x14ac:dyDescent="0.35">
      <c r="A3626" s="1">
        <v>932</v>
      </c>
      <c r="B3626">
        <v>7</v>
      </c>
      <c r="C3626">
        <v>65</v>
      </c>
      <c r="D3626">
        <v>5</v>
      </c>
      <c r="E3626">
        <v>0</v>
      </c>
      <c r="F3626">
        <v>1</v>
      </c>
      <c r="G3626">
        <v>7</v>
      </c>
      <c r="H3626">
        <v>2</v>
      </c>
      <c r="I3626">
        <v>473.89</v>
      </c>
      <c r="J3626">
        <v>7</v>
      </c>
      <c r="K3626">
        <v>0</v>
      </c>
      <c r="L3626" s="4">
        <v>0.92393265526485258</v>
      </c>
      <c r="M3626" s="4">
        <v>7.6067344735147424E-2</v>
      </c>
      <c r="N3626">
        <v>9</v>
      </c>
    </row>
    <row r="3627" spans="1:14" x14ac:dyDescent="0.35">
      <c r="A3627" s="1">
        <v>4394</v>
      </c>
      <c r="B3627">
        <v>7</v>
      </c>
      <c r="C3627">
        <v>69</v>
      </c>
      <c r="D3627">
        <v>2</v>
      </c>
      <c r="E3627">
        <v>0</v>
      </c>
      <c r="F3627">
        <v>0</v>
      </c>
      <c r="G3627">
        <v>2</v>
      </c>
      <c r="H3627">
        <v>0</v>
      </c>
      <c r="I3627">
        <v>13025</v>
      </c>
      <c r="J3627">
        <v>4</v>
      </c>
      <c r="K3627">
        <v>0</v>
      </c>
      <c r="L3627" s="4">
        <v>0.92403973547014695</v>
      </c>
      <c r="M3627" s="4">
        <v>7.5960264529853092E-2</v>
      </c>
      <c r="N3627">
        <v>9</v>
      </c>
    </row>
    <row r="3628" spans="1:14" x14ac:dyDescent="0.35">
      <c r="A3628" s="1">
        <v>4359</v>
      </c>
      <c r="B3628">
        <v>8</v>
      </c>
      <c r="C3628">
        <v>71</v>
      </c>
      <c r="D3628">
        <v>4</v>
      </c>
      <c r="E3628">
        <v>0</v>
      </c>
      <c r="F3628">
        <v>1</v>
      </c>
      <c r="G3628">
        <v>7</v>
      </c>
      <c r="H3628">
        <v>0</v>
      </c>
      <c r="I3628">
        <v>6000</v>
      </c>
      <c r="J3628">
        <v>1</v>
      </c>
      <c r="K3628">
        <v>0</v>
      </c>
      <c r="L3628" s="4">
        <v>0.92405953629905213</v>
      </c>
      <c r="M3628" s="4">
        <v>7.5940463700947883E-2</v>
      </c>
      <c r="N3628">
        <v>9</v>
      </c>
    </row>
    <row r="3629" spans="1:14" x14ac:dyDescent="0.35">
      <c r="A3629" s="1">
        <v>3502</v>
      </c>
      <c r="B3629">
        <v>4</v>
      </c>
      <c r="C3629">
        <v>48</v>
      </c>
      <c r="D3629">
        <v>2</v>
      </c>
      <c r="E3629">
        <v>1</v>
      </c>
      <c r="F3629">
        <v>3</v>
      </c>
      <c r="G3629">
        <v>3</v>
      </c>
      <c r="H3629">
        <v>3</v>
      </c>
      <c r="I3629">
        <v>0.01</v>
      </c>
      <c r="J3629">
        <v>8</v>
      </c>
      <c r="K3629">
        <v>0</v>
      </c>
      <c r="L3629" s="4">
        <v>0.92415349316756834</v>
      </c>
      <c r="M3629" s="4">
        <v>7.5846506832431618E-2</v>
      </c>
      <c r="N3629">
        <v>9</v>
      </c>
    </row>
    <row r="3630" spans="1:14" x14ac:dyDescent="0.35">
      <c r="A3630" s="1">
        <v>2819</v>
      </c>
      <c r="B3630">
        <v>5</v>
      </c>
      <c r="C3630">
        <v>61</v>
      </c>
      <c r="D3630">
        <v>1</v>
      </c>
      <c r="E3630">
        <v>0</v>
      </c>
      <c r="F3630">
        <v>0</v>
      </c>
      <c r="G3630">
        <v>4</v>
      </c>
      <c r="H3630">
        <v>0</v>
      </c>
      <c r="I3630">
        <v>6000</v>
      </c>
      <c r="J3630">
        <v>4</v>
      </c>
      <c r="K3630">
        <v>0</v>
      </c>
      <c r="L3630" s="4">
        <v>0.92418272226205245</v>
      </c>
      <c r="M3630" s="4">
        <v>7.581727773794758E-2</v>
      </c>
      <c r="N3630">
        <v>9</v>
      </c>
    </row>
    <row r="3631" spans="1:14" x14ac:dyDescent="0.35">
      <c r="A3631" s="1">
        <v>4132</v>
      </c>
      <c r="B3631">
        <v>5</v>
      </c>
      <c r="C3631">
        <v>54</v>
      </c>
      <c r="D3631">
        <v>2</v>
      </c>
      <c r="E3631">
        <v>1</v>
      </c>
      <c r="F3631">
        <v>3</v>
      </c>
      <c r="G3631">
        <v>8</v>
      </c>
      <c r="H3631">
        <v>1</v>
      </c>
      <c r="I3631">
        <v>40000</v>
      </c>
      <c r="J3631">
        <v>1</v>
      </c>
      <c r="K3631">
        <v>0</v>
      </c>
      <c r="L3631" s="4">
        <v>0.92424426662684322</v>
      </c>
      <c r="M3631" s="4">
        <v>7.5755733373156817E-2</v>
      </c>
      <c r="N3631">
        <v>9</v>
      </c>
    </row>
    <row r="3632" spans="1:14" x14ac:dyDescent="0.35">
      <c r="A3632" s="1">
        <v>3610</v>
      </c>
      <c r="B3632">
        <v>8</v>
      </c>
      <c r="C3632">
        <v>71</v>
      </c>
      <c r="D3632">
        <v>2</v>
      </c>
      <c r="E3632">
        <v>0</v>
      </c>
      <c r="F3632">
        <v>3</v>
      </c>
      <c r="G3632">
        <v>8</v>
      </c>
      <c r="H3632">
        <v>0</v>
      </c>
      <c r="I3632">
        <v>6000</v>
      </c>
      <c r="J3632">
        <v>6</v>
      </c>
      <c r="K3632">
        <v>0</v>
      </c>
      <c r="L3632" s="4">
        <v>0.92429138826856572</v>
      </c>
      <c r="M3632" s="4">
        <v>7.5708611731434297E-2</v>
      </c>
      <c r="N3632">
        <v>9</v>
      </c>
    </row>
    <row r="3633" spans="1:14" x14ac:dyDescent="0.35">
      <c r="A3633" s="1">
        <v>4391</v>
      </c>
      <c r="B3633">
        <v>10</v>
      </c>
      <c r="C3633">
        <v>78</v>
      </c>
      <c r="D3633">
        <v>2</v>
      </c>
      <c r="E3633">
        <v>0</v>
      </c>
      <c r="F3633">
        <v>0</v>
      </c>
      <c r="G3633">
        <v>11</v>
      </c>
      <c r="H3633">
        <v>3</v>
      </c>
      <c r="I3633">
        <v>0.01</v>
      </c>
      <c r="J3633">
        <v>9</v>
      </c>
      <c r="K3633">
        <v>1</v>
      </c>
      <c r="L3633" s="4">
        <v>0.92448873268569132</v>
      </c>
      <c r="M3633" s="4">
        <v>7.5511267314308669E-2</v>
      </c>
      <c r="N3633">
        <v>9</v>
      </c>
    </row>
    <row r="3634" spans="1:14" x14ac:dyDescent="0.35">
      <c r="A3634" s="1">
        <v>1007</v>
      </c>
      <c r="B3634">
        <v>9</v>
      </c>
      <c r="C3634">
        <v>76</v>
      </c>
      <c r="D3634">
        <v>1</v>
      </c>
      <c r="E3634">
        <v>0</v>
      </c>
      <c r="F3634">
        <v>3</v>
      </c>
      <c r="G3634">
        <v>3</v>
      </c>
      <c r="H3634">
        <v>0</v>
      </c>
      <c r="I3634">
        <v>6053</v>
      </c>
      <c r="J3634">
        <v>5</v>
      </c>
      <c r="K3634">
        <v>1</v>
      </c>
      <c r="L3634" s="4">
        <v>0.92461277854755064</v>
      </c>
      <c r="M3634" s="4">
        <v>7.5387221452449318E-2</v>
      </c>
      <c r="N3634">
        <v>9</v>
      </c>
    </row>
    <row r="3635" spans="1:14" x14ac:dyDescent="0.35">
      <c r="A3635" s="1">
        <v>256</v>
      </c>
      <c r="B3635">
        <v>2</v>
      </c>
      <c r="C3635">
        <v>45</v>
      </c>
      <c r="D3635">
        <v>3</v>
      </c>
      <c r="E3635">
        <v>0</v>
      </c>
      <c r="F3635">
        <v>1</v>
      </c>
      <c r="G3635">
        <v>7</v>
      </c>
      <c r="H3635">
        <v>3</v>
      </c>
      <c r="I3635">
        <v>0.01</v>
      </c>
      <c r="J3635">
        <v>5</v>
      </c>
      <c r="K3635">
        <v>0</v>
      </c>
      <c r="L3635" s="4">
        <v>0.92462195434634908</v>
      </c>
      <c r="M3635" s="4">
        <v>7.537804565365093E-2</v>
      </c>
      <c r="N3635">
        <v>9</v>
      </c>
    </row>
    <row r="3636" spans="1:14" x14ac:dyDescent="0.35">
      <c r="A3636" s="1">
        <v>1867</v>
      </c>
      <c r="B3636">
        <v>8</v>
      </c>
      <c r="C3636">
        <v>71</v>
      </c>
      <c r="D3636">
        <v>3</v>
      </c>
      <c r="E3636">
        <v>0</v>
      </c>
      <c r="F3636">
        <v>3</v>
      </c>
      <c r="G3636">
        <v>3</v>
      </c>
      <c r="H3636">
        <v>0</v>
      </c>
      <c r="I3636">
        <v>6000</v>
      </c>
      <c r="J3636">
        <v>1</v>
      </c>
      <c r="K3636">
        <v>0</v>
      </c>
      <c r="L3636" s="4">
        <v>0.92466007425973562</v>
      </c>
      <c r="M3636" s="4">
        <v>7.5339925740264352E-2</v>
      </c>
      <c r="N3636">
        <v>9</v>
      </c>
    </row>
    <row r="3637" spans="1:14" x14ac:dyDescent="0.35">
      <c r="A3637" s="1">
        <v>25</v>
      </c>
      <c r="B3637">
        <v>7</v>
      </c>
      <c r="C3637">
        <v>62</v>
      </c>
      <c r="D3637">
        <v>1</v>
      </c>
      <c r="E3637">
        <v>1</v>
      </c>
      <c r="F3637">
        <v>0</v>
      </c>
      <c r="G3637">
        <v>4</v>
      </c>
      <c r="H3637">
        <v>3</v>
      </c>
      <c r="I3637">
        <v>0.01</v>
      </c>
      <c r="J3637">
        <v>5</v>
      </c>
      <c r="K3637">
        <v>0</v>
      </c>
      <c r="L3637" s="4">
        <v>0.92478541444535256</v>
      </c>
      <c r="M3637" s="4">
        <v>7.5214585554647467E-2</v>
      </c>
      <c r="N3637">
        <v>9</v>
      </c>
    </row>
    <row r="3638" spans="1:14" x14ac:dyDescent="0.35">
      <c r="A3638" s="1">
        <v>2677</v>
      </c>
      <c r="B3638">
        <v>5</v>
      </c>
      <c r="C3638">
        <v>58</v>
      </c>
      <c r="D3638">
        <v>0</v>
      </c>
      <c r="E3638">
        <v>0</v>
      </c>
      <c r="F3638">
        <v>3</v>
      </c>
      <c r="G3638">
        <v>3</v>
      </c>
      <c r="H3638">
        <v>3</v>
      </c>
      <c r="I3638">
        <v>0.01</v>
      </c>
      <c r="J3638">
        <v>5</v>
      </c>
      <c r="K3638">
        <v>0</v>
      </c>
      <c r="L3638" s="4">
        <v>0.92511479287674847</v>
      </c>
      <c r="M3638" s="4">
        <v>7.4885207123251502E-2</v>
      </c>
      <c r="N3638">
        <v>9</v>
      </c>
    </row>
    <row r="3639" spans="1:14" x14ac:dyDescent="0.35">
      <c r="A3639" s="1">
        <v>3922</v>
      </c>
      <c r="B3639">
        <v>8</v>
      </c>
      <c r="C3639">
        <v>71</v>
      </c>
      <c r="D3639">
        <v>2</v>
      </c>
      <c r="E3639">
        <v>0</v>
      </c>
      <c r="F3639">
        <v>0</v>
      </c>
      <c r="G3639">
        <v>2</v>
      </c>
      <c r="H3639">
        <v>3</v>
      </c>
      <c r="I3639">
        <v>0.01</v>
      </c>
      <c r="J3639">
        <v>15</v>
      </c>
      <c r="K3639">
        <v>0</v>
      </c>
      <c r="L3639" s="4">
        <v>0.92512166171611609</v>
      </c>
      <c r="M3639" s="4">
        <v>7.4878338283883919E-2</v>
      </c>
      <c r="N3639">
        <v>9</v>
      </c>
    </row>
    <row r="3640" spans="1:14" x14ac:dyDescent="0.35">
      <c r="A3640" s="1">
        <v>3394</v>
      </c>
      <c r="B3640">
        <v>6</v>
      </c>
      <c r="C3640">
        <v>59</v>
      </c>
      <c r="D3640">
        <v>3</v>
      </c>
      <c r="E3640">
        <v>1</v>
      </c>
      <c r="F3640">
        <v>1</v>
      </c>
      <c r="G3640">
        <v>7</v>
      </c>
      <c r="H3640">
        <v>0</v>
      </c>
      <c r="I3640">
        <v>17000</v>
      </c>
      <c r="J3640">
        <v>2</v>
      </c>
      <c r="K3640">
        <v>0</v>
      </c>
      <c r="L3640" s="4">
        <v>0.92514100491577911</v>
      </c>
      <c r="M3640" s="4">
        <v>7.4858995084220947E-2</v>
      </c>
      <c r="N3640">
        <v>9</v>
      </c>
    </row>
    <row r="3641" spans="1:14" x14ac:dyDescent="0.35">
      <c r="A3641" s="1">
        <v>2712</v>
      </c>
      <c r="B3641">
        <v>6</v>
      </c>
      <c r="C3641">
        <v>59</v>
      </c>
      <c r="D3641">
        <v>1</v>
      </c>
      <c r="E3641">
        <v>1</v>
      </c>
      <c r="F3641">
        <v>3</v>
      </c>
      <c r="G3641">
        <v>3</v>
      </c>
      <c r="H3641">
        <v>0</v>
      </c>
      <c r="I3641">
        <v>6000</v>
      </c>
      <c r="J3641">
        <v>2</v>
      </c>
      <c r="K3641">
        <v>0</v>
      </c>
      <c r="L3641" s="4">
        <v>0.92514171964666259</v>
      </c>
      <c r="M3641" s="4">
        <v>7.4858280353337442E-2</v>
      </c>
      <c r="N3641">
        <v>9</v>
      </c>
    </row>
    <row r="3642" spans="1:14" x14ac:dyDescent="0.35">
      <c r="A3642" s="1">
        <v>1905</v>
      </c>
      <c r="B3642">
        <v>5</v>
      </c>
      <c r="C3642">
        <v>51</v>
      </c>
      <c r="D3642">
        <v>4</v>
      </c>
      <c r="E3642">
        <v>1</v>
      </c>
      <c r="F3642">
        <v>3</v>
      </c>
      <c r="G3642">
        <v>8</v>
      </c>
      <c r="H3642">
        <v>3</v>
      </c>
      <c r="I3642">
        <v>0.01</v>
      </c>
      <c r="J3642">
        <v>10</v>
      </c>
      <c r="K3642">
        <v>0</v>
      </c>
      <c r="L3642" s="4">
        <v>0.92514885742442232</v>
      </c>
      <c r="M3642" s="4">
        <v>7.4851142575577692E-2</v>
      </c>
      <c r="N3642">
        <v>9</v>
      </c>
    </row>
    <row r="3643" spans="1:14" x14ac:dyDescent="0.35">
      <c r="A3643" s="1">
        <v>3319</v>
      </c>
      <c r="B3643">
        <v>8</v>
      </c>
      <c r="C3643">
        <v>59</v>
      </c>
      <c r="D3643">
        <v>4</v>
      </c>
      <c r="E3643">
        <v>2</v>
      </c>
      <c r="F3643">
        <v>3</v>
      </c>
      <c r="G3643">
        <v>8</v>
      </c>
      <c r="H3643">
        <v>2</v>
      </c>
      <c r="I3643">
        <v>5000</v>
      </c>
      <c r="J3643">
        <v>5</v>
      </c>
      <c r="K3643">
        <v>0</v>
      </c>
      <c r="L3643" s="4">
        <v>0.92515393237706445</v>
      </c>
      <c r="M3643" s="4">
        <v>7.4846067622935594E-2</v>
      </c>
      <c r="N3643">
        <v>9</v>
      </c>
    </row>
    <row r="3644" spans="1:14" x14ac:dyDescent="0.35">
      <c r="A3644" s="1">
        <v>3719</v>
      </c>
      <c r="B3644">
        <v>7</v>
      </c>
      <c r="C3644">
        <v>68</v>
      </c>
      <c r="D3644">
        <v>4</v>
      </c>
      <c r="E3644">
        <v>0</v>
      </c>
      <c r="F3644">
        <v>0</v>
      </c>
      <c r="G3644">
        <v>4</v>
      </c>
      <c r="H3644">
        <v>0</v>
      </c>
      <c r="I3644">
        <v>6000</v>
      </c>
      <c r="J3644">
        <v>1</v>
      </c>
      <c r="K3644">
        <v>1</v>
      </c>
      <c r="L3644" s="4">
        <v>0.92533394443887218</v>
      </c>
      <c r="M3644" s="4">
        <v>7.4666055561127806E-2</v>
      </c>
      <c r="N3644">
        <v>9</v>
      </c>
    </row>
    <row r="3645" spans="1:14" x14ac:dyDescent="0.35">
      <c r="A3645" s="1">
        <v>2716</v>
      </c>
      <c r="B3645">
        <v>9</v>
      </c>
      <c r="C3645">
        <v>74</v>
      </c>
      <c r="D3645">
        <v>2</v>
      </c>
      <c r="E3645">
        <v>0</v>
      </c>
      <c r="F3645">
        <v>3</v>
      </c>
      <c r="G3645">
        <v>8</v>
      </c>
      <c r="H3645">
        <v>2</v>
      </c>
      <c r="I3645">
        <v>2000</v>
      </c>
      <c r="J3645">
        <v>16</v>
      </c>
      <c r="K3645">
        <v>0</v>
      </c>
      <c r="L3645" s="4">
        <v>0.92557045065473476</v>
      </c>
      <c r="M3645" s="4">
        <v>7.4429549345265217E-2</v>
      </c>
      <c r="N3645">
        <v>9</v>
      </c>
    </row>
    <row r="3646" spans="1:14" x14ac:dyDescent="0.35">
      <c r="A3646" s="1">
        <v>670</v>
      </c>
      <c r="B3646">
        <v>4</v>
      </c>
      <c r="C3646">
        <v>51</v>
      </c>
      <c r="D3646">
        <v>4</v>
      </c>
      <c r="E3646">
        <v>1</v>
      </c>
      <c r="F3646">
        <v>0</v>
      </c>
      <c r="G3646">
        <v>4</v>
      </c>
      <c r="H3646">
        <v>0</v>
      </c>
      <c r="I3646">
        <v>6000</v>
      </c>
      <c r="J3646">
        <v>1</v>
      </c>
      <c r="K3646">
        <v>0</v>
      </c>
      <c r="L3646" s="4">
        <v>0.92558727702531529</v>
      </c>
      <c r="M3646" s="4">
        <v>7.4412722974684764E-2</v>
      </c>
      <c r="N3646">
        <v>9</v>
      </c>
    </row>
    <row r="3647" spans="1:14" x14ac:dyDescent="0.35">
      <c r="A3647" s="1">
        <v>82</v>
      </c>
      <c r="B3647">
        <v>7</v>
      </c>
      <c r="C3647">
        <v>56</v>
      </c>
      <c r="D3647">
        <v>4</v>
      </c>
      <c r="E3647">
        <v>2</v>
      </c>
      <c r="F3647">
        <v>0</v>
      </c>
      <c r="G3647">
        <v>4</v>
      </c>
      <c r="H3647">
        <v>3</v>
      </c>
      <c r="I3647">
        <v>0.01</v>
      </c>
      <c r="J3647">
        <v>5</v>
      </c>
      <c r="K3647">
        <v>0</v>
      </c>
      <c r="L3647" s="4">
        <v>0.92570813469634072</v>
      </c>
      <c r="M3647" s="4">
        <v>7.4291865303659305E-2</v>
      </c>
      <c r="N3647">
        <v>9</v>
      </c>
    </row>
    <row r="3648" spans="1:14" x14ac:dyDescent="0.35">
      <c r="A3648" s="1">
        <v>1603</v>
      </c>
      <c r="B3648">
        <v>5</v>
      </c>
      <c r="C3648">
        <v>57</v>
      </c>
      <c r="D3648">
        <v>3</v>
      </c>
      <c r="E3648">
        <v>0</v>
      </c>
      <c r="F3648">
        <v>1</v>
      </c>
      <c r="G3648">
        <v>12</v>
      </c>
      <c r="H3648">
        <v>3</v>
      </c>
      <c r="I3648">
        <v>0.01</v>
      </c>
      <c r="J3648">
        <v>7</v>
      </c>
      <c r="K3648">
        <v>0</v>
      </c>
      <c r="L3648" s="4">
        <v>0.92571661336594324</v>
      </c>
      <c r="M3648" s="4">
        <v>7.4283386634056786E-2</v>
      </c>
      <c r="N3648">
        <v>9</v>
      </c>
    </row>
    <row r="3649" spans="1:14" x14ac:dyDescent="0.35">
      <c r="A3649" s="1">
        <v>2621</v>
      </c>
      <c r="B3649">
        <v>6</v>
      </c>
      <c r="C3649">
        <v>53</v>
      </c>
      <c r="D3649">
        <v>2</v>
      </c>
      <c r="E3649">
        <v>2</v>
      </c>
      <c r="F3649">
        <v>0</v>
      </c>
      <c r="G3649">
        <v>11</v>
      </c>
      <c r="H3649">
        <v>2</v>
      </c>
      <c r="I3649">
        <v>500</v>
      </c>
      <c r="J3649">
        <v>8</v>
      </c>
      <c r="K3649">
        <v>0</v>
      </c>
      <c r="L3649" s="4">
        <v>0.92573181800131854</v>
      </c>
      <c r="M3649" s="4">
        <v>7.4268181998681487E-2</v>
      </c>
      <c r="N3649">
        <v>9</v>
      </c>
    </row>
    <row r="3650" spans="1:14" x14ac:dyDescent="0.35">
      <c r="A3650" s="1">
        <v>290</v>
      </c>
      <c r="B3650">
        <v>8</v>
      </c>
      <c r="C3650">
        <v>66</v>
      </c>
      <c r="D3650">
        <v>4</v>
      </c>
      <c r="E3650">
        <v>1</v>
      </c>
      <c r="F3650">
        <v>0</v>
      </c>
      <c r="G3650">
        <v>2</v>
      </c>
      <c r="H3650">
        <v>2</v>
      </c>
      <c r="I3650">
        <v>1200</v>
      </c>
      <c r="J3650">
        <v>9</v>
      </c>
      <c r="K3650">
        <v>0</v>
      </c>
      <c r="L3650" s="4">
        <v>0.92574118752877399</v>
      </c>
      <c r="M3650" s="4">
        <v>7.4258812471225982E-2</v>
      </c>
      <c r="N3650">
        <v>9</v>
      </c>
    </row>
    <row r="3651" spans="1:14" x14ac:dyDescent="0.35">
      <c r="A3651" s="1">
        <v>2290</v>
      </c>
      <c r="B3651">
        <v>10</v>
      </c>
      <c r="C3651">
        <v>73</v>
      </c>
      <c r="D3651">
        <v>3</v>
      </c>
      <c r="E3651">
        <v>1</v>
      </c>
      <c r="F3651">
        <v>3</v>
      </c>
      <c r="G3651">
        <v>3</v>
      </c>
      <c r="H3651">
        <v>2</v>
      </c>
      <c r="I3651">
        <v>2500</v>
      </c>
      <c r="J3651">
        <v>5</v>
      </c>
      <c r="K3651">
        <v>0</v>
      </c>
      <c r="L3651" s="4">
        <v>0.92582979486204164</v>
      </c>
      <c r="M3651" s="4">
        <v>7.4170205137958328E-2</v>
      </c>
      <c r="N3651">
        <v>9</v>
      </c>
    </row>
    <row r="3652" spans="1:14" x14ac:dyDescent="0.35">
      <c r="A3652" s="1">
        <v>3468</v>
      </c>
      <c r="B3652">
        <v>6</v>
      </c>
      <c r="C3652">
        <v>57</v>
      </c>
      <c r="D3652">
        <v>2</v>
      </c>
      <c r="E3652">
        <v>1</v>
      </c>
      <c r="F3652">
        <v>1</v>
      </c>
      <c r="G3652">
        <v>7</v>
      </c>
      <c r="H3652">
        <v>3</v>
      </c>
      <c r="I3652">
        <v>0.01</v>
      </c>
      <c r="J3652">
        <v>4</v>
      </c>
      <c r="K3652">
        <v>0</v>
      </c>
      <c r="L3652" s="4">
        <v>0.92584472239029847</v>
      </c>
      <c r="M3652" s="4">
        <v>7.4155277609701573E-2</v>
      </c>
      <c r="N3652">
        <v>9</v>
      </c>
    </row>
    <row r="3653" spans="1:14" x14ac:dyDescent="0.35">
      <c r="A3653" s="1">
        <v>1523</v>
      </c>
      <c r="B3653">
        <v>5</v>
      </c>
      <c r="C3653">
        <v>57</v>
      </c>
      <c r="D3653">
        <v>3</v>
      </c>
      <c r="E3653">
        <v>0</v>
      </c>
      <c r="F3653">
        <v>3</v>
      </c>
      <c r="G3653">
        <v>3</v>
      </c>
      <c r="H3653">
        <v>3</v>
      </c>
      <c r="I3653">
        <v>0.01</v>
      </c>
      <c r="J3653">
        <v>11</v>
      </c>
      <c r="K3653">
        <v>0</v>
      </c>
      <c r="L3653" s="4">
        <v>0.92587489932204026</v>
      </c>
      <c r="M3653" s="4">
        <v>7.4125100677959799E-2</v>
      </c>
      <c r="N3653">
        <v>9</v>
      </c>
    </row>
    <row r="3654" spans="1:14" x14ac:dyDescent="0.35">
      <c r="A3654" s="1">
        <v>1661</v>
      </c>
      <c r="B3654">
        <v>8</v>
      </c>
      <c r="C3654">
        <v>72</v>
      </c>
      <c r="D3654">
        <v>1</v>
      </c>
      <c r="E3654">
        <v>0</v>
      </c>
      <c r="F3654">
        <v>0</v>
      </c>
      <c r="G3654">
        <v>4</v>
      </c>
      <c r="H3654">
        <v>2</v>
      </c>
      <c r="I3654">
        <v>2400</v>
      </c>
      <c r="J3654">
        <v>4</v>
      </c>
      <c r="K3654">
        <v>0</v>
      </c>
      <c r="L3654" s="4">
        <v>0.92588746268472255</v>
      </c>
      <c r="M3654" s="4">
        <v>7.4112537315277408E-2</v>
      </c>
      <c r="N3654">
        <v>9</v>
      </c>
    </row>
    <row r="3655" spans="1:14" x14ac:dyDescent="0.35">
      <c r="A3655" s="1">
        <v>4148</v>
      </c>
      <c r="B3655">
        <v>6</v>
      </c>
      <c r="C3655">
        <v>63</v>
      </c>
      <c r="D3655">
        <v>0</v>
      </c>
      <c r="E3655">
        <v>0</v>
      </c>
      <c r="F3655">
        <v>0</v>
      </c>
      <c r="G3655">
        <v>11</v>
      </c>
      <c r="H3655">
        <v>3</v>
      </c>
      <c r="I3655">
        <v>0.01</v>
      </c>
      <c r="J3655">
        <v>7</v>
      </c>
      <c r="K3655">
        <v>0</v>
      </c>
      <c r="L3655" s="4">
        <v>0.92602573175538772</v>
      </c>
      <c r="M3655" s="4">
        <v>7.3974268244612229E-2</v>
      </c>
      <c r="N3655">
        <v>9</v>
      </c>
    </row>
    <row r="3656" spans="1:14" x14ac:dyDescent="0.35">
      <c r="A3656" s="1">
        <v>2905</v>
      </c>
      <c r="B3656">
        <v>6</v>
      </c>
      <c r="C3656">
        <v>57</v>
      </c>
      <c r="D3656">
        <v>3</v>
      </c>
      <c r="E3656">
        <v>1</v>
      </c>
      <c r="F3656">
        <v>1</v>
      </c>
      <c r="G3656">
        <v>12</v>
      </c>
      <c r="H3656">
        <v>2</v>
      </c>
      <c r="I3656">
        <v>1200</v>
      </c>
      <c r="J3656">
        <v>8</v>
      </c>
      <c r="K3656">
        <v>0</v>
      </c>
      <c r="L3656" s="4">
        <v>0.92602746045323037</v>
      </c>
      <c r="M3656" s="4">
        <v>7.3972539546769661E-2</v>
      </c>
      <c r="N3656">
        <v>9</v>
      </c>
    </row>
    <row r="3657" spans="1:14" x14ac:dyDescent="0.35">
      <c r="A3657" s="1">
        <v>1712</v>
      </c>
      <c r="B3657">
        <v>10</v>
      </c>
      <c r="C3657">
        <v>69</v>
      </c>
      <c r="D3657">
        <v>2</v>
      </c>
      <c r="E3657">
        <v>2</v>
      </c>
      <c r="F3657">
        <v>2</v>
      </c>
      <c r="G3657">
        <v>6</v>
      </c>
      <c r="H3657">
        <v>2</v>
      </c>
      <c r="I3657">
        <v>2000</v>
      </c>
      <c r="J3657">
        <v>16</v>
      </c>
      <c r="K3657">
        <v>0</v>
      </c>
      <c r="L3657" s="4">
        <v>0.92604868218040071</v>
      </c>
      <c r="M3657" s="4">
        <v>7.3951317819599266E-2</v>
      </c>
      <c r="N3657">
        <v>9</v>
      </c>
    </row>
    <row r="3658" spans="1:14" x14ac:dyDescent="0.35">
      <c r="A3658" s="1">
        <v>3220</v>
      </c>
      <c r="B3658">
        <v>7</v>
      </c>
      <c r="C3658">
        <v>64</v>
      </c>
      <c r="D3658">
        <v>5</v>
      </c>
      <c r="E3658">
        <v>0</v>
      </c>
      <c r="F3658">
        <v>4</v>
      </c>
      <c r="G3658">
        <v>9</v>
      </c>
      <c r="H3658">
        <v>2</v>
      </c>
      <c r="I3658">
        <v>3000</v>
      </c>
      <c r="J3658">
        <v>8</v>
      </c>
      <c r="K3658">
        <v>0</v>
      </c>
      <c r="L3658" s="4">
        <v>0.92606405586467877</v>
      </c>
      <c r="M3658" s="4">
        <v>7.3935944135321202E-2</v>
      </c>
      <c r="N3658">
        <v>9</v>
      </c>
    </row>
    <row r="3659" spans="1:14" x14ac:dyDescent="0.35">
      <c r="A3659" s="1">
        <v>1050</v>
      </c>
      <c r="B3659">
        <v>6</v>
      </c>
      <c r="C3659">
        <v>63</v>
      </c>
      <c r="D3659">
        <v>2</v>
      </c>
      <c r="E3659">
        <v>0</v>
      </c>
      <c r="F3659">
        <v>0</v>
      </c>
      <c r="G3659">
        <v>2</v>
      </c>
      <c r="H3659">
        <v>3</v>
      </c>
      <c r="I3659">
        <v>0.01</v>
      </c>
      <c r="J3659">
        <v>8</v>
      </c>
      <c r="K3659">
        <v>0</v>
      </c>
      <c r="L3659" s="4">
        <v>0.926156792480894</v>
      </c>
      <c r="M3659" s="4">
        <v>7.3843207519106044E-2</v>
      </c>
      <c r="N3659">
        <v>9</v>
      </c>
    </row>
    <row r="3660" spans="1:14" x14ac:dyDescent="0.35">
      <c r="A3660" s="1">
        <v>3479</v>
      </c>
      <c r="B3660">
        <v>10</v>
      </c>
      <c r="C3660">
        <v>79</v>
      </c>
      <c r="D3660">
        <v>5</v>
      </c>
      <c r="E3660">
        <v>0</v>
      </c>
      <c r="F3660">
        <v>3</v>
      </c>
      <c r="G3660">
        <v>3</v>
      </c>
      <c r="H3660">
        <v>0</v>
      </c>
      <c r="I3660">
        <v>15600</v>
      </c>
      <c r="J3660">
        <v>8</v>
      </c>
      <c r="K3660">
        <v>0</v>
      </c>
      <c r="L3660" s="4">
        <v>0.926185139808685</v>
      </c>
      <c r="M3660" s="4">
        <v>7.3814860191315043E-2</v>
      </c>
      <c r="N3660">
        <v>9</v>
      </c>
    </row>
    <row r="3661" spans="1:14" x14ac:dyDescent="0.35">
      <c r="A3661" s="1">
        <v>2215</v>
      </c>
      <c r="B3661">
        <v>6</v>
      </c>
      <c r="C3661">
        <v>64</v>
      </c>
      <c r="D3661">
        <v>3</v>
      </c>
      <c r="E3661">
        <v>0</v>
      </c>
      <c r="F3661">
        <v>3</v>
      </c>
      <c r="G3661">
        <v>3</v>
      </c>
      <c r="H3661">
        <v>0</v>
      </c>
      <c r="I3661">
        <v>12000</v>
      </c>
      <c r="J3661">
        <v>27</v>
      </c>
      <c r="K3661">
        <v>0</v>
      </c>
      <c r="L3661" s="4">
        <v>0.92625620508794881</v>
      </c>
      <c r="M3661" s="4">
        <v>7.3743794912051158E-2</v>
      </c>
      <c r="N3661">
        <v>9</v>
      </c>
    </row>
    <row r="3662" spans="1:14" x14ac:dyDescent="0.35">
      <c r="A3662" s="1">
        <v>3239</v>
      </c>
      <c r="B3662">
        <v>8</v>
      </c>
      <c r="C3662">
        <v>71</v>
      </c>
      <c r="D3662">
        <v>2</v>
      </c>
      <c r="E3662">
        <v>0</v>
      </c>
      <c r="F3662">
        <v>0</v>
      </c>
      <c r="G3662">
        <v>11</v>
      </c>
      <c r="H3662">
        <v>2</v>
      </c>
      <c r="I3662">
        <v>1500</v>
      </c>
      <c r="J3662">
        <v>4</v>
      </c>
      <c r="K3662">
        <v>0</v>
      </c>
      <c r="L3662" s="4">
        <v>0.9262984838875653</v>
      </c>
      <c r="M3662" s="4">
        <v>7.3701516112434681E-2</v>
      </c>
      <c r="N3662">
        <v>9</v>
      </c>
    </row>
    <row r="3663" spans="1:14" x14ac:dyDescent="0.35">
      <c r="A3663" s="1">
        <v>185</v>
      </c>
      <c r="B3663">
        <v>7</v>
      </c>
      <c r="C3663">
        <v>67</v>
      </c>
      <c r="D3663">
        <v>2</v>
      </c>
      <c r="E3663">
        <v>0</v>
      </c>
      <c r="F3663">
        <v>1</v>
      </c>
      <c r="G3663">
        <v>7</v>
      </c>
      <c r="H3663">
        <v>2</v>
      </c>
      <c r="I3663">
        <v>2000</v>
      </c>
      <c r="J3663">
        <v>8</v>
      </c>
      <c r="K3663">
        <v>0</v>
      </c>
      <c r="L3663" s="4">
        <v>0.92653998217233824</v>
      </c>
      <c r="M3663" s="4">
        <v>7.3460017827661761E-2</v>
      </c>
      <c r="N3663">
        <v>9</v>
      </c>
    </row>
    <row r="3664" spans="1:14" x14ac:dyDescent="0.35">
      <c r="A3664" s="1">
        <v>428</v>
      </c>
      <c r="B3664">
        <v>7</v>
      </c>
      <c r="C3664">
        <v>62</v>
      </c>
      <c r="D3664">
        <v>1</v>
      </c>
      <c r="E3664">
        <v>1</v>
      </c>
      <c r="F3664">
        <v>3</v>
      </c>
      <c r="G3664">
        <v>3</v>
      </c>
      <c r="H3664">
        <v>2</v>
      </c>
      <c r="I3664">
        <v>508.87</v>
      </c>
      <c r="J3664">
        <v>12</v>
      </c>
      <c r="K3664">
        <v>0</v>
      </c>
      <c r="L3664" s="4">
        <v>0.92657119135271537</v>
      </c>
      <c r="M3664" s="4">
        <v>7.3428808647284655E-2</v>
      </c>
      <c r="N3664">
        <v>9</v>
      </c>
    </row>
    <row r="3665" spans="1:14" x14ac:dyDescent="0.35">
      <c r="A3665" s="1">
        <v>3642</v>
      </c>
      <c r="B3665">
        <v>3</v>
      </c>
      <c r="C3665">
        <v>50</v>
      </c>
      <c r="D3665">
        <v>1</v>
      </c>
      <c r="E3665">
        <v>0</v>
      </c>
      <c r="F3665">
        <v>1</v>
      </c>
      <c r="G3665">
        <v>12</v>
      </c>
      <c r="H3665">
        <v>3</v>
      </c>
      <c r="I3665">
        <v>0.01</v>
      </c>
      <c r="J3665">
        <v>7</v>
      </c>
      <c r="K3665">
        <v>0</v>
      </c>
      <c r="L3665" s="4">
        <v>0.92664724951524857</v>
      </c>
      <c r="M3665" s="4">
        <v>7.3352750484751456E-2</v>
      </c>
      <c r="N3665">
        <v>9</v>
      </c>
    </row>
    <row r="3666" spans="1:14" x14ac:dyDescent="0.35">
      <c r="A3666" s="1">
        <v>321</v>
      </c>
      <c r="B3666">
        <v>5</v>
      </c>
      <c r="C3666">
        <v>60</v>
      </c>
      <c r="D3666">
        <v>2</v>
      </c>
      <c r="E3666">
        <v>0</v>
      </c>
      <c r="F3666">
        <v>3</v>
      </c>
      <c r="G3666">
        <v>3</v>
      </c>
      <c r="H3666">
        <v>0</v>
      </c>
      <c r="I3666">
        <v>9000</v>
      </c>
      <c r="J3666">
        <v>8</v>
      </c>
      <c r="K3666">
        <v>0</v>
      </c>
      <c r="L3666" s="4">
        <v>0.92666289515264089</v>
      </c>
      <c r="M3666" s="4">
        <v>7.3337104847359127E-2</v>
      </c>
      <c r="N3666">
        <v>9</v>
      </c>
    </row>
    <row r="3667" spans="1:14" x14ac:dyDescent="0.35">
      <c r="A3667" s="1">
        <v>919</v>
      </c>
      <c r="B3667">
        <v>7</v>
      </c>
      <c r="C3667">
        <v>59</v>
      </c>
      <c r="D3667">
        <v>2</v>
      </c>
      <c r="E3667">
        <v>2</v>
      </c>
      <c r="F3667">
        <v>0</v>
      </c>
      <c r="G3667">
        <v>11</v>
      </c>
      <c r="H3667">
        <v>0</v>
      </c>
      <c r="I3667">
        <v>12160.99</v>
      </c>
      <c r="J3667">
        <v>5</v>
      </c>
      <c r="K3667">
        <v>0</v>
      </c>
      <c r="L3667" s="4">
        <v>0.92671371378200251</v>
      </c>
      <c r="M3667" s="4">
        <v>7.3286286217997515E-2</v>
      </c>
      <c r="N3667">
        <v>9</v>
      </c>
    </row>
    <row r="3668" spans="1:14" x14ac:dyDescent="0.35">
      <c r="A3668" s="1">
        <v>716</v>
      </c>
      <c r="B3668">
        <v>8</v>
      </c>
      <c r="C3668">
        <v>67</v>
      </c>
      <c r="D3668">
        <v>2</v>
      </c>
      <c r="E3668">
        <v>1</v>
      </c>
      <c r="F3668">
        <v>3</v>
      </c>
      <c r="G3668">
        <v>8</v>
      </c>
      <c r="H3668">
        <v>0</v>
      </c>
      <c r="I3668">
        <v>18053.349999999999</v>
      </c>
      <c r="J3668">
        <v>6</v>
      </c>
      <c r="K3668">
        <v>0</v>
      </c>
      <c r="L3668" s="4">
        <v>0.92672893692146396</v>
      </c>
      <c r="M3668" s="4">
        <v>7.3271063078536036E-2</v>
      </c>
      <c r="N3668">
        <v>9</v>
      </c>
    </row>
    <row r="3669" spans="1:14" x14ac:dyDescent="0.35">
      <c r="A3669" s="1">
        <v>4038</v>
      </c>
      <c r="B3669">
        <v>9</v>
      </c>
      <c r="C3669">
        <v>70</v>
      </c>
      <c r="D3669">
        <v>0</v>
      </c>
      <c r="E3669">
        <v>1</v>
      </c>
      <c r="F3669">
        <v>3</v>
      </c>
      <c r="G3669">
        <v>8</v>
      </c>
      <c r="H3669">
        <v>2</v>
      </c>
      <c r="I3669">
        <v>2000</v>
      </c>
      <c r="J3669">
        <v>4</v>
      </c>
      <c r="K3669">
        <v>0</v>
      </c>
      <c r="L3669" s="4">
        <v>0.92677363187948303</v>
      </c>
      <c r="M3669" s="4">
        <v>7.3226368120516985E-2</v>
      </c>
      <c r="N3669">
        <v>9</v>
      </c>
    </row>
    <row r="3670" spans="1:14" x14ac:dyDescent="0.35">
      <c r="A3670" s="1">
        <v>662</v>
      </c>
      <c r="B3670">
        <v>7</v>
      </c>
      <c r="C3670">
        <v>68</v>
      </c>
      <c r="D3670">
        <v>1</v>
      </c>
      <c r="E3670">
        <v>0</v>
      </c>
      <c r="F3670">
        <v>4</v>
      </c>
      <c r="G3670">
        <v>9</v>
      </c>
      <c r="H3670">
        <v>0</v>
      </c>
      <c r="I3670">
        <v>17000</v>
      </c>
      <c r="J3670">
        <v>19</v>
      </c>
      <c r="K3670">
        <v>0</v>
      </c>
      <c r="L3670" s="4">
        <v>0.92679800988237282</v>
      </c>
      <c r="M3670" s="4">
        <v>7.3201990117627139E-2</v>
      </c>
      <c r="N3670">
        <v>9</v>
      </c>
    </row>
    <row r="3671" spans="1:14" x14ac:dyDescent="0.35">
      <c r="A3671" s="1">
        <v>3136</v>
      </c>
      <c r="B3671">
        <v>5</v>
      </c>
      <c r="C3671">
        <v>54</v>
      </c>
      <c r="D3671">
        <v>3</v>
      </c>
      <c r="E3671">
        <v>1</v>
      </c>
      <c r="F3671">
        <v>3</v>
      </c>
      <c r="G3671">
        <v>8</v>
      </c>
      <c r="H3671">
        <v>0</v>
      </c>
      <c r="I3671">
        <v>6000</v>
      </c>
      <c r="J3671">
        <v>1</v>
      </c>
      <c r="K3671">
        <v>0</v>
      </c>
      <c r="L3671" s="4">
        <v>0.92679954162175704</v>
      </c>
      <c r="M3671" s="4">
        <v>7.3200458378242947E-2</v>
      </c>
      <c r="N3671">
        <v>9</v>
      </c>
    </row>
    <row r="3672" spans="1:14" x14ac:dyDescent="0.35">
      <c r="A3672" s="1">
        <v>3733</v>
      </c>
      <c r="B3672">
        <v>7</v>
      </c>
      <c r="C3672">
        <v>68</v>
      </c>
      <c r="D3672">
        <v>0</v>
      </c>
      <c r="E3672">
        <v>0</v>
      </c>
      <c r="F3672">
        <v>0</v>
      </c>
      <c r="G3672">
        <v>11</v>
      </c>
      <c r="H3672">
        <v>2</v>
      </c>
      <c r="I3672">
        <v>3000</v>
      </c>
      <c r="J3672">
        <v>3</v>
      </c>
      <c r="K3672">
        <v>0</v>
      </c>
      <c r="L3672" s="4">
        <v>0.92694162026219429</v>
      </c>
      <c r="M3672" s="4">
        <v>7.3058379737805657E-2</v>
      </c>
      <c r="N3672">
        <v>9</v>
      </c>
    </row>
    <row r="3673" spans="1:14" x14ac:dyDescent="0.35">
      <c r="A3673" s="1">
        <v>2440</v>
      </c>
      <c r="B3673">
        <v>11</v>
      </c>
      <c r="C3673">
        <v>73</v>
      </c>
      <c r="D3673">
        <v>5</v>
      </c>
      <c r="E3673">
        <v>2</v>
      </c>
      <c r="F3673">
        <v>1</v>
      </c>
      <c r="G3673">
        <v>12</v>
      </c>
      <c r="H3673">
        <v>1</v>
      </c>
      <c r="I3673">
        <v>26000</v>
      </c>
      <c r="J3673">
        <v>4</v>
      </c>
      <c r="K3673">
        <v>0</v>
      </c>
      <c r="L3673" s="4">
        <v>0.92694333257516781</v>
      </c>
      <c r="M3673" s="4">
        <v>7.3056667424832147E-2</v>
      </c>
      <c r="N3673">
        <v>9</v>
      </c>
    </row>
    <row r="3674" spans="1:14" x14ac:dyDescent="0.35">
      <c r="A3674" s="1">
        <v>459</v>
      </c>
      <c r="B3674">
        <v>5</v>
      </c>
      <c r="C3674">
        <v>58</v>
      </c>
      <c r="D3674">
        <v>4</v>
      </c>
      <c r="E3674">
        <v>0</v>
      </c>
      <c r="F3674">
        <v>1</v>
      </c>
      <c r="G3674">
        <v>7</v>
      </c>
      <c r="H3674">
        <v>2</v>
      </c>
      <c r="I3674">
        <v>420</v>
      </c>
      <c r="J3674">
        <v>4</v>
      </c>
      <c r="K3674">
        <v>0</v>
      </c>
      <c r="L3674" s="4">
        <v>0.9269582099395226</v>
      </c>
      <c r="M3674" s="4">
        <v>7.3041790060477368E-2</v>
      </c>
      <c r="N3674">
        <v>9</v>
      </c>
    </row>
    <row r="3675" spans="1:14" x14ac:dyDescent="0.35">
      <c r="A3675" s="1">
        <v>3435</v>
      </c>
      <c r="B3675">
        <v>4</v>
      </c>
      <c r="C3675">
        <v>46</v>
      </c>
      <c r="D3675">
        <v>1</v>
      </c>
      <c r="E3675">
        <v>2</v>
      </c>
      <c r="F3675">
        <v>3</v>
      </c>
      <c r="G3675">
        <v>8</v>
      </c>
      <c r="H3675">
        <v>0</v>
      </c>
      <c r="I3675">
        <v>6000</v>
      </c>
      <c r="J3675">
        <v>3</v>
      </c>
      <c r="K3675">
        <v>0</v>
      </c>
      <c r="L3675" s="4">
        <v>0.92697759305668037</v>
      </c>
      <c r="M3675" s="4">
        <v>7.3022406943319629E-2</v>
      </c>
      <c r="N3675">
        <v>9</v>
      </c>
    </row>
    <row r="3676" spans="1:14" x14ac:dyDescent="0.35">
      <c r="A3676" s="1">
        <v>1727</v>
      </c>
      <c r="B3676">
        <v>4</v>
      </c>
      <c r="C3676">
        <v>49</v>
      </c>
      <c r="D3676">
        <v>4</v>
      </c>
      <c r="E3676">
        <v>1</v>
      </c>
      <c r="F3676">
        <v>4</v>
      </c>
      <c r="G3676">
        <v>9</v>
      </c>
      <c r="H3676">
        <v>0</v>
      </c>
      <c r="I3676">
        <v>5800</v>
      </c>
      <c r="J3676">
        <v>1</v>
      </c>
      <c r="K3676">
        <v>0</v>
      </c>
      <c r="L3676" s="4">
        <v>0.92702899222937618</v>
      </c>
      <c r="M3676" s="4">
        <v>7.2971007770623833E-2</v>
      </c>
      <c r="N3676">
        <v>9</v>
      </c>
    </row>
    <row r="3677" spans="1:14" x14ac:dyDescent="0.35">
      <c r="A3677" s="1">
        <v>2231</v>
      </c>
      <c r="B3677">
        <v>9</v>
      </c>
      <c r="C3677">
        <v>70</v>
      </c>
      <c r="D3677">
        <v>3</v>
      </c>
      <c r="E3677">
        <v>1</v>
      </c>
      <c r="F3677">
        <v>0</v>
      </c>
      <c r="G3677">
        <v>2</v>
      </c>
      <c r="H3677">
        <v>3</v>
      </c>
      <c r="I3677">
        <v>0.01</v>
      </c>
      <c r="J3677">
        <v>6</v>
      </c>
      <c r="K3677">
        <v>0</v>
      </c>
      <c r="L3677" s="4">
        <v>0.92713657281474593</v>
      </c>
      <c r="M3677" s="4">
        <v>7.2863427185254084E-2</v>
      </c>
      <c r="N3677">
        <v>9</v>
      </c>
    </row>
    <row r="3678" spans="1:14" x14ac:dyDescent="0.35">
      <c r="A3678" s="1">
        <v>721</v>
      </c>
      <c r="B3678">
        <v>5</v>
      </c>
      <c r="C3678">
        <v>58</v>
      </c>
      <c r="D3678">
        <v>2</v>
      </c>
      <c r="E3678">
        <v>0</v>
      </c>
      <c r="F3678">
        <v>3</v>
      </c>
      <c r="G3678">
        <v>8</v>
      </c>
      <c r="H3678">
        <v>2</v>
      </c>
      <c r="I3678">
        <v>4000</v>
      </c>
      <c r="J3678">
        <v>5</v>
      </c>
      <c r="K3678">
        <v>0</v>
      </c>
      <c r="L3678" s="4">
        <v>0.92713949778933169</v>
      </c>
      <c r="M3678" s="4">
        <v>7.2860502210668338E-2</v>
      </c>
      <c r="N3678">
        <v>9</v>
      </c>
    </row>
    <row r="3679" spans="1:14" x14ac:dyDescent="0.35">
      <c r="A3679" s="1">
        <v>402</v>
      </c>
      <c r="B3679">
        <v>7</v>
      </c>
      <c r="C3679">
        <v>66</v>
      </c>
      <c r="D3679">
        <v>2</v>
      </c>
      <c r="E3679">
        <v>0</v>
      </c>
      <c r="F3679">
        <v>3</v>
      </c>
      <c r="G3679">
        <v>8</v>
      </c>
      <c r="H3679">
        <v>2</v>
      </c>
      <c r="I3679">
        <v>1000</v>
      </c>
      <c r="J3679">
        <v>4</v>
      </c>
      <c r="K3679">
        <v>0</v>
      </c>
      <c r="L3679" s="4">
        <v>0.92714458496324581</v>
      </c>
      <c r="M3679" s="4">
        <v>7.285541503675419E-2</v>
      </c>
      <c r="N3679">
        <v>9</v>
      </c>
    </row>
    <row r="3680" spans="1:14" x14ac:dyDescent="0.35">
      <c r="A3680" s="1">
        <v>787</v>
      </c>
      <c r="B3680">
        <v>9</v>
      </c>
      <c r="C3680">
        <v>76</v>
      </c>
      <c r="D3680">
        <v>4</v>
      </c>
      <c r="E3680">
        <v>0</v>
      </c>
      <c r="F3680">
        <v>0</v>
      </c>
      <c r="G3680">
        <v>11</v>
      </c>
      <c r="H3680">
        <v>0</v>
      </c>
      <c r="I3680">
        <v>8053.34</v>
      </c>
      <c r="J3680">
        <v>3</v>
      </c>
      <c r="K3680">
        <v>0</v>
      </c>
      <c r="L3680" s="4">
        <v>0.92714462553297772</v>
      </c>
      <c r="M3680" s="4">
        <v>7.2855374467022241E-2</v>
      </c>
      <c r="N3680">
        <v>9</v>
      </c>
    </row>
    <row r="3681" spans="1:14" x14ac:dyDescent="0.35">
      <c r="A3681" s="1">
        <v>406</v>
      </c>
      <c r="B3681">
        <v>10</v>
      </c>
      <c r="C3681">
        <v>76</v>
      </c>
      <c r="D3681">
        <v>1</v>
      </c>
      <c r="E3681">
        <v>1</v>
      </c>
      <c r="F3681">
        <v>0</v>
      </c>
      <c r="G3681">
        <v>2</v>
      </c>
      <c r="H3681">
        <v>2</v>
      </c>
      <c r="I3681">
        <v>2000</v>
      </c>
      <c r="J3681">
        <v>18</v>
      </c>
      <c r="K3681">
        <v>0</v>
      </c>
      <c r="L3681" s="4">
        <v>0.92727601443057173</v>
      </c>
      <c r="M3681" s="4">
        <v>7.2723985569428315E-2</v>
      </c>
      <c r="N3681">
        <v>9</v>
      </c>
    </row>
    <row r="3682" spans="1:14" x14ac:dyDescent="0.35">
      <c r="A3682" s="1">
        <v>2246</v>
      </c>
      <c r="B3682">
        <v>8</v>
      </c>
      <c r="C3682">
        <v>65</v>
      </c>
      <c r="D3682">
        <v>5</v>
      </c>
      <c r="E3682">
        <v>1</v>
      </c>
      <c r="F3682">
        <v>0</v>
      </c>
      <c r="G3682">
        <v>4</v>
      </c>
      <c r="H3682">
        <v>3</v>
      </c>
      <c r="I3682">
        <v>0.01</v>
      </c>
      <c r="J3682">
        <v>8</v>
      </c>
      <c r="K3682">
        <v>0</v>
      </c>
      <c r="L3682" s="4">
        <v>0.92739702880169961</v>
      </c>
      <c r="M3682" s="4">
        <v>7.2602971198300351E-2</v>
      </c>
      <c r="N3682">
        <v>9</v>
      </c>
    </row>
    <row r="3683" spans="1:14" x14ac:dyDescent="0.35">
      <c r="A3683" s="1">
        <v>1976</v>
      </c>
      <c r="B3683">
        <v>9</v>
      </c>
      <c r="C3683">
        <v>74</v>
      </c>
      <c r="D3683">
        <v>5</v>
      </c>
      <c r="E3683">
        <v>0</v>
      </c>
      <c r="F3683">
        <v>0</v>
      </c>
      <c r="G3683">
        <v>11</v>
      </c>
      <c r="H3683">
        <v>2</v>
      </c>
      <c r="I3683">
        <v>1000</v>
      </c>
      <c r="J3683">
        <v>4</v>
      </c>
      <c r="K3683">
        <v>1</v>
      </c>
      <c r="L3683" s="4">
        <v>0.92741823027647052</v>
      </c>
      <c r="M3683" s="4">
        <v>7.2581769723529491E-2</v>
      </c>
      <c r="N3683">
        <v>9</v>
      </c>
    </row>
    <row r="3684" spans="1:14" x14ac:dyDescent="0.35">
      <c r="A3684" s="1">
        <v>1001</v>
      </c>
      <c r="B3684">
        <v>7</v>
      </c>
      <c r="C3684">
        <v>64</v>
      </c>
      <c r="D3684">
        <v>0</v>
      </c>
      <c r="E3684">
        <v>1</v>
      </c>
      <c r="F3684">
        <v>3</v>
      </c>
      <c r="G3684">
        <v>8</v>
      </c>
      <c r="H3684">
        <v>0</v>
      </c>
      <c r="I3684">
        <v>13195.7</v>
      </c>
      <c r="J3684">
        <v>12</v>
      </c>
      <c r="K3684">
        <v>0</v>
      </c>
      <c r="L3684" s="4">
        <v>0.92745264689151685</v>
      </c>
      <c r="M3684" s="4">
        <v>7.2547353108483148E-2</v>
      </c>
      <c r="N3684">
        <v>9</v>
      </c>
    </row>
    <row r="3685" spans="1:14" x14ac:dyDescent="0.35">
      <c r="A3685" s="1">
        <v>2219</v>
      </c>
      <c r="B3685">
        <v>5</v>
      </c>
      <c r="C3685">
        <v>58</v>
      </c>
      <c r="D3685">
        <v>3</v>
      </c>
      <c r="E3685">
        <v>0</v>
      </c>
      <c r="F3685">
        <v>1</v>
      </c>
      <c r="G3685">
        <v>5</v>
      </c>
      <c r="H3685">
        <v>3</v>
      </c>
      <c r="I3685">
        <v>0.01</v>
      </c>
      <c r="J3685">
        <v>4</v>
      </c>
      <c r="K3685">
        <v>0</v>
      </c>
      <c r="L3685" s="4">
        <v>0.92745810937780193</v>
      </c>
      <c r="M3685" s="4">
        <v>7.254189062219811E-2</v>
      </c>
      <c r="N3685">
        <v>9</v>
      </c>
    </row>
    <row r="3686" spans="1:14" x14ac:dyDescent="0.35">
      <c r="A3686" s="1">
        <v>3929</v>
      </c>
      <c r="B3686">
        <v>5</v>
      </c>
      <c r="C3686">
        <v>51</v>
      </c>
      <c r="D3686">
        <v>5</v>
      </c>
      <c r="E3686">
        <v>1</v>
      </c>
      <c r="F3686">
        <v>3</v>
      </c>
      <c r="G3686">
        <v>8</v>
      </c>
      <c r="H3686">
        <v>3</v>
      </c>
      <c r="I3686">
        <v>0.01</v>
      </c>
      <c r="J3686">
        <v>4</v>
      </c>
      <c r="K3686">
        <v>0</v>
      </c>
      <c r="L3686" s="4">
        <v>0.9274703988550036</v>
      </c>
      <c r="M3686" s="4">
        <v>7.2529601144996389E-2</v>
      </c>
      <c r="N3686">
        <v>9</v>
      </c>
    </row>
    <row r="3687" spans="1:14" x14ac:dyDescent="0.35">
      <c r="A3687" s="1">
        <v>3064</v>
      </c>
      <c r="B3687">
        <v>4</v>
      </c>
      <c r="C3687">
        <v>52</v>
      </c>
      <c r="D3687">
        <v>5</v>
      </c>
      <c r="E3687">
        <v>0</v>
      </c>
      <c r="F3687">
        <v>3</v>
      </c>
      <c r="G3687">
        <v>8</v>
      </c>
      <c r="H3687">
        <v>3</v>
      </c>
      <c r="I3687">
        <v>0.01</v>
      </c>
      <c r="J3687">
        <v>10</v>
      </c>
      <c r="K3687">
        <v>0</v>
      </c>
      <c r="L3687" s="4">
        <v>0.92751775632818934</v>
      </c>
      <c r="M3687" s="4">
        <v>7.2482243671810609E-2</v>
      </c>
      <c r="N3687">
        <v>9</v>
      </c>
    </row>
    <row r="3688" spans="1:14" x14ac:dyDescent="0.35">
      <c r="A3688" s="1">
        <v>2839</v>
      </c>
      <c r="B3688">
        <v>7</v>
      </c>
      <c r="C3688">
        <v>67</v>
      </c>
      <c r="D3688">
        <v>3</v>
      </c>
      <c r="E3688">
        <v>0</v>
      </c>
      <c r="F3688">
        <v>1</v>
      </c>
      <c r="G3688">
        <v>5</v>
      </c>
      <c r="H3688">
        <v>2</v>
      </c>
      <c r="I3688">
        <v>1500</v>
      </c>
      <c r="J3688">
        <v>8</v>
      </c>
      <c r="K3688">
        <v>1</v>
      </c>
      <c r="L3688" s="4">
        <v>0.92763026873813015</v>
      </c>
      <c r="M3688" s="4">
        <v>7.2369731261869866E-2</v>
      </c>
      <c r="N3688">
        <v>9</v>
      </c>
    </row>
    <row r="3689" spans="1:14" x14ac:dyDescent="0.35">
      <c r="A3689" s="1">
        <v>2689</v>
      </c>
      <c r="B3689">
        <v>7</v>
      </c>
      <c r="C3689">
        <v>64</v>
      </c>
      <c r="D3689">
        <v>2</v>
      </c>
      <c r="E3689">
        <v>1</v>
      </c>
      <c r="F3689">
        <v>0</v>
      </c>
      <c r="G3689">
        <v>10</v>
      </c>
      <c r="H3689">
        <v>0</v>
      </c>
      <c r="I3689">
        <v>6000</v>
      </c>
      <c r="J3689">
        <v>2</v>
      </c>
      <c r="K3689">
        <v>0</v>
      </c>
      <c r="L3689" s="4">
        <v>0.92763775350395117</v>
      </c>
      <c r="M3689" s="4">
        <v>7.2362246496048818E-2</v>
      </c>
      <c r="N3689">
        <v>9</v>
      </c>
    </row>
    <row r="3690" spans="1:14" x14ac:dyDescent="0.35">
      <c r="A3690" s="1">
        <v>4356</v>
      </c>
      <c r="B3690">
        <v>5</v>
      </c>
      <c r="C3690">
        <v>51</v>
      </c>
      <c r="D3690">
        <v>4</v>
      </c>
      <c r="E3690">
        <v>1</v>
      </c>
      <c r="F3690">
        <v>4</v>
      </c>
      <c r="G3690">
        <v>9</v>
      </c>
      <c r="H3690">
        <v>3</v>
      </c>
      <c r="I3690">
        <v>0.01</v>
      </c>
      <c r="J3690">
        <v>7</v>
      </c>
      <c r="K3690">
        <v>1</v>
      </c>
      <c r="L3690" s="4">
        <v>0.92772269009857478</v>
      </c>
      <c r="M3690" s="4">
        <v>7.227730990142521E-2</v>
      </c>
      <c r="N3690">
        <v>9</v>
      </c>
    </row>
    <row r="3691" spans="1:14" x14ac:dyDescent="0.35">
      <c r="A3691" s="1">
        <v>3305</v>
      </c>
      <c r="B3691">
        <v>9</v>
      </c>
      <c r="C3691">
        <v>70</v>
      </c>
      <c r="D3691">
        <v>3</v>
      </c>
      <c r="E3691">
        <v>1</v>
      </c>
      <c r="F3691">
        <v>4</v>
      </c>
      <c r="G3691">
        <v>9</v>
      </c>
      <c r="H3691">
        <v>0</v>
      </c>
      <c r="I3691">
        <v>6053.35</v>
      </c>
      <c r="J3691">
        <v>7</v>
      </c>
      <c r="K3691">
        <v>0</v>
      </c>
      <c r="L3691" s="4">
        <v>0.9277457450873221</v>
      </c>
      <c r="M3691" s="4">
        <v>7.2254254912677923E-2</v>
      </c>
      <c r="N3691">
        <v>9</v>
      </c>
    </row>
    <row r="3692" spans="1:14" x14ac:dyDescent="0.35">
      <c r="A3692" s="1">
        <v>1066</v>
      </c>
      <c r="B3692">
        <v>3</v>
      </c>
      <c r="C3692">
        <v>51</v>
      </c>
      <c r="D3692">
        <v>1</v>
      </c>
      <c r="E3692">
        <v>0</v>
      </c>
      <c r="F3692">
        <v>3</v>
      </c>
      <c r="G3692">
        <v>3</v>
      </c>
      <c r="H3692">
        <v>2</v>
      </c>
      <c r="I3692">
        <v>3000</v>
      </c>
      <c r="J3692">
        <v>8</v>
      </c>
      <c r="K3692">
        <v>0</v>
      </c>
      <c r="L3692" s="4">
        <v>0.92782709873182967</v>
      </c>
      <c r="M3692" s="4">
        <v>7.2172901268170372E-2</v>
      </c>
      <c r="N3692">
        <v>9</v>
      </c>
    </row>
    <row r="3693" spans="1:14" x14ac:dyDescent="0.35">
      <c r="A3693" s="1">
        <v>3904</v>
      </c>
      <c r="B3693">
        <v>3</v>
      </c>
      <c r="C3693">
        <v>51</v>
      </c>
      <c r="D3693">
        <v>1</v>
      </c>
      <c r="E3693">
        <v>0</v>
      </c>
      <c r="F3693">
        <v>1</v>
      </c>
      <c r="G3693">
        <v>12</v>
      </c>
      <c r="H3693">
        <v>2</v>
      </c>
      <c r="I3693">
        <v>0.02</v>
      </c>
      <c r="J3693">
        <v>4</v>
      </c>
      <c r="K3693">
        <v>0</v>
      </c>
      <c r="L3693" s="4">
        <v>0.92799630822620971</v>
      </c>
      <c r="M3693" s="4">
        <v>7.2003691773790332E-2</v>
      </c>
      <c r="N3693">
        <v>9</v>
      </c>
    </row>
    <row r="3694" spans="1:14" x14ac:dyDescent="0.35">
      <c r="A3694" s="1">
        <v>2479</v>
      </c>
      <c r="B3694">
        <v>9</v>
      </c>
      <c r="C3694">
        <v>73</v>
      </c>
      <c r="D3694">
        <v>4</v>
      </c>
      <c r="E3694">
        <v>0</v>
      </c>
      <c r="F3694">
        <v>4</v>
      </c>
      <c r="G3694">
        <v>9</v>
      </c>
      <c r="H3694">
        <v>2</v>
      </c>
      <c r="I3694">
        <v>3000.01</v>
      </c>
      <c r="J3694">
        <v>7</v>
      </c>
      <c r="K3694">
        <v>1</v>
      </c>
      <c r="L3694" s="4">
        <v>0.92803282583550195</v>
      </c>
      <c r="M3694" s="4">
        <v>7.1967174164498007E-2</v>
      </c>
      <c r="N3694">
        <v>9</v>
      </c>
    </row>
    <row r="3695" spans="1:14" x14ac:dyDescent="0.35">
      <c r="A3695" s="1">
        <v>182</v>
      </c>
      <c r="B3695">
        <v>8</v>
      </c>
      <c r="C3695">
        <v>73</v>
      </c>
      <c r="D3695">
        <v>4</v>
      </c>
      <c r="E3695">
        <v>0</v>
      </c>
      <c r="F3695">
        <v>0</v>
      </c>
      <c r="G3695">
        <v>4</v>
      </c>
      <c r="H3695">
        <v>0</v>
      </c>
      <c r="I3695">
        <v>7448.02</v>
      </c>
      <c r="J3695">
        <v>11</v>
      </c>
      <c r="K3695">
        <v>0</v>
      </c>
      <c r="L3695" s="4">
        <v>0.92818230452194406</v>
      </c>
      <c r="M3695" s="4">
        <v>7.1817695478055915E-2</v>
      </c>
      <c r="N3695">
        <v>9</v>
      </c>
    </row>
    <row r="3696" spans="1:14" x14ac:dyDescent="0.35">
      <c r="A3696" s="1">
        <v>927</v>
      </c>
      <c r="B3696">
        <v>4</v>
      </c>
      <c r="C3696">
        <v>55</v>
      </c>
      <c r="D3696">
        <v>1</v>
      </c>
      <c r="E3696">
        <v>0</v>
      </c>
      <c r="F3696">
        <v>0</v>
      </c>
      <c r="G3696">
        <v>11</v>
      </c>
      <c r="H3696">
        <v>3</v>
      </c>
      <c r="I3696">
        <v>0.01</v>
      </c>
      <c r="J3696">
        <v>7</v>
      </c>
      <c r="K3696">
        <v>0</v>
      </c>
      <c r="L3696" s="4">
        <v>0.92821118977716421</v>
      </c>
      <c r="M3696" s="4">
        <v>7.1788810222835744E-2</v>
      </c>
      <c r="N3696">
        <v>9</v>
      </c>
    </row>
    <row r="3697" spans="1:14" x14ac:dyDescent="0.35">
      <c r="A3697" s="1">
        <v>2071</v>
      </c>
      <c r="B3697">
        <v>8</v>
      </c>
      <c r="C3697">
        <v>68</v>
      </c>
      <c r="D3697">
        <v>0</v>
      </c>
      <c r="E3697">
        <v>1</v>
      </c>
      <c r="F3697">
        <v>0</v>
      </c>
      <c r="G3697">
        <v>4</v>
      </c>
      <c r="H3697">
        <v>2</v>
      </c>
      <c r="I3697">
        <v>500</v>
      </c>
      <c r="J3697">
        <v>1</v>
      </c>
      <c r="K3697">
        <v>0</v>
      </c>
      <c r="L3697" s="4">
        <v>0.92827993716986501</v>
      </c>
      <c r="M3697" s="4">
        <v>7.1720062830134948E-2</v>
      </c>
      <c r="N3697">
        <v>9</v>
      </c>
    </row>
    <row r="3698" spans="1:14" x14ac:dyDescent="0.35">
      <c r="A3698" s="1">
        <v>372</v>
      </c>
      <c r="B3698">
        <v>4</v>
      </c>
      <c r="C3698">
        <v>57</v>
      </c>
      <c r="D3698">
        <v>3</v>
      </c>
      <c r="E3698">
        <v>0</v>
      </c>
      <c r="F3698">
        <v>0</v>
      </c>
      <c r="G3698">
        <v>2</v>
      </c>
      <c r="H3698">
        <v>1</v>
      </c>
      <c r="I3698">
        <v>20212.009999999998</v>
      </c>
      <c r="J3698">
        <v>8</v>
      </c>
      <c r="K3698">
        <v>0</v>
      </c>
      <c r="L3698" s="4">
        <v>0.92832257972167909</v>
      </c>
      <c r="M3698" s="4">
        <v>7.1677420278320955E-2</v>
      </c>
      <c r="N3698">
        <v>9</v>
      </c>
    </row>
    <row r="3699" spans="1:14" x14ac:dyDescent="0.35">
      <c r="A3699" s="1">
        <v>3709</v>
      </c>
      <c r="B3699">
        <v>5</v>
      </c>
      <c r="C3699">
        <v>55</v>
      </c>
      <c r="D3699">
        <v>3</v>
      </c>
      <c r="E3699">
        <v>1</v>
      </c>
      <c r="F3699">
        <v>1</v>
      </c>
      <c r="G3699">
        <v>12</v>
      </c>
      <c r="H3699">
        <v>0</v>
      </c>
      <c r="I3699">
        <v>6000</v>
      </c>
      <c r="J3699">
        <v>3</v>
      </c>
      <c r="K3699">
        <v>0</v>
      </c>
      <c r="L3699" s="4">
        <v>0.92832550728143448</v>
      </c>
      <c r="M3699" s="4">
        <v>7.1674492718565561E-2</v>
      </c>
      <c r="N3699">
        <v>9</v>
      </c>
    </row>
    <row r="3700" spans="1:14" x14ac:dyDescent="0.35">
      <c r="A3700" s="1">
        <v>1762</v>
      </c>
      <c r="B3700">
        <v>8</v>
      </c>
      <c r="C3700">
        <v>72</v>
      </c>
      <c r="D3700">
        <v>2</v>
      </c>
      <c r="E3700">
        <v>0</v>
      </c>
      <c r="F3700">
        <v>0</v>
      </c>
      <c r="G3700">
        <v>10</v>
      </c>
      <c r="H3700">
        <v>2</v>
      </c>
      <c r="I3700">
        <v>1250</v>
      </c>
      <c r="J3700">
        <v>23</v>
      </c>
      <c r="K3700">
        <v>1</v>
      </c>
      <c r="L3700" s="4">
        <v>0.92836518402340618</v>
      </c>
      <c r="M3700" s="4">
        <v>7.1634815976593769E-2</v>
      </c>
      <c r="N3700">
        <v>9</v>
      </c>
    </row>
    <row r="3701" spans="1:14" x14ac:dyDescent="0.35">
      <c r="A3701" s="1">
        <v>452</v>
      </c>
      <c r="B3701">
        <v>6</v>
      </c>
      <c r="C3701">
        <v>53</v>
      </c>
      <c r="D3701">
        <v>1</v>
      </c>
      <c r="E3701">
        <v>2</v>
      </c>
      <c r="F3701">
        <v>3</v>
      </c>
      <c r="G3701">
        <v>8</v>
      </c>
      <c r="H3701">
        <v>2</v>
      </c>
      <c r="I3701">
        <v>2500</v>
      </c>
      <c r="J3701">
        <v>8</v>
      </c>
      <c r="K3701">
        <v>0</v>
      </c>
      <c r="L3701" s="4">
        <v>0.92838771166118195</v>
      </c>
      <c r="M3701" s="4">
        <v>7.1612288338818011E-2</v>
      </c>
      <c r="N3701">
        <v>9</v>
      </c>
    </row>
    <row r="3702" spans="1:14" x14ac:dyDescent="0.35">
      <c r="A3702" s="1">
        <v>3270</v>
      </c>
      <c r="B3702">
        <v>2</v>
      </c>
      <c r="C3702">
        <v>47</v>
      </c>
      <c r="D3702">
        <v>1</v>
      </c>
      <c r="E3702">
        <v>0</v>
      </c>
      <c r="F3702">
        <v>3</v>
      </c>
      <c r="G3702">
        <v>3</v>
      </c>
      <c r="H3702">
        <v>2</v>
      </c>
      <c r="I3702">
        <v>1000</v>
      </c>
      <c r="J3702">
        <v>5</v>
      </c>
      <c r="K3702">
        <v>0</v>
      </c>
      <c r="L3702" s="4">
        <v>0.92850047973144356</v>
      </c>
      <c r="M3702" s="4">
        <v>7.149952026855648E-2</v>
      </c>
      <c r="N3702">
        <v>9</v>
      </c>
    </row>
    <row r="3703" spans="1:14" x14ac:dyDescent="0.35">
      <c r="A3703" s="1">
        <v>1008</v>
      </c>
      <c r="B3703">
        <v>5</v>
      </c>
      <c r="C3703">
        <v>60</v>
      </c>
      <c r="D3703">
        <v>2</v>
      </c>
      <c r="E3703">
        <v>0</v>
      </c>
      <c r="F3703">
        <v>0</v>
      </c>
      <c r="G3703">
        <v>11</v>
      </c>
      <c r="H3703">
        <v>2</v>
      </c>
      <c r="I3703">
        <v>3000</v>
      </c>
      <c r="J3703">
        <v>30</v>
      </c>
      <c r="K3703">
        <v>0</v>
      </c>
      <c r="L3703" s="4">
        <v>0.92854716095141709</v>
      </c>
      <c r="M3703" s="4">
        <v>7.145283904858292E-2</v>
      </c>
      <c r="N3703">
        <v>9</v>
      </c>
    </row>
    <row r="3704" spans="1:14" x14ac:dyDescent="0.35">
      <c r="A3704" s="1">
        <v>3246</v>
      </c>
      <c r="B3704">
        <v>9</v>
      </c>
      <c r="C3704">
        <v>64</v>
      </c>
      <c r="D3704">
        <v>3</v>
      </c>
      <c r="E3704">
        <v>2</v>
      </c>
      <c r="F3704">
        <v>3</v>
      </c>
      <c r="G3704">
        <v>8</v>
      </c>
      <c r="H3704">
        <v>3</v>
      </c>
      <c r="I3704">
        <v>0.01</v>
      </c>
      <c r="J3704">
        <v>30</v>
      </c>
      <c r="K3704">
        <v>0</v>
      </c>
      <c r="L3704" s="4">
        <v>0.92859580969490862</v>
      </c>
      <c r="M3704" s="4">
        <v>7.1404190305091389E-2</v>
      </c>
      <c r="N3704">
        <v>9</v>
      </c>
    </row>
    <row r="3705" spans="1:14" x14ac:dyDescent="0.35">
      <c r="A3705" s="1">
        <v>2161</v>
      </c>
      <c r="B3705">
        <v>7</v>
      </c>
      <c r="C3705">
        <v>66</v>
      </c>
      <c r="D3705">
        <v>5</v>
      </c>
      <c r="E3705">
        <v>0</v>
      </c>
      <c r="F3705">
        <v>1</v>
      </c>
      <c r="G3705">
        <v>7</v>
      </c>
      <c r="H3705">
        <v>2</v>
      </c>
      <c r="I3705">
        <v>100</v>
      </c>
      <c r="J3705">
        <v>1</v>
      </c>
      <c r="K3705">
        <v>0</v>
      </c>
      <c r="L3705" s="4">
        <v>0.92860837385081441</v>
      </c>
      <c r="M3705" s="4">
        <v>7.139162614918558E-2</v>
      </c>
      <c r="N3705">
        <v>9</v>
      </c>
    </row>
    <row r="3706" spans="1:14" x14ac:dyDescent="0.35">
      <c r="A3706" s="1">
        <v>2413</v>
      </c>
      <c r="B3706">
        <v>6</v>
      </c>
      <c r="C3706">
        <v>60</v>
      </c>
      <c r="D3706">
        <v>1</v>
      </c>
      <c r="E3706">
        <v>1</v>
      </c>
      <c r="F3706">
        <v>3</v>
      </c>
      <c r="G3706">
        <v>3</v>
      </c>
      <c r="H3706">
        <v>0</v>
      </c>
      <c r="I3706">
        <v>10000</v>
      </c>
      <c r="J3706">
        <v>4</v>
      </c>
      <c r="K3706">
        <v>0</v>
      </c>
      <c r="L3706" s="4">
        <v>0.92860851992957427</v>
      </c>
      <c r="M3706" s="4">
        <v>7.139148007042577E-2</v>
      </c>
      <c r="N3706">
        <v>9</v>
      </c>
    </row>
    <row r="3707" spans="1:14" x14ac:dyDescent="0.35">
      <c r="A3707" s="1">
        <v>1506</v>
      </c>
      <c r="B3707">
        <v>7</v>
      </c>
      <c r="C3707">
        <v>67</v>
      </c>
      <c r="D3707">
        <v>0</v>
      </c>
      <c r="E3707">
        <v>0</v>
      </c>
      <c r="F3707">
        <v>3</v>
      </c>
      <c r="G3707">
        <v>3</v>
      </c>
      <c r="H3707">
        <v>3</v>
      </c>
      <c r="I3707">
        <v>0.01</v>
      </c>
      <c r="J3707">
        <v>7</v>
      </c>
      <c r="K3707">
        <v>0</v>
      </c>
      <c r="L3707" s="4">
        <v>0.92860936502820768</v>
      </c>
      <c r="M3707" s="4">
        <v>7.1390634971792363E-2</v>
      </c>
      <c r="N3707">
        <v>9</v>
      </c>
    </row>
    <row r="3708" spans="1:14" x14ac:dyDescent="0.35">
      <c r="A3708" s="1">
        <v>507</v>
      </c>
      <c r="B3708">
        <v>7</v>
      </c>
      <c r="C3708">
        <v>68</v>
      </c>
      <c r="D3708">
        <v>3</v>
      </c>
      <c r="E3708">
        <v>0</v>
      </c>
      <c r="F3708">
        <v>3</v>
      </c>
      <c r="G3708">
        <v>3</v>
      </c>
      <c r="H3708">
        <v>0</v>
      </c>
      <c r="I3708">
        <v>6053.34</v>
      </c>
      <c r="J3708">
        <v>4</v>
      </c>
      <c r="K3708">
        <v>0</v>
      </c>
      <c r="L3708" s="4">
        <v>0.92868548064231371</v>
      </c>
      <c r="M3708" s="4">
        <v>7.1314519357686262E-2</v>
      </c>
      <c r="N3708">
        <v>9</v>
      </c>
    </row>
    <row r="3709" spans="1:14" x14ac:dyDescent="0.35">
      <c r="A3709" s="1">
        <v>2400</v>
      </c>
      <c r="B3709">
        <v>5</v>
      </c>
      <c r="C3709">
        <v>59</v>
      </c>
      <c r="D3709">
        <v>1</v>
      </c>
      <c r="E3709">
        <v>0</v>
      </c>
      <c r="F3709">
        <v>1</v>
      </c>
      <c r="G3709">
        <v>7</v>
      </c>
      <c r="H3709">
        <v>3</v>
      </c>
      <c r="I3709">
        <v>0.01</v>
      </c>
      <c r="J3709">
        <v>4</v>
      </c>
      <c r="K3709">
        <v>0</v>
      </c>
      <c r="L3709" s="4">
        <v>0.92869613059915235</v>
      </c>
      <c r="M3709" s="4">
        <v>7.1303869400847625E-2</v>
      </c>
      <c r="N3709">
        <v>9</v>
      </c>
    </row>
    <row r="3710" spans="1:14" x14ac:dyDescent="0.35">
      <c r="A3710" s="1">
        <v>2387</v>
      </c>
      <c r="B3710">
        <v>5</v>
      </c>
      <c r="C3710">
        <v>54</v>
      </c>
      <c r="D3710">
        <v>2</v>
      </c>
      <c r="E3710">
        <v>1</v>
      </c>
      <c r="F3710">
        <v>3</v>
      </c>
      <c r="G3710">
        <v>3</v>
      </c>
      <c r="H3710">
        <v>2</v>
      </c>
      <c r="I3710">
        <v>4800</v>
      </c>
      <c r="J3710">
        <v>7</v>
      </c>
      <c r="K3710">
        <v>0</v>
      </c>
      <c r="L3710" s="4">
        <v>0.92870942218798391</v>
      </c>
      <c r="M3710" s="4">
        <v>7.1290577812016143E-2</v>
      </c>
      <c r="N3710">
        <v>9</v>
      </c>
    </row>
    <row r="3711" spans="1:14" x14ac:dyDescent="0.35">
      <c r="A3711" s="1">
        <v>3658</v>
      </c>
      <c r="B3711">
        <v>4</v>
      </c>
      <c r="C3711">
        <v>54</v>
      </c>
      <c r="D3711">
        <v>5</v>
      </c>
      <c r="E3711">
        <v>0</v>
      </c>
      <c r="F3711">
        <v>0</v>
      </c>
      <c r="G3711">
        <v>4</v>
      </c>
      <c r="H3711">
        <v>3</v>
      </c>
      <c r="I3711">
        <v>0.01</v>
      </c>
      <c r="J3711">
        <v>5</v>
      </c>
      <c r="K3711">
        <v>0</v>
      </c>
      <c r="L3711" s="4">
        <v>0.92882051636574059</v>
      </c>
      <c r="M3711" s="4">
        <v>7.1179483634259438E-2</v>
      </c>
      <c r="N3711">
        <v>9</v>
      </c>
    </row>
    <row r="3712" spans="1:14" x14ac:dyDescent="0.35">
      <c r="A3712" s="1">
        <v>2099</v>
      </c>
      <c r="B3712">
        <v>8</v>
      </c>
      <c r="C3712">
        <v>65</v>
      </c>
      <c r="D3712">
        <v>3</v>
      </c>
      <c r="E3712">
        <v>1</v>
      </c>
      <c r="F3712">
        <v>3</v>
      </c>
      <c r="G3712">
        <v>3</v>
      </c>
      <c r="H3712">
        <v>3</v>
      </c>
      <c r="I3712">
        <v>0.01</v>
      </c>
      <c r="J3712">
        <v>12</v>
      </c>
      <c r="K3712">
        <v>0</v>
      </c>
      <c r="L3712" s="4">
        <v>0.92886707927775358</v>
      </c>
      <c r="M3712" s="4">
        <v>7.1132920722246445E-2</v>
      </c>
      <c r="N3712">
        <v>9</v>
      </c>
    </row>
    <row r="3713" spans="1:14" x14ac:dyDescent="0.35">
      <c r="A3713" s="1">
        <v>1364</v>
      </c>
      <c r="B3713">
        <v>10</v>
      </c>
      <c r="C3713">
        <v>72</v>
      </c>
      <c r="D3713">
        <v>1</v>
      </c>
      <c r="E3713">
        <v>2</v>
      </c>
      <c r="F3713">
        <v>1</v>
      </c>
      <c r="G3713">
        <v>7</v>
      </c>
      <c r="H3713">
        <v>0</v>
      </c>
      <c r="I3713">
        <v>6000</v>
      </c>
      <c r="J3713">
        <v>12</v>
      </c>
      <c r="K3713">
        <v>0</v>
      </c>
      <c r="L3713" s="4">
        <v>0.92887104465689496</v>
      </c>
      <c r="M3713" s="4">
        <v>7.1128955343105024E-2</v>
      </c>
      <c r="N3713">
        <v>9</v>
      </c>
    </row>
    <row r="3714" spans="1:14" x14ac:dyDescent="0.35">
      <c r="A3714" s="1">
        <v>455</v>
      </c>
      <c r="B3714">
        <v>10</v>
      </c>
      <c r="C3714">
        <v>72</v>
      </c>
      <c r="D3714">
        <v>0</v>
      </c>
      <c r="E3714">
        <v>2</v>
      </c>
      <c r="F3714">
        <v>3</v>
      </c>
      <c r="G3714">
        <v>3</v>
      </c>
      <c r="H3714">
        <v>0</v>
      </c>
      <c r="I3714">
        <v>6500</v>
      </c>
      <c r="J3714">
        <v>18</v>
      </c>
      <c r="K3714">
        <v>0</v>
      </c>
      <c r="L3714" s="4">
        <v>0.9288758769119001</v>
      </c>
      <c r="M3714" s="4">
        <v>7.11241230880999E-2</v>
      </c>
      <c r="N3714">
        <v>9</v>
      </c>
    </row>
    <row r="3715" spans="1:14" x14ac:dyDescent="0.35">
      <c r="A3715" s="1">
        <v>1294</v>
      </c>
      <c r="B3715">
        <v>5</v>
      </c>
      <c r="C3715">
        <v>60</v>
      </c>
      <c r="D3715">
        <v>1</v>
      </c>
      <c r="E3715">
        <v>0</v>
      </c>
      <c r="F3715">
        <v>1</v>
      </c>
      <c r="G3715">
        <v>7</v>
      </c>
      <c r="H3715">
        <v>2</v>
      </c>
      <c r="I3715">
        <v>3000.01</v>
      </c>
      <c r="J3715">
        <v>9</v>
      </c>
      <c r="K3715">
        <v>0</v>
      </c>
      <c r="L3715" s="4">
        <v>0.92902013739376421</v>
      </c>
      <c r="M3715" s="4">
        <v>7.0979862606235816E-2</v>
      </c>
      <c r="N3715">
        <v>9</v>
      </c>
    </row>
    <row r="3716" spans="1:14" x14ac:dyDescent="0.35">
      <c r="A3716" s="1">
        <v>1935</v>
      </c>
      <c r="B3716">
        <v>6</v>
      </c>
      <c r="C3716">
        <v>63</v>
      </c>
      <c r="D3716">
        <v>5</v>
      </c>
      <c r="E3716">
        <v>0</v>
      </c>
      <c r="F3716">
        <v>0</v>
      </c>
      <c r="G3716">
        <v>4</v>
      </c>
      <c r="H3716">
        <v>2</v>
      </c>
      <c r="I3716">
        <v>5000</v>
      </c>
      <c r="J3716">
        <v>4</v>
      </c>
      <c r="K3716">
        <v>0</v>
      </c>
      <c r="L3716" s="4">
        <v>0.92904152010778962</v>
      </c>
      <c r="M3716" s="4">
        <v>7.095847989221038E-2</v>
      </c>
      <c r="N3716">
        <v>9</v>
      </c>
    </row>
    <row r="3717" spans="1:14" x14ac:dyDescent="0.35">
      <c r="A3717" s="1">
        <v>1979</v>
      </c>
      <c r="B3717">
        <v>9</v>
      </c>
      <c r="C3717">
        <v>79</v>
      </c>
      <c r="D3717">
        <v>1</v>
      </c>
      <c r="E3717">
        <v>0</v>
      </c>
      <c r="F3717">
        <v>0</v>
      </c>
      <c r="G3717">
        <v>4</v>
      </c>
      <c r="H3717">
        <v>0</v>
      </c>
      <c r="I3717">
        <v>12053.34</v>
      </c>
      <c r="J3717">
        <v>25</v>
      </c>
      <c r="K3717">
        <v>0</v>
      </c>
      <c r="L3717" s="4">
        <v>0.929044530296112</v>
      </c>
      <c r="M3717" s="4">
        <v>7.0955469703887955E-2</v>
      </c>
      <c r="N3717">
        <v>9</v>
      </c>
    </row>
    <row r="3718" spans="1:14" x14ac:dyDescent="0.35">
      <c r="A3718" s="1">
        <v>2603</v>
      </c>
      <c r="B3718">
        <v>9</v>
      </c>
      <c r="C3718">
        <v>77</v>
      </c>
      <c r="D3718">
        <v>1</v>
      </c>
      <c r="E3718">
        <v>0</v>
      </c>
      <c r="F3718">
        <v>0</v>
      </c>
      <c r="G3718">
        <v>2</v>
      </c>
      <c r="H3718">
        <v>2</v>
      </c>
      <c r="I3718">
        <v>3000</v>
      </c>
      <c r="J3718">
        <v>1</v>
      </c>
      <c r="K3718">
        <v>0</v>
      </c>
      <c r="L3718" s="4">
        <v>0.9291844971755242</v>
      </c>
      <c r="M3718" s="4">
        <v>7.0815502824475754E-2</v>
      </c>
      <c r="N3718">
        <v>9</v>
      </c>
    </row>
    <row r="3719" spans="1:14" x14ac:dyDescent="0.35">
      <c r="A3719" s="1">
        <v>3948</v>
      </c>
      <c r="B3719">
        <v>6</v>
      </c>
      <c r="C3719">
        <v>64</v>
      </c>
      <c r="D3719">
        <v>1</v>
      </c>
      <c r="E3719">
        <v>0</v>
      </c>
      <c r="F3719">
        <v>4</v>
      </c>
      <c r="G3719">
        <v>9</v>
      </c>
      <c r="H3719">
        <v>0</v>
      </c>
      <c r="I3719">
        <v>6000</v>
      </c>
      <c r="J3719">
        <v>7</v>
      </c>
      <c r="K3719">
        <v>0</v>
      </c>
      <c r="L3719" s="4">
        <v>0.92921408816828666</v>
      </c>
      <c r="M3719" s="4">
        <v>7.0785911831713358E-2</v>
      </c>
      <c r="N3719">
        <v>9</v>
      </c>
    </row>
    <row r="3720" spans="1:14" x14ac:dyDescent="0.35">
      <c r="A3720" s="1">
        <v>2049</v>
      </c>
      <c r="B3720">
        <v>5</v>
      </c>
      <c r="C3720">
        <v>55</v>
      </c>
      <c r="D3720">
        <v>0</v>
      </c>
      <c r="E3720">
        <v>1</v>
      </c>
      <c r="F3720">
        <v>3</v>
      </c>
      <c r="G3720">
        <v>3</v>
      </c>
      <c r="H3720">
        <v>2</v>
      </c>
      <c r="I3720">
        <v>4000</v>
      </c>
      <c r="J3720">
        <v>7</v>
      </c>
      <c r="K3720">
        <v>0</v>
      </c>
      <c r="L3720" s="4">
        <v>0.92929364931896674</v>
      </c>
      <c r="M3720" s="4">
        <v>7.0706350681033203E-2</v>
      </c>
      <c r="N3720">
        <v>9</v>
      </c>
    </row>
    <row r="3721" spans="1:14" x14ac:dyDescent="0.35">
      <c r="A3721" s="1">
        <v>4152</v>
      </c>
      <c r="B3721">
        <v>7</v>
      </c>
      <c r="C3721">
        <v>69</v>
      </c>
      <c r="D3721">
        <v>1</v>
      </c>
      <c r="E3721">
        <v>0</v>
      </c>
      <c r="F3721">
        <v>3</v>
      </c>
      <c r="G3721">
        <v>3</v>
      </c>
      <c r="H3721">
        <v>0</v>
      </c>
      <c r="I3721">
        <v>6000</v>
      </c>
      <c r="J3721">
        <v>2</v>
      </c>
      <c r="K3721">
        <v>0</v>
      </c>
      <c r="L3721" s="4">
        <v>0.92935969024550391</v>
      </c>
      <c r="M3721" s="4">
        <v>7.0640309754496047E-2</v>
      </c>
      <c r="N3721">
        <v>9</v>
      </c>
    </row>
    <row r="3722" spans="1:14" x14ac:dyDescent="0.35">
      <c r="A3722" s="1">
        <v>3972</v>
      </c>
      <c r="B3722">
        <v>6</v>
      </c>
      <c r="C3722">
        <v>64</v>
      </c>
      <c r="D3722">
        <v>0</v>
      </c>
      <c r="E3722">
        <v>0</v>
      </c>
      <c r="F3722">
        <v>3</v>
      </c>
      <c r="G3722">
        <v>3</v>
      </c>
      <c r="H3722">
        <v>2</v>
      </c>
      <c r="I3722">
        <v>3000</v>
      </c>
      <c r="J3722">
        <v>8</v>
      </c>
      <c r="K3722">
        <v>0</v>
      </c>
      <c r="L3722" s="4">
        <v>0.92947067425540475</v>
      </c>
      <c r="M3722" s="4">
        <v>7.0529325744595223E-2</v>
      </c>
      <c r="N3722">
        <v>9</v>
      </c>
    </row>
    <row r="3723" spans="1:14" x14ac:dyDescent="0.35">
      <c r="A3723" s="1">
        <v>3289</v>
      </c>
      <c r="B3723">
        <v>7</v>
      </c>
      <c r="C3723">
        <v>68</v>
      </c>
      <c r="D3723">
        <v>1</v>
      </c>
      <c r="E3723">
        <v>0</v>
      </c>
      <c r="F3723">
        <v>4</v>
      </c>
      <c r="G3723">
        <v>9</v>
      </c>
      <c r="H3723">
        <v>0</v>
      </c>
      <c r="I3723">
        <v>6000</v>
      </c>
      <c r="J3723">
        <v>1</v>
      </c>
      <c r="K3723">
        <v>0</v>
      </c>
      <c r="L3723" s="4">
        <v>0.92952186366249545</v>
      </c>
      <c r="M3723" s="4">
        <v>7.0478136337504535E-2</v>
      </c>
      <c r="N3723">
        <v>9</v>
      </c>
    </row>
    <row r="3724" spans="1:14" x14ac:dyDescent="0.35">
      <c r="A3724" s="1">
        <v>3494</v>
      </c>
      <c r="B3724">
        <v>7</v>
      </c>
      <c r="C3724">
        <v>67</v>
      </c>
      <c r="D3724">
        <v>4</v>
      </c>
      <c r="E3724">
        <v>0</v>
      </c>
      <c r="F3724">
        <v>0</v>
      </c>
      <c r="G3724">
        <v>11</v>
      </c>
      <c r="H3724">
        <v>2</v>
      </c>
      <c r="I3724">
        <v>4470.57</v>
      </c>
      <c r="J3724">
        <v>6</v>
      </c>
      <c r="K3724">
        <v>0</v>
      </c>
      <c r="L3724" s="4">
        <v>0.9295268168419184</v>
      </c>
      <c r="M3724" s="4">
        <v>7.0473183158081654E-2</v>
      </c>
      <c r="N3724">
        <v>9</v>
      </c>
    </row>
    <row r="3725" spans="1:14" x14ac:dyDescent="0.35">
      <c r="A3725" s="1">
        <v>752</v>
      </c>
      <c r="B3725">
        <v>8</v>
      </c>
      <c r="C3725">
        <v>66</v>
      </c>
      <c r="D3725">
        <v>5</v>
      </c>
      <c r="E3725">
        <v>1</v>
      </c>
      <c r="F3725">
        <v>3</v>
      </c>
      <c r="G3725">
        <v>8</v>
      </c>
      <c r="H3725">
        <v>0</v>
      </c>
      <c r="I3725">
        <v>6000</v>
      </c>
      <c r="J3725">
        <v>2</v>
      </c>
      <c r="K3725">
        <v>0</v>
      </c>
      <c r="L3725" s="4">
        <v>0.92961499546878912</v>
      </c>
      <c r="M3725" s="4">
        <v>7.0385004531210868E-2</v>
      </c>
      <c r="N3725">
        <v>9</v>
      </c>
    </row>
    <row r="3726" spans="1:14" x14ac:dyDescent="0.35">
      <c r="A3726" s="1">
        <v>2491</v>
      </c>
      <c r="B3726">
        <v>8</v>
      </c>
      <c r="C3726">
        <v>61</v>
      </c>
      <c r="D3726">
        <v>3</v>
      </c>
      <c r="E3726">
        <v>2</v>
      </c>
      <c r="F3726">
        <v>3</v>
      </c>
      <c r="G3726">
        <v>3</v>
      </c>
      <c r="H3726">
        <v>2</v>
      </c>
      <c r="I3726">
        <v>3000</v>
      </c>
      <c r="J3726">
        <v>7</v>
      </c>
      <c r="K3726">
        <v>0</v>
      </c>
      <c r="L3726" s="4">
        <v>0.92967949018952234</v>
      </c>
      <c r="M3726" s="4">
        <v>7.0320509810477633E-2</v>
      </c>
      <c r="N3726">
        <v>9</v>
      </c>
    </row>
    <row r="3727" spans="1:14" x14ac:dyDescent="0.35">
      <c r="A3727" s="1">
        <v>885</v>
      </c>
      <c r="B3727">
        <v>4</v>
      </c>
      <c r="C3727">
        <v>51</v>
      </c>
      <c r="D3727">
        <v>5</v>
      </c>
      <c r="E3727">
        <v>1</v>
      </c>
      <c r="F3727">
        <v>1</v>
      </c>
      <c r="G3727">
        <v>7</v>
      </c>
      <c r="H3727">
        <v>0</v>
      </c>
      <c r="I3727">
        <v>9000</v>
      </c>
      <c r="J3727">
        <v>5</v>
      </c>
      <c r="K3727">
        <v>0</v>
      </c>
      <c r="L3727" s="4">
        <v>0.92969561494608977</v>
      </c>
      <c r="M3727" s="4">
        <v>7.0304385053910248E-2</v>
      </c>
      <c r="N3727">
        <v>9</v>
      </c>
    </row>
    <row r="3728" spans="1:14" x14ac:dyDescent="0.35">
      <c r="A3728" s="1">
        <v>233</v>
      </c>
      <c r="B3728">
        <v>8</v>
      </c>
      <c r="C3728">
        <v>75</v>
      </c>
      <c r="D3728">
        <v>0</v>
      </c>
      <c r="E3728">
        <v>0</v>
      </c>
      <c r="F3728">
        <v>0</v>
      </c>
      <c r="G3728">
        <v>4</v>
      </c>
      <c r="H3728">
        <v>0</v>
      </c>
      <c r="I3728">
        <v>6000</v>
      </c>
      <c r="J3728">
        <v>6</v>
      </c>
      <c r="K3728">
        <v>0</v>
      </c>
      <c r="L3728" s="4">
        <v>0.92975898457056316</v>
      </c>
      <c r="M3728" s="4">
        <v>7.0241015429436837E-2</v>
      </c>
      <c r="N3728">
        <v>9</v>
      </c>
    </row>
    <row r="3729" spans="1:14" x14ac:dyDescent="0.35">
      <c r="A3729" s="1">
        <v>2944</v>
      </c>
      <c r="B3729">
        <v>4</v>
      </c>
      <c r="C3729">
        <v>51</v>
      </c>
      <c r="D3729">
        <v>0</v>
      </c>
      <c r="E3729">
        <v>1</v>
      </c>
      <c r="F3729">
        <v>3</v>
      </c>
      <c r="G3729">
        <v>3</v>
      </c>
      <c r="H3729">
        <v>2</v>
      </c>
      <c r="I3729">
        <v>2500</v>
      </c>
      <c r="J3729">
        <v>5</v>
      </c>
      <c r="K3729">
        <v>0</v>
      </c>
      <c r="L3729" s="4">
        <v>0.92981807237107883</v>
      </c>
      <c r="M3729" s="4">
        <v>7.018192762892117E-2</v>
      </c>
      <c r="N3729">
        <v>9</v>
      </c>
    </row>
    <row r="3730" spans="1:14" x14ac:dyDescent="0.35">
      <c r="A3730" s="1">
        <v>850</v>
      </c>
      <c r="B3730">
        <v>7</v>
      </c>
      <c r="C3730">
        <v>69</v>
      </c>
      <c r="D3730">
        <v>3</v>
      </c>
      <c r="E3730">
        <v>0</v>
      </c>
      <c r="F3730">
        <v>2</v>
      </c>
      <c r="G3730">
        <v>1</v>
      </c>
      <c r="H3730">
        <v>0</v>
      </c>
      <c r="I3730">
        <v>6053.35</v>
      </c>
      <c r="J3730">
        <v>6</v>
      </c>
      <c r="K3730">
        <v>0</v>
      </c>
      <c r="L3730" s="4">
        <v>0.92988147004404931</v>
      </c>
      <c r="M3730" s="4">
        <v>7.0118529955950651E-2</v>
      </c>
      <c r="N3730">
        <v>9</v>
      </c>
    </row>
    <row r="3731" spans="1:14" x14ac:dyDescent="0.35">
      <c r="A3731" s="1">
        <v>1803</v>
      </c>
      <c r="B3731">
        <v>6</v>
      </c>
      <c r="C3731">
        <v>57</v>
      </c>
      <c r="D3731">
        <v>3</v>
      </c>
      <c r="E3731">
        <v>1</v>
      </c>
      <c r="F3731">
        <v>3</v>
      </c>
      <c r="G3731">
        <v>3</v>
      </c>
      <c r="H3731">
        <v>3</v>
      </c>
      <c r="I3731">
        <v>0.01</v>
      </c>
      <c r="J3731">
        <v>4</v>
      </c>
      <c r="K3731">
        <v>0</v>
      </c>
      <c r="L3731" s="4">
        <v>0.92993813074455323</v>
      </c>
      <c r="M3731" s="4">
        <v>7.0061869255446746E-2</v>
      </c>
      <c r="N3731">
        <v>9</v>
      </c>
    </row>
    <row r="3732" spans="1:14" x14ac:dyDescent="0.35">
      <c r="A3732" s="1">
        <v>4348</v>
      </c>
      <c r="B3732">
        <v>8</v>
      </c>
      <c r="C3732">
        <v>74</v>
      </c>
      <c r="D3732">
        <v>3</v>
      </c>
      <c r="E3732">
        <v>0</v>
      </c>
      <c r="F3732">
        <v>0</v>
      </c>
      <c r="G3732">
        <v>4</v>
      </c>
      <c r="H3732">
        <v>0</v>
      </c>
      <c r="I3732">
        <v>6000</v>
      </c>
      <c r="J3732">
        <v>17</v>
      </c>
      <c r="K3732">
        <v>1</v>
      </c>
      <c r="L3732" s="4">
        <v>0.93005868415289317</v>
      </c>
      <c r="M3732" s="4">
        <v>6.9941315847106819E-2</v>
      </c>
      <c r="N3732">
        <v>9</v>
      </c>
    </row>
    <row r="3733" spans="1:14" x14ac:dyDescent="0.35">
      <c r="A3733" s="1">
        <v>1355</v>
      </c>
      <c r="B3733">
        <v>6</v>
      </c>
      <c r="C3733">
        <v>64</v>
      </c>
      <c r="D3733">
        <v>2</v>
      </c>
      <c r="E3733">
        <v>0</v>
      </c>
      <c r="F3733">
        <v>0</v>
      </c>
      <c r="G3733">
        <v>10</v>
      </c>
      <c r="H3733">
        <v>2</v>
      </c>
      <c r="I3733">
        <v>300</v>
      </c>
      <c r="J3733">
        <v>8</v>
      </c>
      <c r="K3733">
        <v>0</v>
      </c>
      <c r="L3733" s="4">
        <v>0.93013039214197735</v>
      </c>
      <c r="M3733" s="4">
        <v>6.9869607858022612E-2</v>
      </c>
      <c r="N3733">
        <v>9</v>
      </c>
    </row>
    <row r="3734" spans="1:14" x14ac:dyDescent="0.35">
      <c r="A3734" s="1">
        <v>2463</v>
      </c>
      <c r="B3734">
        <v>8</v>
      </c>
      <c r="C3734">
        <v>68</v>
      </c>
      <c r="D3734">
        <v>1</v>
      </c>
      <c r="E3734">
        <v>1</v>
      </c>
      <c r="F3734">
        <v>3</v>
      </c>
      <c r="G3734">
        <v>8</v>
      </c>
      <c r="H3734">
        <v>1</v>
      </c>
      <c r="I3734">
        <v>36075</v>
      </c>
      <c r="J3734">
        <v>4</v>
      </c>
      <c r="K3734">
        <v>0</v>
      </c>
      <c r="L3734" s="4">
        <v>0.93014447373124653</v>
      </c>
      <c r="M3734" s="4">
        <v>6.9855526268753423E-2</v>
      </c>
      <c r="N3734">
        <v>9</v>
      </c>
    </row>
    <row r="3735" spans="1:14" x14ac:dyDescent="0.35">
      <c r="A3735" s="1">
        <v>2576</v>
      </c>
      <c r="B3735">
        <v>5</v>
      </c>
      <c r="C3735">
        <v>63</v>
      </c>
      <c r="D3735">
        <v>1</v>
      </c>
      <c r="E3735">
        <v>0</v>
      </c>
      <c r="F3735">
        <v>0</v>
      </c>
      <c r="G3735">
        <v>2</v>
      </c>
      <c r="H3735">
        <v>0</v>
      </c>
      <c r="I3735">
        <v>18958.86</v>
      </c>
      <c r="J3735">
        <v>3</v>
      </c>
      <c r="K3735">
        <v>0</v>
      </c>
      <c r="L3735" s="4">
        <v>0.93023839374348483</v>
      </c>
      <c r="M3735" s="4">
        <v>6.9761606256515188E-2</v>
      </c>
      <c r="N3735">
        <v>9</v>
      </c>
    </row>
    <row r="3736" spans="1:14" x14ac:dyDescent="0.35">
      <c r="A3736" s="1">
        <v>1658</v>
      </c>
      <c r="B3736">
        <v>4</v>
      </c>
      <c r="C3736">
        <v>49</v>
      </c>
      <c r="D3736">
        <v>3</v>
      </c>
      <c r="E3736">
        <v>1</v>
      </c>
      <c r="F3736">
        <v>3</v>
      </c>
      <c r="G3736">
        <v>3</v>
      </c>
      <c r="H3736">
        <v>3</v>
      </c>
      <c r="I3736">
        <v>0.01</v>
      </c>
      <c r="J3736">
        <v>5</v>
      </c>
      <c r="K3736">
        <v>0</v>
      </c>
      <c r="L3736" s="4">
        <v>0.93024752332817795</v>
      </c>
      <c r="M3736" s="4">
        <v>6.9752476671821995E-2</v>
      </c>
      <c r="N3736">
        <v>9</v>
      </c>
    </row>
    <row r="3737" spans="1:14" x14ac:dyDescent="0.35">
      <c r="A3737" s="1">
        <v>2041</v>
      </c>
      <c r="B3737">
        <v>10</v>
      </c>
      <c r="C3737">
        <v>79</v>
      </c>
      <c r="D3737">
        <v>3</v>
      </c>
      <c r="E3737">
        <v>0</v>
      </c>
      <c r="F3737">
        <v>0</v>
      </c>
      <c r="G3737">
        <v>11</v>
      </c>
      <c r="H3737">
        <v>3</v>
      </c>
      <c r="I3737">
        <v>0.01</v>
      </c>
      <c r="J3737">
        <v>9</v>
      </c>
      <c r="K3737">
        <v>0</v>
      </c>
      <c r="L3737" s="4">
        <v>0.93030831592602947</v>
      </c>
      <c r="M3737" s="4">
        <v>6.9691684073970528E-2</v>
      </c>
      <c r="N3737">
        <v>9</v>
      </c>
    </row>
    <row r="3738" spans="1:14" x14ac:dyDescent="0.35">
      <c r="A3738" s="1">
        <v>2276</v>
      </c>
      <c r="B3738">
        <v>6</v>
      </c>
      <c r="C3738">
        <v>58</v>
      </c>
      <c r="D3738">
        <v>1</v>
      </c>
      <c r="E3738">
        <v>1</v>
      </c>
      <c r="F3738">
        <v>3</v>
      </c>
      <c r="G3738">
        <v>3</v>
      </c>
      <c r="H3738">
        <v>3</v>
      </c>
      <c r="I3738">
        <v>0.01</v>
      </c>
      <c r="J3738">
        <v>5</v>
      </c>
      <c r="K3738">
        <v>0</v>
      </c>
      <c r="L3738" s="4">
        <v>0.93034642289647174</v>
      </c>
      <c r="M3738" s="4">
        <v>6.9653577103528305E-2</v>
      </c>
      <c r="N3738">
        <v>9</v>
      </c>
    </row>
    <row r="3739" spans="1:14" x14ac:dyDescent="0.35">
      <c r="A3739" s="1">
        <v>3250</v>
      </c>
      <c r="B3739">
        <v>5</v>
      </c>
      <c r="C3739">
        <v>49</v>
      </c>
      <c r="D3739">
        <v>4</v>
      </c>
      <c r="E3739">
        <v>2</v>
      </c>
      <c r="F3739">
        <v>0</v>
      </c>
      <c r="G3739">
        <v>4</v>
      </c>
      <c r="H3739">
        <v>3</v>
      </c>
      <c r="I3739">
        <v>0.01</v>
      </c>
      <c r="J3739">
        <v>1</v>
      </c>
      <c r="K3739">
        <v>0</v>
      </c>
      <c r="L3739" s="4">
        <v>0.93046892168478434</v>
      </c>
      <c r="M3739" s="4">
        <v>6.9531078315215655E-2</v>
      </c>
      <c r="N3739">
        <v>9</v>
      </c>
    </row>
    <row r="3740" spans="1:14" x14ac:dyDescent="0.35">
      <c r="A3740" s="1">
        <v>1247</v>
      </c>
      <c r="B3740">
        <v>8</v>
      </c>
      <c r="C3740">
        <v>72</v>
      </c>
      <c r="D3740">
        <v>1</v>
      </c>
      <c r="E3740">
        <v>0</v>
      </c>
      <c r="F3740">
        <v>1</v>
      </c>
      <c r="G3740">
        <v>12</v>
      </c>
      <c r="H3740">
        <v>2</v>
      </c>
      <c r="I3740">
        <v>1400</v>
      </c>
      <c r="J3740">
        <v>7</v>
      </c>
      <c r="K3740">
        <v>0</v>
      </c>
      <c r="L3740" s="4">
        <v>0.93055618065452128</v>
      </c>
      <c r="M3740" s="4">
        <v>6.9443819345478677E-2</v>
      </c>
      <c r="N3740">
        <v>9</v>
      </c>
    </row>
    <row r="3741" spans="1:14" x14ac:dyDescent="0.35">
      <c r="A3741" s="1">
        <v>1579</v>
      </c>
      <c r="B3741">
        <v>5</v>
      </c>
      <c r="C3741">
        <v>50</v>
      </c>
      <c r="D3741">
        <v>2</v>
      </c>
      <c r="E3741">
        <v>2</v>
      </c>
      <c r="F3741">
        <v>0</v>
      </c>
      <c r="G3741">
        <v>4</v>
      </c>
      <c r="H3741">
        <v>3</v>
      </c>
      <c r="I3741">
        <v>0.01</v>
      </c>
      <c r="J3741">
        <v>5</v>
      </c>
      <c r="K3741">
        <v>0</v>
      </c>
      <c r="L3741" s="4">
        <v>0.93062586762543953</v>
      </c>
      <c r="M3741" s="4">
        <v>6.9374132374560415E-2</v>
      </c>
      <c r="N3741">
        <v>9</v>
      </c>
    </row>
    <row r="3742" spans="1:14" x14ac:dyDescent="0.35">
      <c r="A3742" s="1">
        <v>3690</v>
      </c>
      <c r="B3742">
        <v>3</v>
      </c>
      <c r="C3742">
        <v>51</v>
      </c>
      <c r="D3742">
        <v>5</v>
      </c>
      <c r="E3742">
        <v>0</v>
      </c>
      <c r="F3742">
        <v>3</v>
      </c>
      <c r="G3742">
        <v>8</v>
      </c>
      <c r="H3742">
        <v>0</v>
      </c>
      <c r="I3742">
        <v>6053.35</v>
      </c>
      <c r="J3742">
        <v>5</v>
      </c>
      <c r="K3742">
        <v>0</v>
      </c>
      <c r="L3742" s="4">
        <v>0.93069087849942189</v>
      </c>
      <c r="M3742" s="4">
        <v>6.9309121500578136E-2</v>
      </c>
      <c r="N3742">
        <v>9</v>
      </c>
    </row>
    <row r="3743" spans="1:14" x14ac:dyDescent="0.35">
      <c r="A3743" s="1">
        <v>2663</v>
      </c>
      <c r="B3743">
        <v>6</v>
      </c>
      <c r="C3743">
        <v>65</v>
      </c>
      <c r="D3743">
        <v>3</v>
      </c>
      <c r="E3743">
        <v>0</v>
      </c>
      <c r="F3743">
        <v>1</v>
      </c>
      <c r="G3743">
        <v>7</v>
      </c>
      <c r="H3743">
        <v>0</v>
      </c>
      <c r="I3743">
        <v>6000</v>
      </c>
      <c r="J3743">
        <v>2</v>
      </c>
      <c r="K3743">
        <v>0</v>
      </c>
      <c r="L3743" s="4">
        <v>0.93070889388858902</v>
      </c>
      <c r="M3743" s="4">
        <v>6.9291106111410983E-2</v>
      </c>
      <c r="N3743">
        <v>9</v>
      </c>
    </row>
    <row r="3744" spans="1:14" x14ac:dyDescent="0.35">
      <c r="A3744" s="1">
        <v>2468</v>
      </c>
      <c r="B3744">
        <v>3</v>
      </c>
      <c r="C3744">
        <v>51</v>
      </c>
      <c r="D3744">
        <v>1</v>
      </c>
      <c r="E3744">
        <v>0</v>
      </c>
      <c r="F3744">
        <v>1</v>
      </c>
      <c r="G3744">
        <v>12</v>
      </c>
      <c r="H3744">
        <v>3</v>
      </c>
      <c r="I3744">
        <v>0.01</v>
      </c>
      <c r="J3744">
        <v>5</v>
      </c>
      <c r="K3744">
        <v>0</v>
      </c>
      <c r="L3744" s="4">
        <v>0.93079955645960077</v>
      </c>
      <c r="M3744" s="4">
        <v>6.9200443540399212E-2</v>
      </c>
      <c r="N3744">
        <v>9</v>
      </c>
    </row>
    <row r="3745" spans="1:14" x14ac:dyDescent="0.35">
      <c r="A3745" s="1">
        <v>3466</v>
      </c>
      <c r="B3745">
        <v>3</v>
      </c>
      <c r="C3745">
        <v>52</v>
      </c>
      <c r="D3745">
        <v>2</v>
      </c>
      <c r="E3745">
        <v>0</v>
      </c>
      <c r="F3745">
        <v>0</v>
      </c>
      <c r="G3745">
        <v>2</v>
      </c>
      <c r="H3745">
        <v>3</v>
      </c>
      <c r="I3745">
        <v>0.01</v>
      </c>
      <c r="J3745">
        <v>7</v>
      </c>
      <c r="K3745">
        <v>0</v>
      </c>
      <c r="L3745" s="4">
        <v>0.93083733783442768</v>
      </c>
      <c r="M3745" s="4">
        <v>6.9162662165572319E-2</v>
      </c>
      <c r="N3745">
        <v>9</v>
      </c>
    </row>
    <row r="3746" spans="1:14" x14ac:dyDescent="0.35">
      <c r="A3746" s="1">
        <v>395</v>
      </c>
      <c r="B3746">
        <v>10</v>
      </c>
      <c r="C3746">
        <v>75</v>
      </c>
      <c r="D3746">
        <v>2</v>
      </c>
      <c r="E3746">
        <v>1</v>
      </c>
      <c r="F3746">
        <v>3</v>
      </c>
      <c r="G3746">
        <v>3</v>
      </c>
      <c r="H3746">
        <v>2</v>
      </c>
      <c r="I3746">
        <v>2000</v>
      </c>
      <c r="J3746">
        <v>20</v>
      </c>
      <c r="K3746">
        <v>0</v>
      </c>
      <c r="L3746" s="4">
        <v>0.93085529384195864</v>
      </c>
      <c r="M3746" s="4">
        <v>6.9144706158041344E-2</v>
      </c>
      <c r="N3746">
        <v>9</v>
      </c>
    </row>
    <row r="3747" spans="1:14" x14ac:dyDescent="0.35">
      <c r="A3747" s="1">
        <v>810</v>
      </c>
      <c r="B3747">
        <v>6</v>
      </c>
      <c r="C3747">
        <v>63</v>
      </c>
      <c r="D3747">
        <v>3</v>
      </c>
      <c r="E3747">
        <v>0</v>
      </c>
      <c r="F3747">
        <v>3</v>
      </c>
      <c r="G3747">
        <v>8</v>
      </c>
      <c r="H3747">
        <v>2</v>
      </c>
      <c r="I3747">
        <v>3000</v>
      </c>
      <c r="J3747">
        <v>27</v>
      </c>
      <c r="K3747">
        <v>0</v>
      </c>
      <c r="L3747" s="4">
        <v>0.93088420466086685</v>
      </c>
      <c r="M3747" s="4">
        <v>6.911579533913316E-2</v>
      </c>
      <c r="N3747">
        <v>9</v>
      </c>
    </row>
    <row r="3748" spans="1:14" x14ac:dyDescent="0.35">
      <c r="A3748" s="1">
        <v>2627</v>
      </c>
      <c r="B3748">
        <v>8</v>
      </c>
      <c r="C3748">
        <v>69</v>
      </c>
      <c r="D3748">
        <v>1</v>
      </c>
      <c r="E3748">
        <v>1</v>
      </c>
      <c r="F3748">
        <v>3</v>
      </c>
      <c r="G3748">
        <v>3</v>
      </c>
      <c r="H3748">
        <v>0</v>
      </c>
      <c r="I3748">
        <v>19105.32</v>
      </c>
      <c r="J3748">
        <v>7</v>
      </c>
      <c r="K3748">
        <v>0</v>
      </c>
      <c r="L3748" s="4">
        <v>0.93093316185386643</v>
      </c>
      <c r="M3748" s="4">
        <v>6.9066838146133569E-2</v>
      </c>
      <c r="N3748">
        <v>9</v>
      </c>
    </row>
    <row r="3749" spans="1:14" x14ac:dyDescent="0.35">
      <c r="A3749" s="1">
        <v>3720</v>
      </c>
      <c r="B3749">
        <v>6</v>
      </c>
      <c r="C3749">
        <v>66</v>
      </c>
      <c r="D3749">
        <v>3</v>
      </c>
      <c r="E3749">
        <v>0</v>
      </c>
      <c r="F3749">
        <v>0</v>
      </c>
      <c r="G3749">
        <v>2</v>
      </c>
      <c r="H3749">
        <v>1</v>
      </c>
      <c r="I3749">
        <v>32104.65</v>
      </c>
      <c r="J3749">
        <v>4</v>
      </c>
      <c r="K3749">
        <v>0</v>
      </c>
      <c r="L3749" s="4">
        <v>0.93094596606738311</v>
      </c>
      <c r="M3749" s="4">
        <v>6.9054033932616901E-2</v>
      </c>
      <c r="N3749">
        <v>9</v>
      </c>
    </row>
    <row r="3750" spans="1:14" x14ac:dyDescent="0.35">
      <c r="A3750" s="1">
        <v>595</v>
      </c>
      <c r="B3750">
        <v>8</v>
      </c>
      <c r="C3750">
        <v>76</v>
      </c>
      <c r="D3750">
        <v>0</v>
      </c>
      <c r="E3750">
        <v>0</v>
      </c>
      <c r="F3750">
        <v>0</v>
      </c>
      <c r="G3750">
        <v>2</v>
      </c>
      <c r="H3750">
        <v>0</v>
      </c>
      <c r="I3750">
        <v>13000</v>
      </c>
      <c r="J3750">
        <v>21</v>
      </c>
      <c r="K3750">
        <v>0</v>
      </c>
      <c r="L3750" s="4">
        <v>0.93096660805784581</v>
      </c>
      <c r="M3750" s="4">
        <v>6.9033391942154229E-2</v>
      </c>
      <c r="N3750">
        <v>9</v>
      </c>
    </row>
    <row r="3751" spans="1:14" x14ac:dyDescent="0.35">
      <c r="A3751" s="1">
        <v>2882</v>
      </c>
      <c r="B3751">
        <v>5</v>
      </c>
      <c r="C3751">
        <v>59</v>
      </c>
      <c r="D3751">
        <v>3</v>
      </c>
      <c r="E3751">
        <v>0</v>
      </c>
      <c r="F3751">
        <v>3</v>
      </c>
      <c r="G3751">
        <v>3</v>
      </c>
      <c r="H3751">
        <v>2</v>
      </c>
      <c r="I3751">
        <v>960</v>
      </c>
      <c r="J3751">
        <v>9</v>
      </c>
      <c r="K3751">
        <v>0</v>
      </c>
      <c r="L3751" s="4">
        <v>0.9310122891136321</v>
      </c>
      <c r="M3751" s="4">
        <v>6.8987710886367903E-2</v>
      </c>
      <c r="N3751">
        <v>9</v>
      </c>
    </row>
    <row r="3752" spans="1:14" x14ac:dyDescent="0.35">
      <c r="A3752" s="1">
        <v>65</v>
      </c>
      <c r="B3752">
        <v>7</v>
      </c>
      <c r="C3752">
        <v>62</v>
      </c>
      <c r="D3752">
        <v>5</v>
      </c>
      <c r="E3752">
        <v>1</v>
      </c>
      <c r="F3752">
        <v>0</v>
      </c>
      <c r="G3752">
        <v>11</v>
      </c>
      <c r="H3752">
        <v>2</v>
      </c>
      <c r="I3752">
        <v>4000</v>
      </c>
      <c r="J3752">
        <v>5</v>
      </c>
      <c r="K3752">
        <v>0</v>
      </c>
      <c r="L3752" s="4">
        <v>0.93101564222620548</v>
      </c>
      <c r="M3752" s="4">
        <v>6.8984357773794497E-2</v>
      </c>
      <c r="N3752">
        <v>9</v>
      </c>
    </row>
    <row r="3753" spans="1:14" x14ac:dyDescent="0.35">
      <c r="A3753" s="1">
        <v>1875</v>
      </c>
      <c r="B3753">
        <v>8</v>
      </c>
      <c r="C3753">
        <v>64</v>
      </c>
      <c r="D3753">
        <v>2</v>
      </c>
      <c r="E3753">
        <v>2</v>
      </c>
      <c r="F3753">
        <v>0</v>
      </c>
      <c r="G3753">
        <v>11</v>
      </c>
      <c r="H3753">
        <v>1</v>
      </c>
      <c r="I3753">
        <v>24266.31</v>
      </c>
      <c r="J3753">
        <v>16</v>
      </c>
      <c r="K3753">
        <v>0</v>
      </c>
      <c r="L3753" s="4">
        <v>0.9311694859867119</v>
      </c>
      <c r="M3753" s="4">
        <v>6.883051401328813E-2</v>
      </c>
      <c r="N3753">
        <v>9</v>
      </c>
    </row>
    <row r="3754" spans="1:14" x14ac:dyDescent="0.35">
      <c r="A3754" s="1">
        <v>3618</v>
      </c>
      <c r="B3754">
        <v>9</v>
      </c>
      <c r="C3754">
        <v>65</v>
      </c>
      <c r="D3754">
        <v>2</v>
      </c>
      <c r="E3754">
        <v>2</v>
      </c>
      <c r="F3754">
        <v>3</v>
      </c>
      <c r="G3754">
        <v>3</v>
      </c>
      <c r="H3754">
        <v>3</v>
      </c>
      <c r="I3754">
        <v>0.01</v>
      </c>
      <c r="J3754">
        <v>4</v>
      </c>
      <c r="K3754">
        <v>0</v>
      </c>
      <c r="L3754" s="4">
        <v>0.93119244645072929</v>
      </c>
      <c r="M3754" s="4">
        <v>6.8807553549270678E-2</v>
      </c>
      <c r="N3754">
        <v>9</v>
      </c>
    </row>
    <row r="3755" spans="1:14" x14ac:dyDescent="0.35">
      <c r="A3755" s="1">
        <v>939</v>
      </c>
      <c r="B3755">
        <v>6</v>
      </c>
      <c r="C3755">
        <v>58</v>
      </c>
      <c r="D3755">
        <v>3</v>
      </c>
      <c r="E3755">
        <v>1</v>
      </c>
      <c r="F3755">
        <v>2</v>
      </c>
      <c r="G3755">
        <v>1</v>
      </c>
      <c r="H3755">
        <v>3</v>
      </c>
      <c r="I3755">
        <v>0.01</v>
      </c>
      <c r="J3755">
        <v>5</v>
      </c>
      <c r="K3755">
        <v>0</v>
      </c>
      <c r="L3755" s="4">
        <v>0.93119704999753183</v>
      </c>
      <c r="M3755" s="4">
        <v>6.8802950002468152E-2</v>
      </c>
      <c r="N3755">
        <v>9</v>
      </c>
    </row>
    <row r="3756" spans="1:14" x14ac:dyDescent="0.35">
      <c r="A3756" s="1">
        <v>4022</v>
      </c>
      <c r="B3756">
        <v>7</v>
      </c>
      <c r="C3756">
        <v>69</v>
      </c>
      <c r="D3756">
        <v>2</v>
      </c>
      <c r="E3756">
        <v>0</v>
      </c>
      <c r="F3756">
        <v>0</v>
      </c>
      <c r="G3756">
        <v>2</v>
      </c>
      <c r="H3756">
        <v>2</v>
      </c>
      <c r="I3756">
        <v>2000</v>
      </c>
      <c r="J3756">
        <v>3</v>
      </c>
      <c r="K3756">
        <v>0</v>
      </c>
      <c r="L3756" s="4">
        <v>0.93122217089347203</v>
      </c>
      <c r="M3756" s="4">
        <v>6.8777829106527938E-2</v>
      </c>
      <c r="N3756">
        <v>9</v>
      </c>
    </row>
    <row r="3757" spans="1:14" x14ac:dyDescent="0.35">
      <c r="A3757" s="1">
        <v>3731</v>
      </c>
      <c r="B3757">
        <v>7</v>
      </c>
      <c r="C3757">
        <v>69</v>
      </c>
      <c r="D3757">
        <v>3</v>
      </c>
      <c r="E3757">
        <v>0</v>
      </c>
      <c r="F3757">
        <v>0</v>
      </c>
      <c r="G3757">
        <v>2</v>
      </c>
      <c r="H3757">
        <v>2</v>
      </c>
      <c r="I3757">
        <v>3000</v>
      </c>
      <c r="J3757">
        <v>21</v>
      </c>
      <c r="K3757">
        <v>0</v>
      </c>
      <c r="L3757" s="4">
        <v>0.9313220268543615</v>
      </c>
      <c r="M3757" s="4">
        <v>6.8677973145638505E-2</v>
      </c>
      <c r="N3757">
        <v>9</v>
      </c>
    </row>
    <row r="3758" spans="1:14" x14ac:dyDescent="0.35">
      <c r="A3758" s="1">
        <v>2801</v>
      </c>
      <c r="B3758">
        <v>5</v>
      </c>
      <c r="C3758">
        <v>55</v>
      </c>
      <c r="D3758">
        <v>1</v>
      </c>
      <c r="E3758">
        <v>1</v>
      </c>
      <c r="F3758">
        <v>3</v>
      </c>
      <c r="G3758">
        <v>3</v>
      </c>
      <c r="H3758">
        <v>2</v>
      </c>
      <c r="I3758">
        <v>2200</v>
      </c>
      <c r="J3758">
        <v>5</v>
      </c>
      <c r="K3758">
        <v>0</v>
      </c>
      <c r="L3758" s="4">
        <v>0.93135308170260478</v>
      </c>
      <c r="M3758" s="4">
        <v>6.8646918297395235E-2</v>
      </c>
      <c r="N3758">
        <v>9</v>
      </c>
    </row>
    <row r="3759" spans="1:14" x14ac:dyDescent="0.35">
      <c r="A3759" s="1">
        <v>2557</v>
      </c>
      <c r="B3759">
        <v>3</v>
      </c>
      <c r="C3759">
        <v>52</v>
      </c>
      <c r="D3759">
        <v>2</v>
      </c>
      <c r="E3759">
        <v>0</v>
      </c>
      <c r="F3759">
        <v>1</v>
      </c>
      <c r="G3759">
        <v>7</v>
      </c>
      <c r="H3759">
        <v>2</v>
      </c>
      <c r="I3759">
        <v>4000</v>
      </c>
      <c r="J3759">
        <v>4</v>
      </c>
      <c r="K3759">
        <v>0</v>
      </c>
      <c r="L3759" s="4">
        <v>0.93143180802032288</v>
      </c>
      <c r="M3759" s="4">
        <v>6.8568191979677118E-2</v>
      </c>
      <c r="N3759">
        <v>9</v>
      </c>
    </row>
    <row r="3760" spans="1:14" x14ac:dyDescent="0.35">
      <c r="A3760" s="1">
        <v>1472</v>
      </c>
      <c r="B3760">
        <v>6</v>
      </c>
      <c r="C3760">
        <v>59</v>
      </c>
      <c r="D3760">
        <v>4</v>
      </c>
      <c r="E3760">
        <v>1</v>
      </c>
      <c r="F3760">
        <v>0</v>
      </c>
      <c r="G3760">
        <v>4</v>
      </c>
      <c r="H3760">
        <v>2</v>
      </c>
      <c r="I3760">
        <v>2000</v>
      </c>
      <c r="J3760">
        <v>1</v>
      </c>
      <c r="K3760">
        <v>0</v>
      </c>
      <c r="L3760" s="4">
        <v>0.9314529761065492</v>
      </c>
      <c r="M3760" s="4">
        <v>6.854702389345077E-2</v>
      </c>
      <c r="N3760">
        <v>9</v>
      </c>
    </row>
    <row r="3761" spans="1:14" x14ac:dyDescent="0.35">
      <c r="A3761" s="1">
        <v>4424</v>
      </c>
      <c r="B3761">
        <v>8</v>
      </c>
      <c r="C3761">
        <v>62</v>
      </c>
      <c r="D3761">
        <v>2</v>
      </c>
      <c r="E3761">
        <v>2</v>
      </c>
      <c r="F3761">
        <v>1</v>
      </c>
      <c r="G3761">
        <v>12</v>
      </c>
      <c r="H3761">
        <v>2</v>
      </c>
      <c r="I3761">
        <v>1000</v>
      </c>
      <c r="J3761">
        <v>8</v>
      </c>
      <c r="K3761">
        <v>0</v>
      </c>
      <c r="L3761" s="4">
        <v>0.9315113678403607</v>
      </c>
      <c r="M3761" s="4">
        <v>6.8488632159639268E-2</v>
      </c>
      <c r="N3761">
        <v>9</v>
      </c>
    </row>
    <row r="3762" spans="1:14" x14ac:dyDescent="0.35">
      <c r="A3762" s="1">
        <v>3386</v>
      </c>
      <c r="B3762">
        <v>9</v>
      </c>
      <c r="C3762">
        <v>70</v>
      </c>
      <c r="D3762">
        <v>1</v>
      </c>
      <c r="E3762">
        <v>1</v>
      </c>
      <c r="F3762">
        <v>3</v>
      </c>
      <c r="G3762">
        <v>8</v>
      </c>
      <c r="H3762">
        <v>3</v>
      </c>
      <c r="I3762">
        <v>0.01</v>
      </c>
      <c r="J3762">
        <v>4</v>
      </c>
      <c r="K3762">
        <v>0</v>
      </c>
      <c r="L3762" s="4">
        <v>0.9316101537156215</v>
      </c>
      <c r="M3762" s="4">
        <v>6.8389846284378497E-2</v>
      </c>
      <c r="N3762">
        <v>9</v>
      </c>
    </row>
    <row r="3763" spans="1:14" x14ac:dyDescent="0.35">
      <c r="A3763" s="1">
        <v>1753</v>
      </c>
      <c r="B3763">
        <v>9</v>
      </c>
      <c r="C3763">
        <v>77</v>
      </c>
      <c r="D3763">
        <v>2</v>
      </c>
      <c r="E3763">
        <v>0</v>
      </c>
      <c r="F3763">
        <v>3</v>
      </c>
      <c r="G3763">
        <v>8</v>
      </c>
      <c r="H3763">
        <v>0</v>
      </c>
      <c r="I3763">
        <v>8400</v>
      </c>
      <c r="J3763">
        <v>8</v>
      </c>
      <c r="K3763">
        <v>1</v>
      </c>
      <c r="L3763" s="4">
        <v>0.93169508165968784</v>
      </c>
      <c r="M3763" s="4">
        <v>6.8304918340312118E-2</v>
      </c>
      <c r="N3763">
        <v>9</v>
      </c>
    </row>
    <row r="3764" spans="1:14" x14ac:dyDescent="0.35">
      <c r="A3764" s="1">
        <v>2296</v>
      </c>
      <c r="B3764">
        <v>6</v>
      </c>
      <c r="C3764">
        <v>59</v>
      </c>
      <c r="D3764">
        <v>5</v>
      </c>
      <c r="E3764">
        <v>1</v>
      </c>
      <c r="F3764">
        <v>3</v>
      </c>
      <c r="G3764">
        <v>3</v>
      </c>
      <c r="H3764">
        <v>0</v>
      </c>
      <c r="I3764">
        <v>6053.35</v>
      </c>
      <c r="J3764">
        <v>7</v>
      </c>
      <c r="K3764">
        <v>0</v>
      </c>
      <c r="L3764" s="4">
        <v>0.93169667310845572</v>
      </c>
      <c r="M3764" s="4">
        <v>6.8303326891544294E-2</v>
      </c>
      <c r="N3764">
        <v>9</v>
      </c>
    </row>
    <row r="3765" spans="1:14" x14ac:dyDescent="0.35">
      <c r="A3765" s="1">
        <v>2037</v>
      </c>
      <c r="B3765">
        <v>8</v>
      </c>
      <c r="C3765">
        <v>72</v>
      </c>
      <c r="D3765">
        <v>5</v>
      </c>
      <c r="E3765">
        <v>0</v>
      </c>
      <c r="F3765">
        <v>0</v>
      </c>
      <c r="G3765">
        <v>2</v>
      </c>
      <c r="H3765">
        <v>2</v>
      </c>
      <c r="I3765">
        <v>3052.65</v>
      </c>
      <c r="J3765">
        <v>8</v>
      </c>
      <c r="K3765">
        <v>0</v>
      </c>
      <c r="L3765" s="4">
        <v>0.9317067472028947</v>
      </c>
      <c r="M3765" s="4">
        <v>6.8293252797105297E-2</v>
      </c>
      <c r="N3765">
        <v>9</v>
      </c>
    </row>
    <row r="3766" spans="1:14" x14ac:dyDescent="0.35">
      <c r="A3766" s="1">
        <v>3191</v>
      </c>
      <c r="B3766">
        <v>4</v>
      </c>
      <c r="C3766">
        <v>45</v>
      </c>
      <c r="D3766">
        <v>2</v>
      </c>
      <c r="E3766">
        <v>2</v>
      </c>
      <c r="F3766">
        <v>3</v>
      </c>
      <c r="G3766">
        <v>3</v>
      </c>
      <c r="H3766">
        <v>3</v>
      </c>
      <c r="I3766">
        <v>0.01</v>
      </c>
      <c r="J3766">
        <v>8</v>
      </c>
      <c r="K3766">
        <v>0</v>
      </c>
      <c r="L3766" s="4">
        <v>0.93182841698932395</v>
      </c>
      <c r="M3766" s="4">
        <v>6.8171583010676065E-2</v>
      </c>
      <c r="N3766">
        <v>9</v>
      </c>
    </row>
    <row r="3767" spans="1:14" x14ac:dyDescent="0.35">
      <c r="A3767" s="1">
        <v>2335</v>
      </c>
      <c r="B3767">
        <v>4</v>
      </c>
      <c r="C3767">
        <v>54</v>
      </c>
      <c r="D3767">
        <v>3</v>
      </c>
      <c r="E3767">
        <v>0</v>
      </c>
      <c r="F3767">
        <v>3</v>
      </c>
      <c r="G3767">
        <v>8</v>
      </c>
      <c r="H3767">
        <v>3</v>
      </c>
      <c r="I3767">
        <v>0.01</v>
      </c>
      <c r="J3767">
        <v>10</v>
      </c>
      <c r="K3767">
        <v>0</v>
      </c>
      <c r="L3767" s="4">
        <v>0.93194214470589731</v>
      </c>
      <c r="M3767" s="4">
        <v>6.8057855294102687E-2</v>
      </c>
      <c r="N3767">
        <v>9</v>
      </c>
    </row>
    <row r="3768" spans="1:14" x14ac:dyDescent="0.35">
      <c r="A3768" s="1">
        <v>686</v>
      </c>
      <c r="B3768">
        <v>11</v>
      </c>
      <c r="C3768">
        <v>78</v>
      </c>
      <c r="D3768">
        <v>2</v>
      </c>
      <c r="E3768">
        <v>1</v>
      </c>
      <c r="F3768">
        <v>4</v>
      </c>
      <c r="G3768">
        <v>9</v>
      </c>
      <c r="H3768">
        <v>2</v>
      </c>
      <c r="I3768">
        <v>5000</v>
      </c>
      <c r="J3768">
        <v>1</v>
      </c>
      <c r="K3768">
        <v>1</v>
      </c>
      <c r="L3768" s="4">
        <v>0.93198895477997834</v>
      </c>
      <c r="M3768" s="4">
        <v>6.8011045220021701E-2</v>
      </c>
      <c r="N3768">
        <v>9</v>
      </c>
    </row>
    <row r="3769" spans="1:14" x14ac:dyDescent="0.35">
      <c r="A3769" s="1">
        <v>2374</v>
      </c>
      <c r="B3769">
        <v>8</v>
      </c>
      <c r="C3769">
        <v>72</v>
      </c>
      <c r="D3769">
        <v>3</v>
      </c>
      <c r="E3769">
        <v>0</v>
      </c>
      <c r="F3769">
        <v>1</v>
      </c>
      <c r="G3769">
        <v>7</v>
      </c>
      <c r="H3769">
        <v>2</v>
      </c>
      <c r="I3769">
        <v>3000</v>
      </c>
      <c r="J3769">
        <v>6</v>
      </c>
      <c r="K3769">
        <v>0</v>
      </c>
      <c r="L3769" s="4">
        <v>0.93208259681972483</v>
      </c>
      <c r="M3769" s="4">
        <v>6.7917403180275226E-2</v>
      </c>
      <c r="N3769">
        <v>9</v>
      </c>
    </row>
    <row r="3770" spans="1:14" x14ac:dyDescent="0.35">
      <c r="A3770" s="1">
        <v>3437</v>
      </c>
      <c r="B3770">
        <v>5</v>
      </c>
      <c r="C3770">
        <v>60</v>
      </c>
      <c r="D3770">
        <v>3</v>
      </c>
      <c r="E3770">
        <v>0</v>
      </c>
      <c r="F3770">
        <v>0</v>
      </c>
      <c r="G3770">
        <v>11</v>
      </c>
      <c r="H3770">
        <v>2</v>
      </c>
      <c r="I3770">
        <v>2000</v>
      </c>
      <c r="J3770">
        <v>9</v>
      </c>
      <c r="K3770">
        <v>0</v>
      </c>
      <c r="L3770" s="4">
        <v>0.93210502776393578</v>
      </c>
      <c r="M3770" s="4">
        <v>6.7894972236064194E-2</v>
      </c>
      <c r="N3770">
        <v>9</v>
      </c>
    </row>
    <row r="3771" spans="1:14" x14ac:dyDescent="0.35">
      <c r="A3771" s="1">
        <v>2087</v>
      </c>
      <c r="B3771">
        <v>6</v>
      </c>
      <c r="C3771">
        <v>67</v>
      </c>
      <c r="D3771">
        <v>1</v>
      </c>
      <c r="E3771">
        <v>0</v>
      </c>
      <c r="F3771">
        <v>0</v>
      </c>
      <c r="G3771">
        <v>4</v>
      </c>
      <c r="H3771">
        <v>0</v>
      </c>
      <c r="I3771">
        <v>6000</v>
      </c>
      <c r="J3771">
        <v>2</v>
      </c>
      <c r="K3771">
        <v>1</v>
      </c>
      <c r="L3771" s="4">
        <v>0.93216801165495511</v>
      </c>
      <c r="M3771" s="4">
        <v>6.7831988345044864E-2</v>
      </c>
      <c r="N3771">
        <v>9</v>
      </c>
    </row>
    <row r="3772" spans="1:14" x14ac:dyDescent="0.35">
      <c r="A3772" s="1">
        <v>138</v>
      </c>
      <c r="B3772">
        <v>7</v>
      </c>
      <c r="C3772">
        <v>64</v>
      </c>
      <c r="D3772">
        <v>1</v>
      </c>
      <c r="E3772">
        <v>1</v>
      </c>
      <c r="F3772">
        <v>0</v>
      </c>
      <c r="G3772">
        <v>11</v>
      </c>
      <c r="H3772">
        <v>2</v>
      </c>
      <c r="I3772">
        <v>1000</v>
      </c>
      <c r="J3772">
        <v>5</v>
      </c>
      <c r="K3772">
        <v>0</v>
      </c>
      <c r="L3772" s="4">
        <v>0.93228730427731332</v>
      </c>
      <c r="M3772" s="4">
        <v>6.7712695722686636E-2</v>
      </c>
      <c r="N3772">
        <v>9</v>
      </c>
    </row>
    <row r="3773" spans="1:14" x14ac:dyDescent="0.35">
      <c r="A3773" s="1">
        <v>3034</v>
      </c>
      <c r="B3773">
        <v>8</v>
      </c>
      <c r="C3773">
        <v>73</v>
      </c>
      <c r="D3773">
        <v>2</v>
      </c>
      <c r="E3773">
        <v>0</v>
      </c>
      <c r="F3773">
        <v>3</v>
      </c>
      <c r="G3773">
        <v>8</v>
      </c>
      <c r="H3773">
        <v>0</v>
      </c>
      <c r="I3773">
        <v>6000</v>
      </c>
      <c r="J3773">
        <v>5</v>
      </c>
      <c r="K3773">
        <v>0</v>
      </c>
      <c r="L3773" s="4">
        <v>0.93237565354673324</v>
      </c>
      <c r="M3773" s="4">
        <v>6.7624346453266759E-2</v>
      </c>
      <c r="N3773">
        <v>9</v>
      </c>
    </row>
    <row r="3774" spans="1:14" x14ac:dyDescent="0.35">
      <c r="A3774" s="1">
        <v>3599</v>
      </c>
      <c r="B3774">
        <v>6</v>
      </c>
      <c r="C3774">
        <v>65</v>
      </c>
      <c r="D3774">
        <v>3</v>
      </c>
      <c r="E3774">
        <v>0</v>
      </c>
      <c r="F3774">
        <v>0</v>
      </c>
      <c r="G3774">
        <v>4</v>
      </c>
      <c r="H3774">
        <v>2</v>
      </c>
      <c r="I3774">
        <v>3213.27</v>
      </c>
      <c r="J3774">
        <v>17</v>
      </c>
      <c r="K3774">
        <v>0</v>
      </c>
      <c r="L3774" s="4">
        <v>0.93251461980059902</v>
      </c>
      <c r="M3774" s="4">
        <v>6.7485380199400938E-2</v>
      </c>
      <c r="N3774">
        <v>9</v>
      </c>
    </row>
    <row r="3775" spans="1:14" x14ac:dyDescent="0.35">
      <c r="A3775" s="1">
        <v>924</v>
      </c>
      <c r="B3775">
        <v>10</v>
      </c>
      <c r="C3775">
        <v>73</v>
      </c>
      <c r="D3775">
        <v>4</v>
      </c>
      <c r="E3775">
        <v>1</v>
      </c>
      <c r="F3775">
        <v>3</v>
      </c>
      <c r="G3775">
        <v>8</v>
      </c>
      <c r="H3775">
        <v>3</v>
      </c>
      <c r="I3775">
        <v>0.01</v>
      </c>
      <c r="J3775">
        <v>5</v>
      </c>
      <c r="K3775">
        <v>0</v>
      </c>
      <c r="L3775" s="4">
        <v>0.93252363342702238</v>
      </c>
      <c r="M3775" s="4">
        <v>6.7476366572977564E-2</v>
      </c>
      <c r="N3775">
        <v>9</v>
      </c>
    </row>
    <row r="3776" spans="1:14" x14ac:dyDescent="0.35">
      <c r="A3776" s="1">
        <v>2176</v>
      </c>
      <c r="B3776">
        <v>8</v>
      </c>
      <c r="C3776">
        <v>74</v>
      </c>
      <c r="D3776">
        <v>0</v>
      </c>
      <c r="E3776">
        <v>0</v>
      </c>
      <c r="F3776">
        <v>3</v>
      </c>
      <c r="G3776">
        <v>3</v>
      </c>
      <c r="H3776">
        <v>1</v>
      </c>
      <c r="I3776">
        <v>20504.64</v>
      </c>
      <c r="J3776">
        <v>3</v>
      </c>
      <c r="K3776">
        <v>0</v>
      </c>
      <c r="L3776" s="4">
        <v>0.93258546211387439</v>
      </c>
      <c r="M3776" s="4">
        <v>6.7414537886125642E-2</v>
      </c>
      <c r="N3776">
        <v>9</v>
      </c>
    </row>
    <row r="3777" spans="1:14" x14ac:dyDescent="0.35">
      <c r="A3777" s="1">
        <v>1695</v>
      </c>
      <c r="B3777">
        <v>7</v>
      </c>
      <c r="C3777">
        <v>70</v>
      </c>
      <c r="D3777">
        <v>3</v>
      </c>
      <c r="E3777">
        <v>0</v>
      </c>
      <c r="F3777">
        <v>1</v>
      </c>
      <c r="G3777">
        <v>7</v>
      </c>
      <c r="H3777">
        <v>0</v>
      </c>
      <c r="I3777">
        <v>12000</v>
      </c>
      <c r="J3777">
        <v>16</v>
      </c>
      <c r="K3777">
        <v>0</v>
      </c>
      <c r="L3777" s="4">
        <v>0.93258693608026777</v>
      </c>
      <c r="M3777" s="4">
        <v>6.7413063919732216E-2</v>
      </c>
      <c r="N3777">
        <v>9</v>
      </c>
    </row>
    <row r="3778" spans="1:14" x14ac:dyDescent="0.35">
      <c r="A3778" s="1">
        <v>588</v>
      </c>
      <c r="B3778">
        <v>9</v>
      </c>
      <c r="C3778">
        <v>73</v>
      </c>
      <c r="D3778">
        <v>3</v>
      </c>
      <c r="E3778">
        <v>1</v>
      </c>
      <c r="F3778">
        <v>0</v>
      </c>
      <c r="G3778">
        <v>11</v>
      </c>
      <c r="H3778">
        <v>0</v>
      </c>
      <c r="I3778">
        <v>12000</v>
      </c>
      <c r="J3778">
        <v>2</v>
      </c>
      <c r="K3778">
        <v>0</v>
      </c>
      <c r="L3778" s="4">
        <v>0.93259244571125011</v>
      </c>
      <c r="M3778" s="4">
        <v>6.7407554288749935E-2</v>
      </c>
      <c r="N3778">
        <v>9</v>
      </c>
    </row>
    <row r="3779" spans="1:14" x14ac:dyDescent="0.35">
      <c r="A3779" s="1">
        <v>3264</v>
      </c>
      <c r="B3779">
        <v>8</v>
      </c>
      <c r="C3779">
        <v>67</v>
      </c>
      <c r="D3779">
        <v>2</v>
      </c>
      <c r="E3779">
        <v>1</v>
      </c>
      <c r="F3779">
        <v>3</v>
      </c>
      <c r="G3779">
        <v>3</v>
      </c>
      <c r="H3779">
        <v>2</v>
      </c>
      <c r="I3779">
        <v>3000</v>
      </c>
      <c r="J3779">
        <v>2</v>
      </c>
      <c r="K3779">
        <v>0</v>
      </c>
      <c r="L3779" s="4">
        <v>0.93260844056702885</v>
      </c>
      <c r="M3779" s="4">
        <v>6.7391559432971149E-2</v>
      </c>
      <c r="N3779">
        <v>9</v>
      </c>
    </row>
    <row r="3780" spans="1:14" x14ac:dyDescent="0.35">
      <c r="A3780" s="1">
        <v>1501</v>
      </c>
      <c r="B3780">
        <v>5</v>
      </c>
      <c r="C3780">
        <v>51</v>
      </c>
      <c r="D3780">
        <v>5</v>
      </c>
      <c r="E3780">
        <v>2</v>
      </c>
      <c r="F3780">
        <v>2</v>
      </c>
      <c r="G3780">
        <v>1</v>
      </c>
      <c r="H3780">
        <v>0</v>
      </c>
      <c r="I3780">
        <v>6000</v>
      </c>
      <c r="J3780">
        <v>10</v>
      </c>
      <c r="K3780">
        <v>0</v>
      </c>
      <c r="L3780" s="4">
        <v>0.93262181644088826</v>
      </c>
      <c r="M3780" s="4">
        <v>6.7378183559111751E-2</v>
      </c>
      <c r="N3780">
        <v>9</v>
      </c>
    </row>
    <row r="3781" spans="1:14" x14ac:dyDescent="0.35">
      <c r="A3781" s="1">
        <v>2332</v>
      </c>
      <c r="B3781">
        <v>6</v>
      </c>
      <c r="C3781">
        <v>66</v>
      </c>
      <c r="D3781">
        <v>0</v>
      </c>
      <c r="E3781">
        <v>0</v>
      </c>
      <c r="F3781">
        <v>3</v>
      </c>
      <c r="G3781">
        <v>8</v>
      </c>
      <c r="H3781">
        <v>0</v>
      </c>
      <c r="I3781">
        <v>10973.64</v>
      </c>
      <c r="J3781">
        <v>3</v>
      </c>
      <c r="K3781">
        <v>0</v>
      </c>
      <c r="L3781" s="4">
        <v>0.93288887358883232</v>
      </c>
      <c r="M3781" s="4">
        <v>6.7111126411167621E-2</v>
      </c>
      <c r="N3781">
        <v>9</v>
      </c>
    </row>
    <row r="3782" spans="1:14" x14ac:dyDescent="0.35">
      <c r="A3782" s="1">
        <v>1628</v>
      </c>
      <c r="B3782">
        <v>4</v>
      </c>
      <c r="C3782">
        <v>53</v>
      </c>
      <c r="D3782">
        <v>4</v>
      </c>
      <c r="E3782">
        <v>1</v>
      </c>
      <c r="F3782">
        <v>0</v>
      </c>
      <c r="G3782">
        <v>4</v>
      </c>
      <c r="H3782">
        <v>0</v>
      </c>
      <c r="I3782">
        <v>5300</v>
      </c>
      <c r="J3782">
        <v>9</v>
      </c>
      <c r="K3782">
        <v>0</v>
      </c>
      <c r="L3782" s="4">
        <v>0.93289262015540841</v>
      </c>
      <c r="M3782" s="4">
        <v>6.7107379844591641E-2</v>
      </c>
      <c r="N3782">
        <v>9</v>
      </c>
    </row>
    <row r="3783" spans="1:14" x14ac:dyDescent="0.35">
      <c r="A3783" s="1">
        <v>814</v>
      </c>
      <c r="B3783">
        <v>6</v>
      </c>
      <c r="C3783">
        <v>60</v>
      </c>
      <c r="D3783">
        <v>1</v>
      </c>
      <c r="E3783">
        <v>1</v>
      </c>
      <c r="F3783">
        <v>0</v>
      </c>
      <c r="G3783">
        <v>4</v>
      </c>
      <c r="H3783">
        <v>3</v>
      </c>
      <c r="I3783">
        <v>0.01</v>
      </c>
      <c r="J3783">
        <v>5</v>
      </c>
      <c r="K3783">
        <v>1</v>
      </c>
      <c r="L3783" s="4">
        <v>0.93292951037875826</v>
      </c>
      <c r="M3783" s="4">
        <v>6.707048962124175E-2</v>
      </c>
      <c r="N3783">
        <v>9</v>
      </c>
    </row>
    <row r="3784" spans="1:14" x14ac:dyDescent="0.35">
      <c r="A3784" s="1">
        <v>3675</v>
      </c>
      <c r="B3784">
        <v>9</v>
      </c>
      <c r="C3784">
        <v>76</v>
      </c>
      <c r="D3784">
        <v>2</v>
      </c>
      <c r="E3784">
        <v>0</v>
      </c>
      <c r="F3784">
        <v>3</v>
      </c>
      <c r="G3784">
        <v>3</v>
      </c>
      <c r="H3784">
        <v>2</v>
      </c>
      <c r="I3784">
        <v>1000</v>
      </c>
      <c r="J3784">
        <v>2</v>
      </c>
      <c r="K3784">
        <v>0</v>
      </c>
      <c r="L3784" s="4">
        <v>0.93295914727904539</v>
      </c>
      <c r="M3784" s="4">
        <v>6.7040852720954586E-2</v>
      </c>
      <c r="N3784">
        <v>9</v>
      </c>
    </row>
    <row r="3785" spans="1:14" x14ac:dyDescent="0.35">
      <c r="A3785" s="1">
        <v>1320</v>
      </c>
      <c r="B3785">
        <v>9</v>
      </c>
      <c r="C3785">
        <v>73</v>
      </c>
      <c r="D3785">
        <v>4</v>
      </c>
      <c r="E3785">
        <v>1</v>
      </c>
      <c r="F3785">
        <v>0</v>
      </c>
      <c r="G3785">
        <v>4</v>
      </c>
      <c r="H3785">
        <v>1</v>
      </c>
      <c r="I3785">
        <v>22035.88</v>
      </c>
      <c r="J3785">
        <v>9</v>
      </c>
      <c r="K3785">
        <v>1</v>
      </c>
      <c r="L3785" s="4">
        <v>0.93301378931696421</v>
      </c>
      <c r="M3785" s="4">
        <v>6.6986210683035743E-2</v>
      </c>
      <c r="N3785">
        <v>9</v>
      </c>
    </row>
    <row r="3786" spans="1:14" x14ac:dyDescent="0.35">
      <c r="A3786" s="1">
        <v>1427</v>
      </c>
      <c r="B3786">
        <v>7</v>
      </c>
      <c r="C3786">
        <v>65</v>
      </c>
      <c r="D3786">
        <v>0</v>
      </c>
      <c r="E3786">
        <v>1</v>
      </c>
      <c r="F3786">
        <v>0</v>
      </c>
      <c r="G3786">
        <v>11</v>
      </c>
      <c r="H3786">
        <v>2</v>
      </c>
      <c r="I3786">
        <v>3000</v>
      </c>
      <c r="J3786">
        <v>17</v>
      </c>
      <c r="K3786">
        <v>0</v>
      </c>
      <c r="L3786" s="4">
        <v>0.93324230260841246</v>
      </c>
      <c r="M3786" s="4">
        <v>6.6757697391587587E-2</v>
      </c>
      <c r="N3786">
        <v>9</v>
      </c>
    </row>
    <row r="3787" spans="1:14" x14ac:dyDescent="0.35">
      <c r="A3787" s="1">
        <v>3433</v>
      </c>
      <c r="B3787">
        <v>10</v>
      </c>
      <c r="C3787">
        <v>79</v>
      </c>
      <c r="D3787">
        <v>4</v>
      </c>
      <c r="E3787">
        <v>0</v>
      </c>
      <c r="F3787">
        <v>3</v>
      </c>
      <c r="G3787">
        <v>8</v>
      </c>
      <c r="H3787">
        <v>2</v>
      </c>
      <c r="I3787">
        <v>3600.01</v>
      </c>
      <c r="J3787">
        <v>8</v>
      </c>
      <c r="K3787">
        <v>0</v>
      </c>
      <c r="L3787" s="4">
        <v>0.9332685414491747</v>
      </c>
      <c r="M3787" s="4">
        <v>6.6731458550825323E-2</v>
      </c>
      <c r="N3787">
        <v>9</v>
      </c>
    </row>
    <row r="3788" spans="1:14" x14ac:dyDescent="0.35">
      <c r="A3788" s="1">
        <v>3230</v>
      </c>
      <c r="B3788">
        <v>8</v>
      </c>
      <c r="C3788">
        <v>65</v>
      </c>
      <c r="D3788">
        <v>0</v>
      </c>
      <c r="E3788">
        <v>2</v>
      </c>
      <c r="F3788">
        <v>2</v>
      </c>
      <c r="G3788">
        <v>6</v>
      </c>
      <c r="H3788">
        <v>0</v>
      </c>
      <c r="I3788">
        <v>5500</v>
      </c>
      <c r="J3788">
        <v>8</v>
      </c>
      <c r="K3788">
        <v>0</v>
      </c>
      <c r="L3788" s="4">
        <v>0.93328439799052532</v>
      </c>
      <c r="M3788" s="4">
        <v>6.6715602009474642E-2</v>
      </c>
      <c r="N3788">
        <v>9</v>
      </c>
    </row>
    <row r="3789" spans="1:14" x14ac:dyDescent="0.35">
      <c r="A3789" s="1">
        <v>1454</v>
      </c>
      <c r="B3789">
        <v>9</v>
      </c>
      <c r="C3789">
        <v>75</v>
      </c>
      <c r="D3789">
        <v>5</v>
      </c>
      <c r="E3789">
        <v>0</v>
      </c>
      <c r="F3789">
        <v>3</v>
      </c>
      <c r="G3789">
        <v>3</v>
      </c>
      <c r="H3789">
        <v>2</v>
      </c>
      <c r="I3789">
        <v>1000</v>
      </c>
      <c r="J3789">
        <v>11</v>
      </c>
      <c r="K3789">
        <v>0</v>
      </c>
      <c r="L3789" s="4">
        <v>0.93340610752414155</v>
      </c>
      <c r="M3789" s="4">
        <v>6.6593892475858396E-2</v>
      </c>
      <c r="N3789">
        <v>9</v>
      </c>
    </row>
    <row r="3790" spans="1:14" x14ac:dyDescent="0.35">
      <c r="A3790" s="1">
        <v>4116</v>
      </c>
      <c r="B3790">
        <v>8</v>
      </c>
      <c r="C3790">
        <v>71</v>
      </c>
      <c r="D3790">
        <v>5</v>
      </c>
      <c r="E3790">
        <v>0</v>
      </c>
      <c r="F3790">
        <v>1</v>
      </c>
      <c r="G3790">
        <v>12</v>
      </c>
      <c r="H3790">
        <v>2</v>
      </c>
      <c r="I3790">
        <v>600.01</v>
      </c>
      <c r="J3790">
        <v>8</v>
      </c>
      <c r="K3790">
        <v>1</v>
      </c>
      <c r="L3790" s="4">
        <v>0.93341089820366807</v>
      </c>
      <c r="M3790" s="4">
        <v>6.6589101796331887E-2</v>
      </c>
      <c r="N3790">
        <v>9</v>
      </c>
    </row>
    <row r="3791" spans="1:14" x14ac:dyDescent="0.35">
      <c r="A3791" s="1">
        <v>2309</v>
      </c>
      <c r="B3791">
        <v>5</v>
      </c>
      <c r="C3791">
        <v>54</v>
      </c>
      <c r="D3791">
        <v>4</v>
      </c>
      <c r="E3791">
        <v>1</v>
      </c>
      <c r="F3791">
        <v>1</v>
      </c>
      <c r="G3791">
        <v>7</v>
      </c>
      <c r="H3791">
        <v>3</v>
      </c>
      <c r="I3791">
        <v>0.01</v>
      </c>
      <c r="J3791">
        <v>4</v>
      </c>
      <c r="K3791">
        <v>0</v>
      </c>
      <c r="L3791" s="4">
        <v>0.93341344604770393</v>
      </c>
      <c r="M3791" s="4">
        <v>6.6586553952296096E-2</v>
      </c>
      <c r="N3791">
        <v>9</v>
      </c>
    </row>
    <row r="3792" spans="1:14" x14ac:dyDescent="0.35">
      <c r="A3792" s="1">
        <v>4181</v>
      </c>
      <c r="B3792">
        <v>8</v>
      </c>
      <c r="C3792">
        <v>75</v>
      </c>
      <c r="D3792">
        <v>2</v>
      </c>
      <c r="E3792">
        <v>0</v>
      </c>
      <c r="F3792">
        <v>1</v>
      </c>
      <c r="G3792">
        <v>7</v>
      </c>
      <c r="H3792">
        <v>0</v>
      </c>
      <c r="I3792">
        <v>6000</v>
      </c>
      <c r="J3792">
        <v>36</v>
      </c>
      <c r="K3792">
        <v>0</v>
      </c>
      <c r="L3792" s="4">
        <v>0.93351242526346967</v>
      </c>
      <c r="M3792" s="4">
        <v>6.6487574736530358E-2</v>
      </c>
      <c r="N3792">
        <v>9</v>
      </c>
    </row>
    <row r="3793" spans="1:14" x14ac:dyDescent="0.35">
      <c r="A3793" s="1">
        <v>4082</v>
      </c>
      <c r="B3793">
        <v>5</v>
      </c>
      <c r="C3793">
        <v>61</v>
      </c>
      <c r="D3793">
        <v>5</v>
      </c>
      <c r="E3793">
        <v>0</v>
      </c>
      <c r="F3793">
        <v>1</v>
      </c>
      <c r="G3793">
        <v>5</v>
      </c>
      <c r="H3793">
        <v>0</v>
      </c>
      <c r="I3793">
        <v>6000</v>
      </c>
      <c r="J3793">
        <v>2</v>
      </c>
      <c r="K3793">
        <v>0</v>
      </c>
      <c r="L3793" s="4">
        <v>0.93353343635700758</v>
      </c>
      <c r="M3793" s="4">
        <v>6.6466563642992388E-2</v>
      </c>
      <c r="N3793">
        <v>9</v>
      </c>
    </row>
    <row r="3794" spans="1:14" x14ac:dyDescent="0.35">
      <c r="A3794" s="1">
        <v>4056</v>
      </c>
      <c r="B3794">
        <v>6</v>
      </c>
      <c r="C3794">
        <v>61</v>
      </c>
      <c r="D3794">
        <v>5</v>
      </c>
      <c r="E3794">
        <v>0</v>
      </c>
      <c r="F3794">
        <v>4</v>
      </c>
      <c r="G3794">
        <v>9</v>
      </c>
      <c r="H3794">
        <v>3</v>
      </c>
      <c r="I3794">
        <v>0.01</v>
      </c>
      <c r="J3794">
        <v>5</v>
      </c>
      <c r="K3794">
        <v>0</v>
      </c>
      <c r="L3794" s="4">
        <v>0.93361790571893688</v>
      </c>
      <c r="M3794" s="4">
        <v>6.6382094281063092E-2</v>
      </c>
      <c r="N3794">
        <v>9</v>
      </c>
    </row>
    <row r="3795" spans="1:14" x14ac:dyDescent="0.35">
      <c r="A3795" s="1">
        <v>2461</v>
      </c>
      <c r="B3795">
        <v>8</v>
      </c>
      <c r="C3795">
        <v>72</v>
      </c>
      <c r="D3795">
        <v>6</v>
      </c>
      <c r="E3795">
        <v>0</v>
      </c>
      <c r="F3795">
        <v>3</v>
      </c>
      <c r="G3795">
        <v>3</v>
      </c>
      <c r="H3795">
        <v>0</v>
      </c>
      <c r="I3795">
        <v>6000</v>
      </c>
      <c r="J3795">
        <v>2</v>
      </c>
      <c r="K3795">
        <v>0</v>
      </c>
      <c r="L3795" s="4">
        <v>0.93371526574470365</v>
      </c>
      <c r="M3795" s="4">
        <v>6.6284734255296296E-2</v>
      </c>
      <c r="N3795">
        <v>9</v>
      </c>
    </row>
    <row r="3796" spans="1:14" x14ac:dyDescent="0.35">
      <c r="A3796" s="1">
        <v>3060</v>
      </c>
      <c r="B3796">
        <v>9</v>
      </c>
      <c r="C3796">
        <v>75</v>
      </c>
      <c r="D3796">
        <v>4</v>
      </c>
      <c r="E3796">
        <v>0</v>
      </c>
      <c r="F3796">
        <v>3</v>
      </c>
      <c r="G3796">
        <v>8</v>
      </c>
      <c r="H3796">
        <v>2</v>
      </c>
      <c r="I3796">
        <v>5000</v>
      </c>
      <c r="J3796">
        <v>2</v>
      </c>
      <c r="K3796">
        <v>0</v>
      </c>
      <c r="L3796" s="4">
        <v>0.93379450165822153</v>
      </c>
      <c r="M3796" s="4">
        <v>6.620549834177851E-2</v>
      </c>
      <c r="N3796">
        <v>9</v>
      </c>
    </row>
    <row r="3797" spans="1:14" x14ac:dyDescent="0.35">
      <c r="A3797" s="1">
        <v>3134</v>
      </c>
      <c r="B3797">
        <v>3</v>
      </c>
      <c r="C3797">
        <v>51</v>
      </c>
      <c r="D3797">
        <v>4</v>
      </c>
      <c r="E3797">
        <v>0</v>
      </c>
      <c r="F3797">
        <v>1</v>
      </c>
      <c r="G3797">
        <v>7</v>
      </c>
      <c r="H3797">
        <v>3</v>
      </c>
      <c r="I3797">
        <v>0.01</v>
      </c>
      <c r="J3797">
        <v>5</v>
      </c>
      <c r="K3797">
        <v>0</v>
      </c>
      <c r="L3797" s="4">
        <v>0.93404160559873339</v>
      </c>
      <c r="M3797" s="4">
        <v>6.5958394401266565E-2</v>
      </c>
      <c r="N3797">
        <v>9</v>
      </c>
    </row>
    <row r="3798" spans="1:14" x14ac:dyDescent="0.35">
      <c r="A3798" s="1">
        <v>500</v>
      </c>
      <c r="B3798">
        <v>8</v>
      </c>
      <c r="C3798">
        <v>61</v>
      </c>
      <c r="D3798">
        <v>4</v>
      </c>
      <c r="E3798">
        <v>2</v>
      </c>
      <c r="F3798">
        <v>1</v>
      </c>
      <c r="G3798">
        <v>12</v>
      </c>
      <c r="H3798">
        <v>3</v>
      </c>
      <c r="I3798">
        <v>0.01</v>
      </c>
      <c r="J3798">
        <v>5</v>
      </c>
      <c r="K3798">
        <v>0</v>
      </c>
      <c r="L3798" s="4">
        <v>0.93413721218918289</v>
      </c>
      <c r="M3798" s="4">
        <v>6.5862787810817169E-2</v>
      </c>
      <c r="N3798">
        <v>9</v>
      </c>
    </row>
    <row r="3799" spans="1:14" x14ac:dyDescent="0.35">
      <c r="A3799" s="1">
        <v>1292</v>
      </c>
      <c r="B3799">
        <v>7</v>
      </c>
      <c r="C3799">
        <v>70</v>
      </c>
      <c r="D3799">
        <v>1</v>
      </c>
      <c r="E3799">
        <v>0</v>
      </c>
      <c r="F3799">
        <v>3</v>
      </c>
      <c r="G3799">
        <v>8</v>
      </c>
      <c r="H3799">
        <v>0</v>
      </c>
      <c r="I3799">
        <v>12000</v>
      </c>
      <c r="J3799">
        <v>2</v>
      </c>
      <c r="K3799">
        <v>0</v>
      </c>
      <c r="L3799" s="4">
        <v>0.93430918581685929</v>
      </c>
      <c r="M3799" s="4">
        <v>6.5690814183140683E-2</v>
      </c>
      <c r="N3799">
        <v>9</v>
      </c>
    </row>
    <row r="3800" spans="1:14" x14ac:dyDescent="0.35">
      <c r="A3800" s="1">
        <v>874</v>
      </c>
      <c r="B3800">
        <v>8</v>
      </c>
      <c r="C3800">
        <v>69</v>
      </c>
      <c r="D3800">
        <v>3</v>
      </c>
      <c r="E3800">
        <v>1</v>
      </c>
      <c r="F3800">
        <v>1</v>
      </c>
      <c r="G3800">
        <v>12</v>
      </c>
      <c r="H3800">
        <v>0</v>
      </c>
      <c r="I3800">
        <v>12684.25</v>
      </c>
      <c r="J3800">
        <v>8</v>
      </c>
      <c r="K3800">
        <v>0</v>
      </c>
      <c r="L3800" s="4">
        <v>0.93433900297543793</v>
      </c>
      <c r="M3800" s="4">
        <v>6.5660997024562073E-2</v>
      </c>
      <c r="N3800">
        <v>9</v>
      </c>
    </row>
    <row r="3801" spans="1:14" x14ac:dyDescent="0.35">
      <c r="A3801" s="1">
        <v>354</v>
      </c>
      <c r="B3801">
        <v>6</v>
      </c>
      <c r="C3801">
        <v>65</v>
      </c>
      <c r="D3801">
        <v>2</v>
      </c>
      <c r="E3801">
        <v>0</v>
      </c>
      <c r="F3801">
        <v>1</v>
      </c>
      <c r="G3801">
        <v>7</v>
      </c>
      <c r="H3801">
        <v>2</v>
      </c>
      <c r="I3801">
        <v>3500</v>
      </c>
      <c r="J3801">
        <v>8</v>
      </c>
      <c r="K3801">
        <v>0</v>
      </c>
      <c r="L3801" s="4">
        <v>0.93435947587521906</v>
      </c>
      <c r="M3801" s="4">
        <v>6.5640524124780913E-2</v>
      </c>
      <c r="N3801">
        <v>9</v>
      </c>
    </row>
    <row r="3802" spans="1:14" x14ac:dyDescent="0.35">
      <c r="A3802" s="1">
        <v>255</v>
      </c>
      <c r="B3802">
        <v>4</v>
      </c>
      <c r="C3802">
        <v>51</v>
      </c>
      <c r="D3802">
        <v>3</v>
      </c>
      <c r="E3802">
        <v>1</v>
      </c>
      <c r="F3802">
        <v>3</v>
      </c>
      <c r="G3802">
        <v>3</v>
      </c>
      <c r="H3802">
        <v>2</v>
      </c>
      <c r="I3802">
        <v>240</v>
      </c>
      <c r="J3802">
        <v>12</v>
      </c>
      <c r="K3802">
        <v>0</v>
      </c>
      <c r="L3802" s="4">
        <v>0.9344687775695053</v>
      </c>
      <c r="M3802" s="4">
        <v>6.5531222430494723E-2</v>
      </c>
      <c r="N3802">
        <v>9</v>
      </c>
    </row>
    <row r="3803" spans="1:14" x14ac:dyDescent="0.35">
      <c r="A3803" s="1">
        <v>1009</v>
      </c>
      <c r="B3803">
        <v>4</v>
      </c>
      <c r="C3803">
        <v>51</v>
      </c>
      <c r="D3803">
        <v>1</v>
      </c>
      <c r="E3803">
        <v>1</v>
      </c>
      <c r="F3803">
        <v>3</v>
      </c>
      <c r="G3803">
        <v>3</v>
      </c>
      <c r="H3803">
        <v>3</v>
      </c>
      <c r="I3803">
        <v>0.01</v>
      </c>
      <c r="J3803">
        <v>5</v>
      </c>
      <c r="K3803">
        <v>0</v>
      </c>
      <c r="L3803" s="4">
        <v>0.93451704795927537</v>
      </c>
      <c r="M3803" s="4">
        <v>6.5482952040724615E-2</v>
      </c>
      <c r="N3803">
        <v>9</v>
      </c>
    </row>
    <row r="3804" spans="1:14" x14ac:dyDescent="0.35">
      <c r="A3804" s="1">
        <v>94</v>
      </c>
      <c r="B3804">
        <v>7</v>
      </c>
      <c r="C3804">
        <v>66</v>
      </c>
      <c r="D3804">
        <v>3</v>
      </c>
      <c r="E3804">
        <v>1</v>
      </c>
      <c r="F3804">
        <v>2</v>
      </c>
      <c r="G3804">
        <v>1</v>
      </c>
      <c r="H3804">
        <v>1</v>
      </c>
      <c r="I3804">
        <v>50000</v>
      </c>
      <c r="J3804">
        <v>17</v>
      </c>
      <c r="K3804">
        <v>0</v>
      </c>
      <c r="L3804" s="4">
        <v>0.93455689619652338</v>
      </c>
      <c r="M3804" s="4">
        <v>6.5443103803476579E-2</v>
      </c>
      <c r="N3804">
        <v>9</v>
      </c>
    </row>
    <row r="3805" spans="1:14" x14ac:dyDescent="0.35">
      <c r="A3805" s="1">
        <v>1763</v>
      </c>
      <c r="B3805">
        <v>4</v>
      </c>
      <c r="C3805">
        <v>49</v>
      </c>
      <c r="D3805">
        <v>1</v>
      </c>
      <c r="E3805">
        <v>2</v>
      </c>
      <c r="F3805">
        <v>1</v>
      </c>
      <c r="G3805">
        <v>7</v>
      </c>
      <c r="H3805">
        <v>0</v>
      </c>
      <c r="I3805">
        <v>6000</v>
      </c>
      <c r="J3805">
        <v>3</v>
      </c>
      <c r="K3805">
        <v>0</v>
      </c>
      <c r="L3805" s="4">
        <v>0.93458463326627728</v>
      </c>
      <c r="M3805" s="4">
        <v>6.5415366733722682E-2</v>
      </c>
      <c r="N3805">
        <v>9</v>
      </c>
    </row>
    <row r="3806" spans="1:14" x14ac:dyDescent="0.35">
      <c r="A3806" s="1">
        <v>390</v>
      </c>
      <c r="B3806">
        <v>8</v>
      </c>
      <c r="C3806">
        <v>72</v>
      </c>
      <c r="D3806">
        <v>1</v>
      </c>
      <c r="E3806">
        <v>0</v>
      </c>
      <c r="F3806">
        <v>4</v>
      </c>
      <c r="G3806">
        <v>9</v>
      </c>
      <c r="H3806">
        <v>2</v>
      </c>
      <c r="I3806">
        <v>4500</v>
      </c>
      <c r="J3806">
        <v>5</v>
      </c>
      <c r="K3806">
        <v>1</v>
      </c>
      <c r="L3806" s="4">
        <v>0.93472513113852229</v>
      </c>
      <c r="M3806" s="4">
        <v>6.5274868861477708E-2</v>
      </c>
      <c r="N3806">
        <v>9</v>
      </c>
    </row>
    <row r="3807" spans="1:14" x14ac:dyDescent="0.35">
      <c r="A3807" s="1">
        <v>3639</v>
      </c>
      <c r="B3807">
        <v>6</v>
      </c>
      <c r="C3807">
        <v>66</v>
      </c>
      <c r="D3807">
        <v>2</v>
      </c>
      <c r="E3807">
        <v>0</v>
      </c>
      <c r="F3807">
        <v>3</v>
      </c>
      <c r="G3807">
        <v>3</v>
      </c>
      <c r="H3807">
        <v>0</v>
      </c>
      <c r="I3807">
        <v>5500</v>
      </c>
      <c r="J3807">
        <v>6</v>
      </c>
      <c r="K3807">
        <v>0</v>
      </c>
      <c r="L3807" s="4">
        <v>0.9347503064796624</v>
      </c>
      <c r="M3807" s="4">
        <v>6.5249693520337576E-2</v>
      </c>
      <c r="N3807">
        <v>9</v>
      </c>
    </row>
    <row r="3808" spans="1:14" x14ac:dyDescent="0.35">
      <c r="A3808" s="1">
        <v>4078</v>
      </c>
      <c r="B3808">
        <v>6</v>
      </c>
      <c r="C3808">
        <v>56</v>
      </c>
      <c r="D3808">
        <v>4</v>
      </c>
      <c r="E3808">
        <v>2</v>
      </c>
      <c r="F3808">
        <v>1</v>
      </c>
      <c r="G3808">
        <v>5</v>
      </c>
      <c r="H3808">
        <v>0</v>
      </c>
      <c r="I3808">
        <v>6000</v>
      </c>
      <c r="J3808">
        <v>2</v>
      </c>
      <c r="K3808">
        <v>0</v>
      </c>
      <c r="L3808" s="4">
        <v>0.93476758878257482</v>
      </c>
      <c r="M3808" s="4">
        <v>6.5232411217425137E-2</v>
      </c>
      <c r="N3808">
        <v>9</v>
      </c>
    </row>
    <row r="3809" spans="1:14" x14ac:dyDescent="0.35">
      <c r="A3809" s="1">
        <v>3382</v>
      </c>
      <c r="B3809">
        <v>7</v>
      </c>
      <c r="C3809">
        <v>59</v>
      </c>
      <c r="D3809">
        <v>3</v>
      </c>
      <c r="E3809">
        <v>2</v>
      </c>
      <c r="F3809">
        <v>0</v>
      </c>
      <c r="G3809">
        <v>11</v>
      </c>
      <c r="H3809">
        <v>2</v>
      </c>
      <c r="I3809">
        <v>2000</v>
      </c>
      <c r="J3809">
        <v>9</v>
      </c>
      <c r="K3809">
        <v>0</v>
      </c>
      <c r="L3809" s="4">
        <v>0.93479724693386557</v>
      </c>
      <c r="M3809" s="4">
        <v>6.5202753066134447E-2</v>
      </c>
      <c r="N3809">
        <v>9</v>
      </c>
    </row>
    <row r="3810" spans="1:14" x14ac:dyDescent="0.35">
      <c r="A3810" s="1">
        <v>3830</v>
      </c>
      <c r="B3810">
        <v>9</v>
      </c>
      <c r="C3810">
        <v>77</v>
      </c>
      <c r="D3810">
        <v>1</v>
      </c>
      <c r="E3810">
        <v>0</v>
      </c>
      <c r="F3810">
        <v>3</v>
      </c>
      <c r="G3810">
        <v>3</v>
      </c>
      <c r="H3810">
        <v>2</v>
      </c>
      <c r="I3810">
        <v>1500</v>
      </c>
      <c r="J3810">
        <v>3</v>
      </c>
      <c r="K3810">
        <v>0</v>
      </c>
      <c r="L3810" s="4">
        <v>0.93491975683510975</v>
      </c>
      <c r="M3810" s="4">
        <v>6.5080243164890195E-2</v>
      </c>
      <c r="N3810">
        <v>9</v>
      </c>
    </row>
    <row r="3811" spans="1:14" x14ac:dyDescent="0.35">
      <c r="A3811" s="1">
        <v>349</v>
      </c>
      <c r="B3811">
        <v>2</v>
      </c>
      <c r="C3811">
        <v>43</v>
      </c>
      <c r="D3811">
        <v>0</v>
      </c>
      <c r="E3811">
        <v>1</v>
      </c>
      <c r="F3811">
        <v>3</v>
      </c>
      <c r="G3811">
        <v>8</v>
      </c>
      <c r="H3811">
        <v>3</v>
      </c>
      <c r="I3811">
        <v>0.01</v>
      </c>
      <c r="J3811">
        <v>5</v>
      </c>
      <c r="K3811">
        <v>0</v>
      </c>
      <c r="L3811" s="4">
        <v>0.93495556242313271</v>
      </c>
      <c r="M3811" s="4">
        <v>6.5044437576867328E-2</v>
      </c>
      <c r="N3811">
        <v>9</v>
      </c>
    </row>
    <row r="3812" spans="1:14" x14ac:dyDescent="0.35">
      <c r="A3812" s="1">
        <v>3</v>
      </c>
      <c r="B3812">
        <v>5</v>
      </c>
      <c r="C3812">
        <v>60</v>
      </c>
      <c r="D3812">
        <v>3</v>
      </c>
      <c r="E3812">
        <v>0</v>
      </c>
      <c r="F3812">
        <v>3</v>
      </c>
      <c r="G3812">
        <v>3</v>
      </c>
      <c r="H3812">
        <v>2</v>
      </c>
      <c r="I3812">
        <v>5000</v>
      </c>
      <c r="J3812">
        <v>1</v>
      </c>
      <c r="K3812">
        <v>0</v>
      </c>
      <c r="L3812" s="4">
        <v>0.93500786962040972</v>
      </c>
      <c r="M3812" s="4">
        <v>6.4992130379590257E-2</v>
      </c>
      <c r="N3812">
        <v>9</v>
      </c>
    </row>
    <row r="3813" spans="1:14" x14ac:dyDescent="0.35">
      <c r="A3813" s="1">
        <v>986</v>
      </c>
      <c r="B3813">
        <v>4</v>
      </c>
      <c r="C3813">
        <v>51</v>
      </c>
      <c r="D3813">
        <v>5</v>
      </c>
      <c r="E3813">
        <v>1</v>
      </c>
      <c r="F3813">
        <v>2</v>
      </c>
      <c r="G3813">
        <v>0</v>
      </c>
      <c r="H3813">
        <v>2</v>
      </c>
      <c r="I3813">
        <v>4000</v>
      </c>
      <c r="J3813">
        <v>5</v>
      </c>
      <c r="K3813">
        <v>0</v>
      </c>
      <c r="L3813" s="4">
        <v>0.93511788142045471</v>
      </c>
      <c r="M3813" s="4">
        <v>6.4882118579545317E-2</v>
      </c>
      <c r="N3813">
        <v>9</v>
      </c>
    </row>
    <row r="3814" spans="1:14" x14ac:dyDescent="0.35">
      <c r="A3814" s="1">
        <v>895</v>
      </c>
      <c r="B3814">
        <v>9</v>
      </c>
      <c r="C3814">
        <v>75</v>
      </c>
      <c r="D3814">
        <v>4</v>
      </c>
      <c r="E3814">
        <v>0</v>
      </c>
      <c r="F3814">
        <v>4</v>
      </c>
      <c r="G3814">
        <v>9</v>
      </c>
      <c r="H3814">
        <v>2</v>
      </c>
      <c r="I3814">
        <v>1000</v>
      </c>
      <c r="J3814">
        <v>16</v>
      </c>
      <c r="K3814">
        <v>0</v>
      </c>
      <c r="L3814" s="4">
        <v>0.93516401529249948</v>
      </c>
      <c r="M3814" s="4">
        <v>6.4835984707500557E-2</v>
      </c>
      <c r="N3814">
        <v>9</v>
      </c>
    </row>
    <row r="3815" spans="1:14" x14ac:dyDescent="0.35">
      <c r="A3815" s="1">
        <v>1704</v>
      </c>
      <c r="B3815">
        <v>3</v>
      </c>
      <c r="C3815">
        <v>51</v>
      </c>
      <c r="D3815">
        <v>5</v>
      </c>
      <c r="E3815">
        <v>0</v>
      </c>
      <c r="F3815">
        <v>0</v>
      </c>
      <c r="G3815">
        <v>11</v>
      </c>
      <c r="H3815">
        <v>3</v>
      </c>
      <c r="I3815">
        <v>0.01</v>
      </c>
      <c r="J3815">
        <v>6</v>
      </c>
      <c r="K3815">
        <v>0</v>
      </c>
      <c r="L3815" s="4">
        <v>0.93517530322176334</v>
      </c>
      <c r="M3815" s="4">
        <v>6.4824696778236601E-2</v>
      </c>
      <c r="N3815">
        <v>9</v>
      </c>
    </row>
    <row r="3816" spans="1:14" x14ac:dyDescent="0.35">
      <c r="A3816" s="1">
        <v>180</v>
      </c>
      <c r="B3816">
        <v>9</v>
      </c>
      <c r="C3816">
        <v>79</v>
      </c>
      <c r="D3816">
        <v>1</v>
      </c>
      <c r="E3816">
        <v>0</v>
      </c>
      <c r="F3816">
        <v>1</v>
      </c>
      <c r="G3816">
        <v>12</v>
      </c>
      <c r="H3816">
        <v>0</v>
      </c>
      <c r="I3816">
        <v>10220.18</v>
      </c>
      <c r="J3816">
        <v>7</v>
      </c>
      <c r="K3816">
        <v>0</v>
      </c>
      <c r="L3816" s="4">
        <v>0.93526508267351871</v>
      </c>
      <c r="M3816" s="4">
        <v>6.4734917326481276E-2</v>
      </c>
      <c r="N3816">
        <v>9</v>
      </c>
    </row>
    <row r="3817" spans="1:14" x14ac:dyDescent="0.35">
      <c r="A3817" s="1">
        <v>2759</v>
      </c>
      <c r="B3817">
        <v>5</v>
      </c>
      <c r="C3817">
        <v>51</v>
      </c>
      <c r="D3817">
        <v>0</v>
      </c>
      <c r="E3817">
        <v>2</v>
      </c>
      <c r="F3817">
        <v>3</v>
      </c>
      <c r="G3817">
        <v>8</v>
      </c>
      <c r="H3817">
        <v>2</v>
      </c>
      <c r="I3817">
        <v>200</v>
      </c>
      <c r="J3817">
        <v>2</v>
      </c>
      <c r="K3817">
        <v>0</v>
      </c>
      <c r="L3817" s="4">
        <v>0.93527332699139487</v>
      </c>
      <c r="M3817" s="4">
        <v>6.4726673008605101E-2</v>
      </c>
      <c r="N3817">
        <v>9</v>
      </c>
    </row>
    <row r="3818" spans="1:14" x14ac:dyDescent="0.35">
      <c r="A3818" s="1">
        <v>639</v>
      </c>
      <c r="B3818">
        <v>5</v>
      </c>
      <c r="C3818">
        <v>51</v>
      </c>
      <c r="D3818">
        <v>3</v>
      </c>
      <c r="E3818">
        <v>2</v>
      </c>
      <c r="F3818">
        <v>0</v>
      </c>
      <c r="G3818">
        <v>2</v>
      </c>
      <c r="H3818">
        <v>3</v>
      </c>
      <c r="I3818">
        <v>0.01</v>
      </c>
      <c r="J3818">
        <v>4</v>
      </c>
      <c r="K3818">
        <v>0</v>
      </c>
      <c r="L3818" s="4">
        <v>0.93542209213801431</v>
      </c>
      <c r="M3818" s="4">
        <v>6.4577907861985667E-2</v>
      </c>
      <c r="N3818">
        <v>9</v>
      </c>
    </row>
    <row r="3819" spans="1:14" x14ac:dyDescent="0.35">
      <c r="A3819" s="1">
        <v>2571</v>
      </c>
      <c r="B3819">
        <v>3</v>
      </c>
      <c r="C3819">
        <v>52</v>
      </c>
      <c r="D3819">
        <v>3</v>
      </c>
      <c r="E3819">
        <v>0</v>
      </c>
      <c r="F3819">
        <v>1</v>
      </c>
      <c r="G3819">
        <v>5</v>
      </c>
      <c r="H3819">
        <v>3</v>
      </c>
      <c r="I3819">
        <v>0.01</v>
      </c>
      <c r="J3819">
        <v>5</v>
      </c>
      <c r="K3819">
        <v>0</v>
      </c>
      <c r="L3819" s="4">
        <v>0.93543801103655677</v>
      </c>
      <c r="M3819" s="4">
        <v>6.4561988963443215E-2</v>
      </c>
      <c r="N3819">
        <v>9</v>
      </c>
    </row>
    <row r="3820" spans="1:14" x14ac:dyDescent="0.35">
      <c r="A3820" s="1">
        <v>1030</v>
      </c>
      <c r="B3820">
        <v>8</v>
      </c>
      <c r="C3820">
        <v>69</v>
      </c>
      <c r="D3820">
        <v>2</v>
      </c>
      <c r="E3820">
        <v>1</v>
      </c>
      <c r="F3820">
        <v>2</v>
      </c>
      <c r="G3820">
        <v>1</v>
      </c>
      <c r="H3820">
        <v>2</v>
      </c>
      <c r="I3820">
        <v>4000</v>
      </c>
      <c r="J3820">
        <v>27</v>
      </c>
      <c r="K3820">
        <v>0</v>
      </c>
      <c r="L3820" s="4">
        <v>0.93551541939776717</v>
      </c>
      <c r="M3820" s="4">
        <v>6.4484580602232819E-2</v>
      </c>
      <c r="N3820">
        <v>9</v>
      </c>
    </row>
    <row r="3821" spans="1:14" x14ac:dyDescent="0.35">
      <c r="A3821" s="1">
        <v>155</v>
      </c>
      <c r="B3821">
        <v>5</v>
      </c>
      <c r="C3821">
        <v>51</v>
      </c>
      <c r="D3821">
        <v>5</v>
      </c>
      <c r="E3821">
        <v>2</v>
      </c>
      <c r="F3821">
        <v>3</v>
      </c>
      <c r="G3821">
        <v>3</v>
      </c>
      <c r="H3821">
        <v>0</v>
      </c>
      <c r="I3821">
        <v>6053.34</v>
      </c>
      <c r="J3821">
        <v>4</v>
      </c>
      <c r="K3821">
        <v>0</v>
      </c>
      <c r="L3821" s="4">
        <v>0.9355175329013965</v>
      </c>
      <c r="M3821" s="4">
        <v>6.4482467098603558E-2</v>
      </c>
      <c r="N3821">
        <v>9</v>
      </c>
    </row>
    <row r="3822" spans="1:14" x14ac:dyDescent="0.35">
      <c r="A3822" s="1">
        <v>771</v>
      </c>
      <c r="B3822">
        <v>8</v>
      </c>
      <c r="C3822">
        <v>72</v>
      </c>
      <c r="D3822">
        <v>5</v>
      </c>
      <c r="E3822">
        <v>0</v>
      </c>
      <c r="F3822">
        <v>1</v>
      </c>
      <c r="G3822">
        <v>7</v>
      </c>
      <c r="H3822">
        <v>2</v>
      </c>
      <c r="I3822">
        <v>2000</v>
      </c>
      <c r="J3822">
        <v>4</v>
      </c>
      <c r="K3822">
        <v>0</v>
      </c>
      <c r="L3822" s="4">
        <v>0.93559042095995226</v>
      </c>
      <c r="M3822" s="4">
        <v>6.4409579040047737E-2</v>
      </c>
      <c r="N3822">
        <v>9</v>
      </c>
    </row>
    <row r="3823" spans="1:14" x14ac:dyDescent="0.35">
      <c r="A3823" s="1">
        <v>2494</v>
      </c>
      <c r="B3823">
        <v>9</v>
      </c>
      <c r="C3823">
        <v>79</v>
      </c>
      <c r="D3823">
        <v>2</v>
      </c>
      <c r="E3823">
        <v>0</v>
      </c>
      <c r="F3823">
        <v>0</v>
      </c>
      <c r="G3823">
        <v>11</v>
      </c>
      <c r="H3823">
        <v>0</v>
      </c>
      <c r="I3823">
        <v>6000</v>
      </c>
      <c r="J3823">
        <v>1</v>
      </c>
      <c r="K3823">
        <v>0</v>
      </c>
      <c r="L3823" s="4">
        <v>0.93568149000660494</v>
      </c>
      <c r="M3823" s="4">
        <v>6.4318509993395084E-2</v>
      </c>
      <c r="N3823">
        <v>9</v>
      </c>
    </row>
    <row r="3824" spans="1:14" x14ac:dyDescent="0.35">
      <c r="A3824" s="1">
        <v>414</v>
      </c>
      <c r="B3824">
        <v>7</v>
      </c>
      <c r="C3824">
        <v>70</v>
      </c>
      <c r="D3824">
        <v>1</v>
      </c>
      <c r="E3824">
        <v>0</v>
      </c>
      <c r="F3824">
        <v>2</v>
      </c>
      <c r="G3824">
        <v>0</v>
      </c>
      <c r="H3824">
        <v>2</v>
      </c>
      <c r="I3824">
        <v>2933.39</v>
      </c>
      <c r="J3824">
        <v>5</v>
      </c>
      <c r="K3824">
        <v>0</v>
      </c>
      <c r="L3824" s="4">
        <v>0.9359131828933952</v>
      </c>
      <c r="M3824" s="4">
        <v>6.4086817106604813E-2</v>
      </c>
      <c r="N3824">
        <v>9</v>
      </c>
    </row>
    <row r="3825" spans="1:14" x14ac:dyDescent="0.35">
      <c r="A3825" s="1">
        <v>1755</v>
      </c>
      <c r="B3825">
        <v>4</v>
      </c>
      <c r="C3825">
        <v>56</v>
      </c>
      <c r="D3825">
        <v>5</v>
      </c>
      <c r="E3825">
        <v>0</v>
      </c>
      <c r="F3825">
        <v>1</v>
      </c>
      <c r="G3825">
        <v>7</v>
      </c>
      <c r="H3825">
        <v>2</v>
      </c>
      <c r="I3825">
        <v>1800</v>
      </c>
      <c r="J3825">
        <v>8</v>
      </c>
      <c r="K3825">
        <v>0</v>
      </c>
      <c r="L3825" s="4">
        <v>0.93602707131260776</v>
      </c>
      <c r="M3825" s="4">
        <v>6.3972928687392225E-2</v>
      </c>
      <c r="N3825">
        <v>9</v>
      </c>
    </row>
    <row r="3826" spans="1:14" x14ac:dyDescent="0.35">
      <c r="A3826" s="1">
        <v>2224</v>
      </c>
      <c r="B3826">
        <v>6</v>
      </c>
      <c r="C3826">
        <v>61</v>
      </c>
      <c r="D3826">
        <v>1</v>
      </c>
      <c r="E3826">
        <v>1</v>
      </c>
      <c r="F3826">
        <v>1</v>
      </c>
      <c r="G3826">
        <v>7</v>
      </c>
      <c r="H3826">
        <v>2</v>
      </c>
      <c r="I3826">
        <v>3000</v>
      </c>
      <c r="J3826">
        <v>8</v>
      </c>
      <c r="K3826">
        <v>0</v>
      </c>
      <c r="L3826" s="4">
        <v>0.93613282906765405</v>
      </c>
      <c r="M3826" s="4">
        <v>6.3867170932345993E-2</v>
      </c>
      <c r="N3826">
        <v>9</v>
      </c>
    </row>
    <row r="3827" spans="1:14" x14ac:dyDescent="0.35">
      <c r="A3827" s="1">
        <v>1165</v>
      </c>
      <c r="B3827">
        <v>4</v>
      </c>
      <c r="C3827">
        <v>51</v>
      </c>
      <c r="D3827">
        <v>1</v>
      </c>
      <c r="E3827">
        <v>1</v>
      </c>
      <c r="F3827">
        <v>3</v>
      </c>
      <c r="G3827">
        <v>8</v>
      </c>
      <c r="H3827">
        <v>3</v>
      </c>
      <c r="I3827">
        <v>0.01</v>
      </c>
      <c r="J3827">
        <v>5</v>
      </c>
      <c r="K3827">
        <v>0</v>
      </c>
      <c r="L3827" s="4">
        <v>0.93617678306286989</v>
      </c>
      <c r="M3827" s="4">
        <v>6.3823216937130139E-2</v>
      </c>
      <c r="N3827">
        <v>9</v>
      </c>
    </row>
    <row r="3828" spans="1:14" x14ac:dyDescent="0.35">
      <c r="A3828" s="1">
        <v>3261</v>
      </c>
      <c r="B3828">
        <v>8</v>
      </c>
      <c r="C3828">
        <v>70</v>
      </c>
      <c r="D3828">
        <v>3</v>
      </c>
      <c r="E3828">
        <v>1</v>
      </c>
      <c r="F3828">
        <v>1</v>
      </c>
      <c r="G3828">
        <v>5</v>
      </c>
      <c r="H3828">
        <v>0</v>
      </c>
      <c r="I3828">
        <v>12000</v>
      </c>
      <c r="J3828">
        <v>2</v>
      </c>
      <c r="K3828">
        <v>0</v>
      </c>
      <c r="L3828" s="4">
        <v>0.93618916266364605</v>
      </c>
      <c r="M3828" s="4">
        <v>6.3810837336353912E-2</v>
      </c>
      <c r="N3828">
        <v>9</v>
      </c>
    </row>
    <row r="3829" spans="1:14" x14ac:dyDescent="0.35">
      <c r="A3829" s="1">
        <v>261</v>
      </c>
      <c r="B3829">
        <v>6</v>
      </c>
      <c r="C3829">
        <v>62</v>
      </c>
      <c r="D3829">
        <v>2</v>
      </c>
      <c r="E3829">
        <v>1</v>
      </c>
      <c r="F3829">
        <v>2</v>
      </c>
      <c r="G3829">
        <v>6</v>
      </c>
      <c r="H3829">
        <v>0</v>
      </c>
      <c r="I3829">
        <v>18800</v>
      </c>
      <c r="J3829">
        <v>4</v>
      </c>
      <c r="K3829">
        <v>0</v>
      </c>
      <c r="L3829" s="4">
        <v>0.93619684442240925</v>
      </c>
      <c r="M3829" s="4">
        <v>6.3803155577590726E-2</v>
      </c>
      <c r="N3829">
        <v>9</v>
      </c>
    </row>
    <row r="3830" spans="1:14" x14ac:dyDescent="0.35">
      <c r="A3830" s="1">
        <v>4085</v>
      </c>
      <c r="B3830">
        <v>6</v>
      </c>
      <c r="C3830">
        <v>63</v>
      </c>
      <c r="D3830">
        <v>0</v>
      </c>
      <c r="E3830">
        <v>1</v>
      </c>
      <c r="F3830">
        <v>1</v>
      </c>
      <c r="G3830">
        <v>7</v>
      </c>
      <c r="H3830">
        <v>0</v>
      </c>
      <c r="I3830">
        <v>6017.78</v>
      </c>
      <c r="J3830">
        <v>7</v>
      </c>
      <c r="K3830">
        <v>0</v>
      </c>
      <c r="L3830" s="4">
        <v>0.93627883650860066</v>
      </c>
      <c r="M3830" s="4">
        <v>6.3721163491399307E-2</v>
      </c>
      <c r="N3830">
        <v>9</v>
      </c>
    </row>
    <row r="3831" spans="1:14" x14ac:dyDescent="0.35">
      <c r="A3831" s="1">
        <v>2133</v>
      </c>
      <c r="B3831">
        <v>6</v>
      </c>
      <c r="C3831">
        <v>67</v>
      </c>
      <c r="D3831">
        <v>2</v>
      </c>
      <c r="E3831">
        <v>0</v>
      </c>
      <c r="F3831">
        <v>1</v>
      </c>
      <c r="G3831">
        <v>7</v>
      </c>
      <c r="H3831">
        <v>0</v>
      </c>
      <c r="I3831">
        <v>6000</v>
      </c>
      <c r="J3831">
        <v>5</v>
      </c>
      <c r="K3831">
        <v>0</v>
      </c>
      <c r="L3831" s="4">
        <v>0.93630406516279496</v>
      </c>
      <c r="M3831" s="4">
        <v>6.3695934837205051E-2</v>
      </c>
      <c r="N3831">
        <v>9</v>
      </c>
    </row>
    <row r="3832" spans="1:14" x14ac:dyDescent="0.35">
      <c r="A3832" s="1">
        <v>2339</v>
      </c>
      <c r="B3832">
        <v>5</v>
      </c>
      <c r="C3832">
        <v>61</v>
      </c>
      <c r="D3832">
        <v>3</v>
      </c>
      <c r="E3832">
        <v>0</v>
      </c>
      <c r="F3832">
        <v>2</v>
      </c>
      <c r="G3832">
        <v>1</v>
      </c>
      <c r="H3832">
        <v>2</v>
      </c>
      <c r="I3832">
        <v>480</v>
      </c>
      <c r="J3832">
        <v>4</v>
      </c>
      <c r="K3832">
        <v>0</v>
      </c>
      <c r="L3832" s="4">
        <v>0.93646292730669345</v>
      </c>
      <c r="M3832" s="4">
        <v>6.3537072693306523E-2</v>
      </c>
      <c r="N3832">
        <v>9</v>
      </c>
    </row>
    <row r="3833" spans="1:14" x14ac:dyDescent="0.35">
      <c r="A3833" s="1">
        <v>333</v>
      </c>
      <c r="B3833">
        <v>9</v>
      </c>
      <c r="C3833">
        <v>78</v>
      </c>
      <c r="D3833">
        <v>3</v>
      </c>
      <c r="E3833">
        <v>0</v>
      </c>
      <c r="F3833">
        <v>0</v>
      </c>
      <c r="G3833">
        <v>4</v>
      </c>
      <c r="H3833">
        <v>2</v>
      </c>
      <c r="I3833">
        <v>2000</v>
      </c>
      <c r="J3833">
        <v>8</v>
      </c>
      <c r="K3833">
        <v>0</v>
      </c>
      <c r="L3833" s="4">
        <v>0.93646984480443618</v>
      </c>
      <c r="M3833" s="4">
        <v>6.3530155195563862E-2</v>
      </c>
      <c r="N3833">
        <v>9</v>
      </c>
    </row>
    <row r="3834" spans="1:14" x14ac:dyDescent="0.35">
      <c r="A3834" s="1">
        <v>678</v>
      </c>
      <c r="B3834">
        <v>7</v>
      </c>
      <c r="C3834">
        <v>69</v>
      </c>
      <c r="D3834">
        <v>5</v>
      </c>
      <c r="E3834">
        <v>0</v>
      </c>
      <c r="F3834">
        <v>1</v>
      </c>
      <c r="G3834">
        <v>12</v>
      </c>
      <c r="H3834">
        <v>1</v>
      </c>
      <c r="I3834">
        <v>20600.41</v>
      </c>
      <c r="J3834">
        <v>3</v>
      </c>
      <c r="K3834">
        <v>0</v>
      </c>
      <c r="L3834" s="4">
        <v>0.9366634794233174</v>
      </c>
      <c r="M3834" s="4">
        <v>6.3336520576682584E-2</v>
      </c>
      <c r="N3834">
        <v>9</v>
      </c>
    </row>
    <row r="3835" spans="1:14" x14ac:dyDescent="0.35">
      <c r="A3835" s="1">
        <v>320</v>
      </c>
      <c r="B3835">
        <v>5</v>
      </c>
      <c r="C3835">
        <v>57</v>
      </c>
      <c r="D3835">
        <v>0</v>
      </c>
      <c r="E3835">
        <v>1</v>
      </c>
      <c r="F3835">
        <v>1</v>
      </c>
      <c r="G3835">
        <v>12</v>
      </c>
      <c r="H3835">
        <v>2</v>
      </c>
      <c r="I3835">
        <v>0.02</v>
      </c>
      <c r="J3835">
        <v>8</v>
      </c>
      <c r="K3835">
        <v>0</v>
      </c>
      <c r="L3835" s="4">
        <v>0.93666882872294766</v>
      </c>
      <c r="M3835" s="4">
        <v>6.3331171277052289E-2</v>
      </c>
      <c r="N3835">
        <v>9</v>
      </c>
    </row>
    <row r="3836" spans="1:14" x14ac:dyDescent="0.35">
      <c r="A3836" s="1">
        <v>2786</v>
      </c>
      <c r="B3836">
        <v>5</v>
      </c>
      <c r="C3836">
        <v>64</v>
      </c>
      <c r="D3836">
        <v>2</v>
      </c>
      <c r="E3836">
        <v>0</v>
      </c>
      <c r="F3836">
        <v>0</v>
      </c>
      <c r="G3836">
        <v>4</v>
      </c>
      <c r="H3836">
        <v>0</v>
      </c>
      <c r="I3836">
        <v>16000</v>
      </c>
      <c r="J3836">
        <v>1</v>
      </c>
      <c r="K3836">
        <v>0</v>
      </c>
      <c r="L3836" s="4">
        <v>0.9367398270439693</v>
      </c>
      <c r="M3836" s="4">
        <v>6.3260172956030675E-2</v>
      </c>
      <c r="N3836">
        <v>9</v>
      </c>
    </row>
    <row r="3837" spans="1:14" x14ac:dyDescent="0.35">
      <c r="A3837" s="1">
        <v>2582</v>
      </c>
      <c r="B3837">
        <v>9</v>
      </c>
      <c r="C3837">
        <v>74</v>
      </c>
      <c r="D3837">
        <v>3</v>
      </c>
      <c r="E3837">
        <v>1</v>
      </c>
      <c r="F3837">
        <v>0</v>
      </c>
      <c r="G3837">
        <v>11</v>
      </c>
      <c r="H3837">
        <v>0</v>
      </c>
      <c r="I3837">
        <v>6000</v>
      </c>
      <c r="J3837">
        <v>3</v>
      </c>
      <c r="K3837">
        <v>0</v>
      </c>
      <c r="L3837" s="4">
        <v>0.93677641272947787</v>
      </c>
      <c r="M3837" s="4">
        <v>6.3223587270522144E-2</v>
      </c>
      <c r="N3837">
        <v>9</v>
      </c>
    </row>
    <row r="3838" spans="1:14" x14ac:dyDescent="0.35">
      <c r="A3838" s="1">
        <v>2679</v>
      </c>
      <c r="B3838">
        <v>7</v>
      </c>
      <c r="C3838">
        <v>71</v>
      </c>
      <c r="D3838">
        <v>1</v>
      </c>
      <c r="E3838">
        <v>0</v>
      </c>
      <c r="F3838">
        <v>3</v>
      </c>
      <c r="G3838">
        <v>8</v>
      </c>
      <c r="H3838">
        <v>0</v>
      </c>
      <c r="I3838">
        <v>12900</v>
      </c>
      <c r="J3838">
        <v>15</v>
      </c>
      <c r="K3838">
        <v>0</v>
      </c>
      <c r="L3838" s="4">
        <v>0.93684146112643751</v>
      </c>
      <c r="M3838" s="4">
        <v>6.3158538873562445E-2</v>
      </c>
      <c r="N3838">
        <v>9</v>
      </c>
    </row>
    <row r="3839" spans="1:14" x14ac:dyDescent="0.35">
      <c r="A3839" s="1">
        <v>1653</v>
      </c>
      <c r="B3839">
        <v>7</v>
      </c>
      <c r="C3839">
        <v>67</v>
      </c>
      <c r="D3839">
        <v>3</v>
      </c>
      <c r="E3839">
        <v>1</v>
      </c>
      <c r="F3839">
        <v>0</v>
      </c>
      <c r="G3839">
        <v>4</v>
      </c>
      <c r="H3839">
        <v>0</v>
      </c>
      <c r="I3839">
        <v>12053.35</v>
      </c>
      <c r="J3839">
        <v>15</v>
      </c>
      <c r="K3839">
        <v>0</v>
      </c>
      <c r="L3839" s="4">
        <v>0.93693121710275218</v>
      </c>
      <c r="M3839" s="4">
        <v>6.3068782897247835E-2</v>
      </c>
      <c r="N3839">
        <v>9</v>
      </c>
    </row>
    <row r="3840" spans="1:14" x14ac:dyDescent="0.35">
      <c r="A3840" s="1">
        <v>3014</v>
      </c>
      <c r="B3840">
        <v>5</v>
      </c>
      <c r="C3840">
        <v>58</v>
      </c>
      <c r="D3840">
        <v>3</v>
      </c>
      <c r="E3840">
        <v>1</v>
      </c>
      <c r="F3840">
        <v>1</v>
      </c>
      <c r="G3840">
        <v>5</v>
      </c>
      <c r="H3840">
        <v>0</v>
      </c>
      <c r="I3840">
        <v>8000</v>
      </c>
      <c r="J3840">
        <v>4</v>
      </c>
      <c r="K3840">
        <v>0</v>
      </c>
      <c r="L3840" s="4">
        <v>0.93695784004574989</v>
      </c>
      <c r="M3840" s="4">
        <v>6.3042159954250152E-2</v>
      </c>
      <c r="N3840">
        <v>9</v>
      </c>
    </row>
    <row r="3841" spans="1:14" x14ac:dyDescent="0.35">
      <c r="A3841" s="1">
        <v>3393</v>
      </c>
      <c r="B3841">
        <v>7</v>
      </c>
      <c r="C3841">
        <v>73</v>
      </c>
      <c r="D3841">
        <v>1</v>
      </c>
      <c r="E3841">
        <v>0</v>
      </c>
      <c r="F3841">
        <v>0</v>
      </c>
      <c r="G3841">
        <v>2</v>
      </c>
      <c r="H3841">
        <v>0</v>
      </c>
      <c r="I3841">
        <v>17083.75</v>
      </c>
      <c r="J3841">
        <v>9</v>
      </c>
      <c r="K3841">
        <v>0</v>
      </c>
      <c r="L3841" s="4">
        <v>0.93702497420504938</v>
      </c>
      <c r="M3841" s="4">
        <v>6.2975025794950679E-2</v>
      </c>
      <c r="N3841">
        <v>9</v>
      </c>
    </row>
    <row r="3842" spans="1:14" x14ac:dyDescent="0.35">
      <c r="A3842" s="1">
        <v>2745</v>
      </c>
      <c r="B3842">
        <v>5</v>
      </c>
      <c r="C3842">
        <v>57</v>
      </c>
      <c r="D3842">
        <v>3</v>
      </c>
      <c r="E3842">
        <v>1</v>
      </c>
      <c r="F3842">
        <v>0</v>
      </c>
      <c r="G3842">
        <v>4</v>
      </c>
      <c r="H3842">
        <v>2</v>
      </c>
      <c r="I3842">
        <v>3000</v>
      </c>
      <c r="J3842">
        <v>4</v>
      </c>
      <c r="K3842">
        <v>0</v>
      </c>
      <c r="L3842" s="4">
        <v>0.9370753526553921</v>
      </c>
      <c r="M3842" s="4">
        <v>6.292464734460787E-2</v>
      </c>
      <c r="N3842">
        <v>9</v>
      </c>
    </row>
    <row r="3843" spans="1:14" x14ac:dyDescent="0.35">
      <c r="A3843" s="1">
        <v>1900</v>
      </c>
      <c r="B3843">
        <v>3</v>
      </c>
      <c r="C3843">
        <v>48</v>
      </c>
      <c r="D3843">
        <v>2</v>
      </c>
      <c r="E3843">
        <v>1</v>
      </c>
      <c r="F3843">
        <v>3</v>
      </c>
      <c r="G3843">
        <v>3</v>
      </c>
      <c r="H3843">
        <v>2</v>
      </c>
      <c r="I3843">
        <v>1000</v>
      </c>
      <c r="J3843">
        <v>5</v>
      </c>
      <c r="K3843">
        <v>0</v>
      </c>
      <c r="L3843" s="4">
        <v>0.93715134491125596</v>
      </c>
      <c r="M3843" s="4">
        <v>6.2848655088744043E-2</v>
      </c>
      <c r="N3843">
        <v>9</v>
      </c>
    </row>
    <row r="3844" spans="1:14" x14ac:dyDescent="0.35">
      <c r="A3844" s="1">
        <v>4113</v>
      </c>
      <c r="B3844">
        <v>9</v>
      </c>
      <c r="C3844">
        <v>76</v>
      </c>
      <c r="D3844">
        <v>5</v>
      </c>
      <c r="E3844">
        <v>0</v>
      </c>
      <c r="F3844">
        <v>3</v>
      </c>
      <c r="G3844">
        <v>3</v>
      </c>
      <c r="H3844">
        <v>2</v>
      </c>
      <c r="I3844">
        <v>4000</v>
      </c>
      <c r="J3844">
        <v>5</v>
      </c>
      <c r="K3844">
        <v>0</v>
      </c>
      <c r="L3844" s="4">
        <v>0.93721977920349842</v>
      </c>
      <c r="M3844" s="4">
        <v>6.2780220796501598E-2</v>
      </c>
      <c r="N3844">
        <v>9</v>
      </c>
    </row>
    <row r="3845" spans="1:14" x14ac:dyDescent="0.35">
      <c r="A3845" s="1">
        <v>3137</v>
      </c>
      <c r="B3845">
        <v>7</v>
      </c>
      <c r="C3845">
        <v>72</v>
      </c>
      <c r="D3845">
        <v>2</v>
      </c>
      <c r="E3845">
        <v>0</v>
      </c>
      <c r="F3845">
        <v>0</v>
      </c>
      <c r="G3845">
        <v>4</v>
      </c>
      <c r="H3845">
        <v>0</v>
      </c>
      <c r="I3845">
        <v>6000</v>
      </c>
      <c r="J3845">
        <v>2</v>
      </c>
      <c r="K3845">
        <v>0</v>
      </c>
      <c r="L3845" s="4">
        <v>0.93725835290532189</v>
      </c>
      <c r="M3845" s="4">
        <v>6.2741647094678082E-2</v>
      </c>
      <c r="N3845">
        <v>9</v>
      </c>
    </row>
    <row r="3846" spans="1:14" x14ac:dyDescent="0.35">
      <c r="A3846" s="1">
        <v>2771</v>
      </c>
      <c r="B3846">
        <v>7</v>
      </c>
      <c r="C3846">
        <v>69</v>
      </c>
      <c r="D3846">
        <v>4</v>
      </c>
      <c r="E3846">
        <v>0</v>
      </c>
      <c r="F3846">
        <v>0</v>
      </c>
      <c r="G3846">
        <v>11</v>
      </c>
      <c r="H3846">
        <v>2</v>
      </c>
      <c r="I3846">
        <v>1000</v>
      </c>
      <c r="J3846">
        <v>7</v>
      </c>
      <c r="K3846">
        <v>0</v>
      </c>
      <c r="L3846" s="4">
        <v>0.93726799377807191</v>
      </c>
      <c r="M3846" s="4">
        <v>6.2732006221928108E-2</v>
      </c>
      <c r="N3846">
        <v>9</v>
      </c>
    </row>
    <row r="3847" spans="1:14" x14ac:dyDescent="0.35">
      <c r="A3847" s="1">
        <v>1233</v>
      </c>
      <c r="B3847">
        <v>7</v>
      </c>
      <c r="C3847">
        <v>66</v>
      </c>
      <c r="D3847">
        <v>2</v>
      </c>
      <c r="E3847">
        <v>1</v>
      </c>
      <c r="F3847">
        <v>3</v>
      </c>
      <c r="G3847">
        <v>3</v>
      </c>
      <c r="H3847">
        <v>0</v>
      </c>
      <c r="I3847">
        <v>12000</v>
      </c>
      <c r="J3847">
        <v>5</v>
      </c>
      <c r="K3847">
        <v>0</v>
      </c>
      <c r="L3847" s="4">
        <v>0.93729924470818404</v>
      </c>
      <c r="M3847" s="4">
        <v>6.2700755291816013E-2</v>
      </c>
      <c r="N3847">
        <v>9</v>
      </c>
    </row>
    <row r="3848" spans="1:14" x14ac:dyDescent="0.35">
      <c r="A3848" s="1">
        <v>2943</v>
      </c>
      <c r="B3848">
        <v>5</v>
      </c>
      <c r="C3848">
        <v>51</v>
      </c>
      <c r="D3848">
        <v>1</v>
      </c>
      <c r="E3848">
        <v>2</v>
      </c>
      <c r="F3848">
        <v>3</v>
      </c>
      <c r="G3848">
        <v>3</v>
      </c>
      <c r="H3848">
        <v>3</v>
      </c>
      <c r="I3848">
        <v>0.01</v>
      </c>
      <c r="J3848">
        <v>9</v>
      </c>
      <c r="K3848">
        <v>0</v>
      </c>
      <c r="L3848" s="4">
        <v>0.93731274367184392</v>
      </c>
      <c r="M3848" s="4">
        <v>6.2687256328156096E-2</v>
      </c>
      <c r="N3848">
        <v>9</v>
      </c>
    </row>
    <row r="3849" spans="1:14" x14ac:dyDescent="0.35">
      <c r="A3849" s="1">
        <v>4143</v>
      </c>
      <c r="B3849">
        <v>7</v>
      </c>
      <c r="C3849">
        <v>66</v>
      </c>
      <c r="D3849">
        <v>5</v>
      </c>
      <c r="E3849">
        <v>1</v>
      </c>
      <c r="F3849">
        <v>0</v>
      </c>
      <c r="G3849">
        <v>4</v>
      </c>
      <c r="H3849">
        <v>0</v>
      </c>
      <c r="I3849">
        <v>12000</v>
      </c>
      <c r="J3849">
        <v>4</v>
      </c>
      <c r="K3849">
        <v>0</v>
      </c>
      <c r="L3849" s="4">
        <v>0.93732320729504015</v>
      </c>
      <c r="M3849" s="4">
        <v>6.2676792704959905E-2</v>
      </c>
      <c r="N3849">
        <v>9</v>
      </c>
    </row>
    <row r="3850" spans="1:14" x14ac:dyDescent="0.35">
      <c r="A3850" s="1">
        <v>1258</v>
      </c>
      <c r="B3850">
        <v>6</v>
      </c>
      <c r="C3850">
        <v>66</v>
      </c>
      <c r="D3850">
        <v>2</v>
      </c>
      <c r="E3850">
        <v>0</v>
      </c>
      <c r="F3850">
        <v>0</v>
      </c>
      <c r="G3850">
        <v>10</v>
      </c>
      <c r="H3850">
        <v>2</v>
      </c>
      <c r="I3850">
        <v>50</v>
      </c>
      <c r="J3850">
        <v>10</v>
      </c>
      <c r="K3850">
        <v>0</v>
      </c>
      <c r="L3850" s="4">
        <v>0.93743104138765931</v>
      </c>
      <c r="M3850" s="4">
        <v>6.2568958612340728E-2</v>
      </c>
      <c r="N3850">
        <v>9</v>
      </c>
    </row>
    <row r="3851" spans="1:14" x14ac:dyDescent="0.35">
      <c r="A3851" s="1">
        <v>2277</v>
      </c>
      <c r="B3851">
        <v>5</v>
      </c>
      <c r="C3851">
        <v>62</v>
      </c>
      <c r="D3851">
        <v>3</v>
      </c>
      <c r="E3851">
        <v>0</v>
      </c>
      <c r="F3851">
        <v>0</v>
      </c>
      <c r="G3851">
        <v>4</v>
      </c>
      <c r="H3851">
        <v>2</v>
      </c>
      <c r="I3851">
        <v>50</v>
      </c>
      <c r="J3851">
        <v>7</v>
      </c>
      <c r="K3851">
        <v>0</v>
      </c>
      <c r="L3851" s="4">
        <v>0.93744527338481598</v>
      </c>
      <c r="M3851" s="4">
        <v>6.2554726615184075E-2</v>
      </c>
      <c r="N3851">
        <v>9</v>
      </c>
    </row>
    <row r="3852" spans="1:14" x14ac:dyDescent="0.35">
      <c r="A3852" s="1">
        <v>3555</v>
      </c>
      <c r="B3852">
        <v>6</v>
      </c>
      <c r="C3852">
        <v>65</v>
      </c>
      <c r="D3852">
        <v>2</v>
      </c>
      <c r="E3852">
        <v>0</v>
      </c>
      <c r="F3852">
        <v>1</v>
      </c>
      <c r="G3852">
        <v>7</v>
      </c>
      <c r="H3852">
        <v>3</v>
      </c>
      <c r="I3852">
        <v>0.01</v>
      </c>
      <c r="J3852">
        <v>5</v>
      </c>
      <c r="K3852">
        <v>0</v>
      </c>
      <c r="L3852" s="4">
        <v>0.93756580756629071</v>
      </c>
      <c r="M3852" s="4">
        <v>6.2434192433709242E-2</v>
      </c>
      <c r="N3852">
        <v>9</v>
      </c>
    </row>
    <row r="3853" spans="1:14" x14ac:dyDescent="0.35">
      <c r="A3853" s="1">
        <v>3016</v>
      </c>
      <c r="B3853">
        <v>9</v>
      </c>
      <c r="C3853">
        <v>77</v>
      </c>
      <c r="D3853">
        <v>3</v>
      </c>
      <c r="E3853">
        <v>0</v>
      </c>
      <c r="F3853">
        <v>1</v>
      </c>
      <c r="G3853">
        <v>12</v>
      </c>
      <c r="H3853">
        <v>2</v>
      </c>
      <c r="I3853">
        <v>2500</v>
      </c>
      <c r="J3853">
        <v>2</v>
      </c>
      <c r="K3853">
        <v>0</v>
      </c>
      <c r="L3853" s="4">
        <v>0.93759508382857959</v>
      </c>
      <c r="M3853" s="4">
        <v>6.2404916171420431E-2</v>
      </c>
      <c r="N3853">
        <v>9</v>
      </c>
    </row>
    <row r="3854" spans="1:14" x14ac:dyDescent="0.35">
      <c r="A3854" s="1">
        <v>1699</v>
      </c>
      <c r="B3854">
        <v>8</v>
      </c>
      <c r="C3854">
        <v>63</v>
      </c>
      <c r="D3854">
        <v>2</v>
      </c>
      <c r="E3854">
        <v>2</v>
      </c>
      <c r="F3854">
        <v>3</v>
      </c>
      <c r="G3854">
        <v>8</v>
      </c>
      <c r="H3854">
        <v>2</v>
      </c>
      <c r="I3854">
        <v>3000</v>
      </c>
      <c r="J3854">
        <v>2</v>
      </c>
      <c r="K3854">
        <v>0</v>
      </c>
      <c r="L3854" s="4">
        <v>0.93759622887321847</v>
      </c>
      <c r="M3854" s="4">
        <v>6.2403771126781582E-2</v>
      </c>
      <c r="N3854">
        <v>9</v>
      </c>
    </row>
    <row r="3855" spans="1:14" x14ac:dyDescent="0.35">
      <c r="A3855" s="1">
        <v>1766</v>
      </c>
      <c r="B3855">
        <v>8</v>
      </c>
      <c r="C3855">
        <v>75</v>
      </c>
      <c r="D3855">
        <v>1</v>
      </c>
      <c r="E3855">
        <v>0</v>
      </c>
      <c r="F3855">
        <v>3</v>
      </c>
      <c r="G3855">
        <v>8</v>
      </c>
      <c r="H3855">
        <v>0</v>
      </c>
      <c r="I3855">
        <v>6025</v>
      </c>
      <c r="J3855">
        <v>11</v>
      </c>
      <c r="K3855">
        <v>1</v>
      </c>
      <c r="L3855" s="4">
        <v>0.93761776394349894</v>
      </c>
      <c r="M3855" s="4">
        <v>6.2382236056501103E-2</v>
      </c>
      <c r="N3855">
        <v>9</v>
      </c>
    </row>
    <row r="3856" spans="1:14" x14ac:dyDescent="0.35">
      <c r="A3856" s="1">
        <v>2707</v>
      </c>
      <c r="B3856">
        <v>7</v>
      </c>
      <c r="C3856">
        <v>61</v>
      </c>
      <c r="D3856">
        <v>2</v>
      </c>
      <c r="E3856">
        <v>2</v>
      </c>
      <c r="F3856">
        <v>3</v>
      </c>
      <c r="G3856">
        <v>3</v>
      </c>
      <c r="H3856">
        <v>0</v>
      </c>
      <c r="I3856">
        <v>6000</v>
      </c>
      <c r="J3856">
        <v>4</v>
      </c>
      <c r="K3856">
        <v>0</v>
      </c>
      <c r="L3856" s="4">
        <v>0.93762519026478741</v>
      </c>
      <c r="M3856" s="4">
        <v>6.2374809735212623E-2</v>
      </c>
      <c r="N3856">
        <v>9</v>
      </c>
    </row>
    <row r="3857" spans="1:14" x14ac:dyDescent="0.35">
      <c r="A3857" s="1">
        <v>2941</v>
      </c>
      <c r="B3857">
        <v>7</v>
      </c>
      <c r="C3857">
        <v>67</v>
      </c>
      <c r="D3857">
        <v>0</v>
      </c>
      <c r="E3857">
        <v>1</v>
      </c>
      <c r="F3857">
        <v>3</v>
      </c>
      <c r="G3857">
        <v>3</v>
      </c>
      <c r="H3857">
        <v>0</v>
      </c>
      <c r="I3857">
        <v>10000</v>
      </c>
      <c r="J3857">
        <v>9</v>
      </c>
      <c r="K3857">
        <v>0</v>
      </c>
      <c r="L3857" s="4">
        <v>0.93763052512300582</v>
      </c>
      <c r="M3857" s="4">
        <v>6.2369474876994152E-2</v>
      </c>
      <c r="N3857">
        <v>9</v>
      </c>
    </row>
    <row r="3858" spans="1:14" x14ac:dyDescent="0.35">
      <c r="A3858" s="1">
        <v>2733</v>
      </c>
      <c r="B3858">
        <v>8</v>
      </c>
      <c r="C3858">
        <v>66</v>
      </c>
      <c r="D3858">
        <v>2</v>
      </c>
      <c r="E3858">
        <v>2</v>
      </c>
      <c r="F3858">
        <v>0</v>
      </c>
      <c r="G3858">
        <v>11</v>
      </c>
      <c r="H3858">
        <v>0</v>
      </c>
      <c r="I3858">
        <v>12000</v>
      </c>
      <c r="J3858">
        <v>8</v>
      </c>
      <c r="K3858">
        <v>0</v>
      </c>
      <c r="L3858" s="4">
        <v>0.93768281208690141</v>
      </c>
      <c r="M3858" s="4">
        <v>6.2317187913098551E-2</v>
      </c>
      <c r="N3858">
        <v>9</v>
      </c>
    </row>
    <row r="3859" spans="1:14" x14ac:dyDescent="0.35">
      <c r="A3859" s="1">
        <v>2630</v>
      </c>
      <c r="B3859">
        <v>8</v>
      </c>
      <c r="C3859">
        <v>73</v>
      </c>
      <c r="D3859">
        <v>2</v>
      </c>
      <c r="E3859">
        <v>0</v>
      </c>
      <c r="F3859">
        <v>3</v>
      </c>
      <c r="G3859">
        <v>8</v>
      </c>
      <c r="H3859">
        <v>2</v>
      </c>
      <c r="I3859">
        <v>3000</v>
      </c>
      <c r="J3859">
        <v>8</v>
      </c>
      <c r="K3859">
        <v>0</v>
      </c>
      <c r="L3859" s="4">
        <v>0.93777592187777081</v>
      </c>
      <c r="M3859" s="4">
        <v>6.2224078122229243E-2</v>
      </c>
      <c r="N3859">
        <v>9</v>
      </c>
    </row>
    <row r="3860" spans="1:14" x14ac:dyDescent="0.35">
      <c r="A3860" s="1">
        <v>2673</v>
      </c>
      <c r="B3860">
        <v>6</v>
      </c>
      <c r="C3860">
        <v>68</v>
      </c>
      <c r="D3860">
        <v>1</v>
      </c>
      <c r="E3860">
        <v>0</v>
      </c>
      <c r="F3860">
        <v>1</v>
      </c>
      <c r="G3860">
        <v>7</v>
      </c>
      <c r="H3860">
        <v>0</v>
      </c>
      <c r="I3860">
        <v>9000</v>
      </c>
      <c r="J3860">
        <v>8</v>
      </c>
      <c r="K3860">
        <v>1</v>
      </c>
      <c r="L3860" s="4">
        <v>0.93778950249442716</v>
      </c>
      <c r="M3860" s="4">
        <v>6.2210497505572823E-2</v>
      </c>
      <c r="N3860">
        <v>9</v>
      </c>
    </row>
    <row r="3861" spans="1:14" x14ac:dyDescent="0.35">
      <c r="A3861" s="1">
        <v>2932</v>
      </c>
      <c r="B3861">
        <v>4</v>
      </c>
      <c r="C3861">
        <v>59</v>
      </c>
      <c r="D3861">
        <v>3</v>
      </c>
      <c r="E3861">
        <v>0</v>
      </c>
      <c r="F3861">
        <v>1</v>
      </c>
      <c r="G3861">
        <v>7</v>
      </c>
      <c r="H3861">
        <v>0</v>
      </c>
      <c r="I3861">
        <v>5045.68</v>
      </c>
      <c r="J3861">
        <v>9</v>
      </c>
      <c r="K3861">
        <v>0</v>
      </c>
      <c r="L3861" s="4">
        <v>0.93799693631588232</v>
      </c>
      <c r="M3861" s="4">
        <v>6.2003063684117697E-2</v>
      </c>
      <c r="N3861">
        <v>9</v>
      </c>
    </row>
    <row r="3862" spans="1:14" x14ac:dyDescent="0.35">
      <c r="A3862" s="1">
        <v>1284</v>
      </c>
      <c r="B3862">
        <v>2</v>
      </c>
      <c r="C3862">
        <v>50</v>
      </c>
      <c r="D3862">
        <v>0</v>
      </c>
      <c r="E3862">
        <v>0</v>
      </c>
      <c r="F3862">
        <v>3</v>
      </c>
      <c r="G3862">
        <v>3</v>
      </c>
      <c r="H3862">
        <v>2</v>
      </c>
      <c r="I3862">
        <v>2000</v>
      </c>
      <c r="J3862">
        <v>2</v>
      </c>
      <c r="K3862">
        <v>0</v>
      </c>
      <c r="L3862" s="4">
        <v>0.93821638585876377</v>
      </c>
      <c r="M3862" s="4">
        <v>6.1783614141236197E-2</v>
      </c>
      <c r="N3862">
        <v>9</v>
      </c>
    </row>
    <row r="3863" spans="1:14" x14ac:dyDescent="0.35">
      <c r="A3863" s="1">
        <v>3700</v>
      </c>
      <c r="B3863">
        <v>8</v>
      </c>
      <c r="C3863">
        <v>74</v>
      </c>
      <c r="D3863">
        <v>1</v>
      </c>
      <c r="E3863">
        <v>0</v>
      </c>
      <c r="F3863">
        <v>3</v>
      </c>
      <c r="G3863">
        <v>3</v>
      </c>
      <c r="H3863">
        <v>2</v>
      </c>
      <c r="I3863">
        <v>50</v>
      </c>
      <c r="J3863">
        <v>10</v>
      </c>
      <c r="K3863">
        <v>0</v>
      </c>
      <c r="L3863" s="4">
        <v>0.93827626576588941</v>
      </c>
      <c r="M3863" s="4">
        <v>6.1723734234110622E-2</v>
      </c>
      <c r="N3863">
        <v>9</v>
      </c>
    </row>
    <row r="3864" spans="1:14" x14ac:dyDescent="0.35">
      <c r="A3864" s="1">
        <v>2123</v>
      </c>
      <c r="B3864">
        <v>7</v>
      </c>
      <c r="C3864">
        <v>72</v>
      </c>
      <c r="D3864">
        <v>2</v>
      </c>
      <c r="E3864">
        <v>0</v>
      </c>
      <c r="F3864">
        <v>0</v>
      </c>
      <c r="G3864">
        <v>11</v>
      </c>
      <c r="H3864">
        <v>0</v>
      </c>
      <c r="I3864">
        <v>6600</v>
      </c>
      <c r="J3864">
        <v>15</v>
      </c>
      <c r="K3864">
        <v>0</v>
      </c>
      <c r="L3864" s="4">
        <v>0.93846775544985916</v>
      </c>
      <c r="M3864" s="4">
        <v>6.1532244550140877E-2</v>
      </c>
      <c r="N3864">
        <v>9</v>
      </c>
    </row>
    <row r="3865" spans="1:14" x14ac:dyDescent="0.35">
      <c r="A3865" s="1">
        <v>2616</v>
      </c>
      <c r="B3865">
        <v>5</v>
      </c>
      <c r="C3865">
        <v>60</v>
      </c>
      <c r="D3865">
        <v>4</v>
      </c>
      <c r="E3865">
        <v>0</v>
      </c>
      <c r="F3865">
        <v>2</v>
      </c>
      <c r="G3865">
        <v>6</v>
      </c>
      <c r="H3865">
        <v>3</v>
      </c>
      <c r="I3865">
        <v>0.01</v>
      </c>
      <c r="J3865">
        <v>7</v>
      </c>
      <c r="K3865">
        <v>1</v>
      </c>
      <c r="L3865" s="4">
        <v>0.9384853611174947</v>
      </c>
      <c r="M3865" s="4">
        <v>6.1514638882505329E-2</v>
      </c>
      <c r="N3865">
        <v>9</v>
      </c>
    </row>
    <row r="3866" spans="1:14" x14ac:dyDescent="0.35">
      <c r="A3866" s="1">
        <v>165</v>
      </c>
      <c r="B3866">
        <v>2</v>
      </c>
      <c r="C3866">
        <v>49</v>
      </c>
      <c r="D3866">
        <v>4</v>
      </c>
      <c r="E3866">
        <v>0</v>
      </c>
      <c r="F3866">
        <v>1</v>
      </c>
      <c r="G3866">
        <v>7</v>
      </c>
      <c r="H3866">
        <v>2</v>
      </c>
      <c r="I3866">
        <v>2000</v>
      </c>
      <c r="J3866">
        <v>5</v>
      </c>
      <c r="K3866">
        <v>0</v>
      </c>
      <c r="L3866" s="4">
        <v>0.93857996270628319</v>
      </c>
      <c r="M3866" s="4">
        <v>6.1420037293716832E-2</v>
      </c>
      <c r="N3866">
        <v>9</v>
      </c>
    </row>
    <row r="3867" spans="1:14" x14ac:dyDescent="0.35">
      <c r="A3867" s="1">
        <v>1734</v>
      </c>
      <c r="B3867">
        <v>1</v>
      </c>
      <c r="C3867">
        <v>40</v>
      </c>
      <c r="D3867">
        <v>3</v>
      </c>
      <c r="E3867">
        <v>1</v>
      </c>
      <c r="F3867">
        <v>3</v>
      </c>
      <c r="G3867">
        <v>3</v>
      </c>
      <c r="H3867">
        <v>2</v>
      </c>
      <c r="I3867">
        <v>2400</v>
      </c>
      <c r="J3867">
        <v>8</v>
      </c>
      <c r="K3867">
        <v>0</v>
      </c>
      <c r="L3867" s="4">
        <v>0.93867894682138775</v>
      </c>
      <c r="M3867" s="4">
        <v>6.1321053178612257E-2</v>
      </c>
      <c r="N3867">
        <v>9</v>
      </c>
    </row>
    <row r="3868" spans="1:14" x14ac:dyDescent="0.35">
      <c r="A3868" s="1">
        <v>3167</v>
      </c>
      <c r="B3868">
        <v>6</v>
      </c>
      <c r="C3868">
        <v>62</v>
      </c>
      <c r="D3868">
        <v>3</v>
      </c>
      <c r="E3868">
        <v>1</v>
      </c>
      <c r="F3868">
        <v>1</v>
      </c>
      <c r="G3868">
        <v>12</v>
      </c>
      <c r="H3868">
        <v>0</v>
      </c>
      <c r="I3868">
        <v>12000</v>
      </c>
      <c r="J3868">
        <v>2</v>
      </c>
      <c r="K3868">
        <v>0</v>
      </c>
      <c r="L3868" s="4">
        <v>0.93879476520471439</v>
      </c>
      <c r="M3868" s="4">
        <v>6.1205234795285571E-2</v>
      </c>
      <c r="N3868">
        <v>9</v>
      </c>
    </row>
    <row r="3869" spans="1:14" x14ac:dyDescent="0.35">
      <c r="A3869" s="1">
        <v>2140</v>
      </c>
      <c r="B3869">
        <v>2</v>
      </c>
      <c r="C3869">
        <v>44</v>
      </c>
      <c r="D3869">
        <v>3</v>
      </c>
      <c r="E3869">
        <v>1</v>
      </c>
      <c r="F3869">
        <v>3</v>
      </c>
      <c r="G3869">
        <v>3</v>
      </c>
      <c r="H3869">
        <v>2</v>
      </c>
      <c r="I3869">
        <v>2100</v>
      </c>
      <c r="J3869">
        <v>4</v>
      </c>
      <c r="K3869">
        <v>0</v>
      </c>
      <c r="L3869" s="4">
        <v>0.93882854196066956</v>
      </c>
      <c r="M3869" s="4">
        <v>6.1171458039330391E-2</v>
      </c>
      <c r="N3869">
        <v>9</v>
      </c>
    </row>
    <row r="3870" spans="1:14" x14ac:dyDescent="0.35">
      <c r="A3870" s="1">
        <v>3121</v>
      </c>
      <c r="B3870">
        <v>8</v>
      </c>
      <c r="C3870">
        <v>73</v>
      </c>
      <c r="D3870">
        <v>4</v>
      </c>
      <c r="E3870">
        <v>0</v>
      </c>
      <c r="F3870">
        <v>1</v>
      </c>
      <c r="G3870">
        <v>12</v>
      </c>
      <c r="H3870">
        <v>2</v>
      </c>
      <c r="I3870">
        <v>60.01</v>
      </c>
      <c r="J3870">
        <v>10</v>
      </c>
      <c r="K3870">
        <v>0</v>
      </c>
      <c r="L3870" s="4">
        <v>0.9389259332549279</v>
      </c>
      <c r="M3870" s="4">
        <v>6.107406674507207E-2</v>
      </c>
      <c r="N3870">
        <v>9</v>
      </c>
    </row>
    <row r="3871" spans="1:14" x14ac:dyDescent="0.35">
      <c r="A3871" s="1">
        <v>1250</v>
      </c>
      <c r="B3871">
        <v>7</v>
      </c>
      <c r="C3871">
        <v>68</v>
      </c>
      <c r="D3871">
        <v>2</v>
      </c>
      <c r="E3871">
        <v>1</v>
      </c>
      <c r="F3871">
        <v>0</v>
      </c>
      <c r="G3871">
        <v>2</v>
      </c>
      <c r="H3871">
        <v>0</v>
      </c>
      <c r="I3871">
        <v>12160.98</v>
      </c>
      <c r="J3871">
        <v>6</v>
      </c>
      <c r="K3871">
        <v>0</v>
      </c>
      <c r="L3871" s="4">
        <v>0.93892702475274348</v>
      </c>
      <c r="M3871" s="4">
        <v>6.1072975247256571E-2</v>
      </c>
      <c r="N3871">
        <v>9</v>
      </c>
    </row>
    <row r="3872" spans="1:14" x14ac:dyDescent="0.35">
      <c r="A3872" s="1">
        <v>3661</v>
      </c>
      <c r="B3872">
        <v>6</v>
      </c>
      <c r="C3872">
        <v>67</v>
      </c>
      <c r="D3872">
        <v>2</v>
      </c>
      <c r="E3872">
        <v>0</v>
      </c>
      <c r="F3872">
        <v>0</v>
      </c>
      <c r="G3872">
        <v>2</v>
      </c>
      <c r="H3872">
        <v>2</v>
      </c>
      <c r="I3872">
        <v>600</v>
      </c>
      <c r="J3872">
        <v>1</v>
      </c>
      <c r="K3872">
        <v>1</v>
      </c>
      <c r="L3872" s="4">
        <v>0.93899253199432853</v>
      </c>
      <c r="M3872" s="4">
        <v>6.1007468005671417E-2</v>
      </c>
      <c r="N3872">
        <v>9</v>
      </c>
    </row>
    <row r="3873" spans="1:14" x14ac:dyDescent="0.35">
      <c r="A3873" s="1">
        <v>1470</v>
      </c>
      <c r="B3873">
        <v>7</v>
      </c>
      <c r="C3873">
        <v>60</v>
      </c>
      <c r="D3873">
        <v>0</v>
      </c>
      <c r="E3873">
        <v>2</v>
      </c>
      <c r="F3873">
        <v>3</v>
      </c>
      <c r="G3873">
        <v>3</v>
      </c>
      <c r="H3873">
        <v>3</v>
      </c>
      <c r="I3873">
        <v>0.01</v>
      </c>
      <c r="J3873">
        <v>8</v>
      </c>
      <c r="K3873">
        <v>0</v>
      </c>
      <c r="L3873" s="4">
        <v>0.93900171353083184</v>
      </c>
      <c r="M3873" s="4">
        <v>6.0998286469168168E-2</v>
      </c>
      <c r="N3873">
        <v>9</v>
      </c>
    </row>
    <row r="3874" spans="1:14" x14ac:dyDescent="0.35">
      <c r="A3874" s="1">
        <v>2412</v>
      </c>
      <c r="B3874">
        <v>7</v>
      </c>
      <c r="C3874">
        <v>67</v>
      </c>
      <c r="D3874">
        <v>1</v>
      </c>
      <c r="E3874">
        <v>1</v>
      </c>
      <c r="F3874">
        <v>3</v>
      </c>
      <c r="G3874">
        <v>3</v>
      </c>
      <c r="H3874">
        <v>0</v>
      </c>
      <c r="I3874">
        <v>12000</v>
      </c>
      <c r="J3874">
        <v>8</v>
      </c>
      <c r="K3874">
        <v>0</v>
      </c>
      <c r="L3874" s="4">
        <v>0.93904027963110803</v>
      </c>
      <c r="M3874" s="4">
        <v>6.0959720368892002E-2</v>
      </c>
      <c r="N3874">
        <v>9</v>
      </c>
    </row>
    <row r="3875" spans="1:14" x14ac:dyDescent="0.35">
      <c r="A3875" s="1">
        <v>2360</v>
      </c>
      <c r="B3875">
        <v>5</v>
      </c>
      <c r="C3875">
        <v>63</v>
      </c>
      <c r="D3875">
        <v>2</v>
      </c>
      <c r="E3875">
        <v>0</v>
      </c>
      <c r="F3875">
        <v>3</v>
      </c>
      <c r="G3875">
        <v>3</v>
      </c>
      <c r="H3875">
        <v>1</v>
      </c>
      <c r="I3875">
        <v>25000</v>
      </c>
      <c r="J3875">
        <v>8</v>
      </c>
      <c r="K3875">
        <v>0</v>
      </c>
      <c r="L3875" s="4">
        <v>0.93907635586553273</v>
      </c>
      <c r="M3875" s="4">
        <v>6.0923644134467318E-2</v>
      </c>
      <c r="N3875">
        <v>9</v>
      </c>
    </row>
    <row r="3876" spans="1:14" x14ac:dyDescent="0.35">
      <c r="A3876" s="1">
        <v>3106</v>
      </c>
      <c r="B3876">
        <v>8</v>
      </c>
      <c r="C3876">
        <v>64</v>
      </c>
      <c r="D3876">
        <v>4</v>
      </c>
      <c r="E3876">
        <v>2</v>
      </c>
      <c r="F3876">
        <v>1</v>
      </c>
      <c r="G3876">
        <v>5</v>
      </c>
      <c r="H3876">
        <v>2</v>
      </c>
      <c r="I3876">
        <v>2000</v>
      </c>
      <c r="J3876">
        <v>14</v>
      </c>
      <c r="K3876">
        <v>0</v>
      </c>
      <c r="L3876" s="4">
        <v>0.93908033373638111</v>
      </c>
      <c r="M3876" s="4">
        <v>6.091966626361893E-2</v>
      </c>
      <c r="N3876">
        <v>9</v>
      </c>
    </row>
    <row r="3877" spans="1:14" x14ac:dyDescent="0.35">
      <c r="A3877" s="1">
        <v>3552</v>
      </c>
      <c r="B3877">
        <v>9</v>
      </c>
      <c r="C3877">
        <v>77</v>
      </c>
      <c r="D3877">
        <v>1</v>
      </c>
      <c r="E3877">
        <v>0</v>
      </c>
      <c r="F3877">
        <v>3</v>
      </c>
      <c r="G3877">
        <v>8</v>
      </c>
      <c r="H3877">
        <v>3</v>
      </c>
      <c r="I3877">
        <v>0.01</v>
      </c>
      <c r="J3877">
        <v>5</v>
      </c>
      <c r="K3877">
        <v>0</v>
      </c>
      <c r="L3877" s="4">
        <v>0.93912608827170385</v>
      </c>
      <c r="M3877" s="4">
        <v>6.087391172829619E-2</v>
      </c>
      <c r="N3877">
        <v>9</v>
      </c>
    </row>
    <row r="3878" spans="1:14" x14ac:dyDescent="0.35">
      <c r="A3878" s="1">
        <v>1676</v>
      </c>
      <c r="B3878">
        <v>7</v>
      </c>
      <c r="C3878">
        <v>68</v>
      </c>
      <c r="D3878">
        <v>1</v>
      </c>
      <c r="E3878">
        <v>1</v>
      </c>
      <c r="F3878">
        <v>0</v>
      </c>
      <c r="G3878">
        <v>2</v>
      </c>
      <c r="H3878">
        <v>1</v>
      </c>
      <c r="I3878">
        <v>24000</v>
      </c>
      <c r="J3878">
        <v>2</v>
      </c>
      <c r="K3878">
        <v>0</v>
      </c>
      <c r="L3878" s="4">
        <v>0.9391430566540937</v>
      </c>
      <c r="M3878" s="4">
        <v>6.08569433459063E-2</v>
      </c>
      <c r="N3878">
        <v>9</v>
      </c>
    </row>
    <row r="3879" spans="1:14" x14ac:dyDescent="0.35">
      <c r="A3879" s="1">
        <v>1075</v>
      </c>
      <c r="B3879">
        <v>7</v>
      </c>
      <c r="C3879">
        <v>71</v>
      </c>
      <c r="D3879">
        <v>2</v>
      </c>
      <c r="E3879">
        <v>0</v>
      </c>
      <c r="F3879">
        <v>0</v>
      </c>
      <c r="G3879">
        <v>4</v>
      </c>
      <c r="H3879">
        <v>2</v>
      </c>
      <c r="I3879">
        <v>480</v>
      </c>
      <c r="J3879">
        <v>5</v>
      </c>
      <c r="K3879">
        <v>0</v>
      </c>
      <c r="L3879" s="4">
        <v>0.9391647496416381</v>
      </c>
      <c r="M3879" s="4">
        <v>6.0835250358361882E-2</v>
      </c>
      <c r="N3879">
        <v>9</v>
      </c>
    </row>
    <row r="3880" spans="1:14" x14ac:dyDescent="0.35">
      <c r="A3880" s="1">
        <v>478</v>
      </c>
      <c r="B3880">
        <v>7</v>
      </c>
      <c r="C3880">
        <v>65</v>
      </c>
      <c r="D3880">
        <v>5</v>
      </c>
      <c r="E3880">
        <v>1</v>
      </c>
      <c r="F3880">
        <v>3</v>
      </c>
      <c r="G3880">
        <v>8</v>
      </c>
      <c r="H3880">
        <v>0</v>
      </c>
      <c r="I3880">
        <v>6000</v>
      </c>
      <c r="J3880">
        <v>20</v>
      </c>
      <c r="K3880">
        <v>0</v>
      </c>
      <c r="L3880" s="4">
        <v>0.9394145293384154</v>
      </c>
      <c r="M3880" s="4">
        <v>6.0585470661584553E-2</v>
      </c>
      <c r="N3880">
        <v>9</v>
      </c>
    </row>
    <row r="3881" spans="1:14" x14ac:dyDescent="0.35">
      <c r="A3881" s="1">
        <v>3582</v>
      </c>
      <c r="B3881">
        <v>5</v>
      </c>
      <c r="C3881">
        <v>58</v>
      </c>
      <c r="D3881">
        <v>1</v>
      </c>
      <c r="E3881">
        <v>1</v>
      </c>
      <c r="F3881">
        <v>1</v>
      </c>
      <c r="G3881">
        <v>5</v>
      </c>
      <c r="H3881">
        <v>2</v>
      </c>
      <c r="I3881">
        <v>1000</v>
      </c>
      <c r="J3881">
        <v>5</v>
      </c>
      <c r="K3881">
        <v>0</v>
      </c>
      <c r="L3881" s="4">
        <v>0.93958756191393678</v>
      </c>
      <c r="M3881" s="4">
        <v>6.0412438086063211E-2</v>
      </c>
      <c r="N3881">
        <v>9</v>
      </c>
    </row>
    <row r="3882" spans="1:14" x14ac:dyDescent="0.35">
      <c r="A3882" s="1">
        <v>2448</v>
      </c>
      <c r="B3882">
        <v>6</v>
      </c>
      <c r="C3882">
        <v>65</v>
      </c>
      <c r="D3882">
        <v>5</v>
      </c>
      <c r="E3882">
        <v>0</v>
      </c>
      <c r="F3882">
        <v>1</v>
      </c>
      <c r="G3882">
        <v>12</v>
      </c>
      <c r="H3882">
        <v>2</v>
      </c>
      <c r="I3882">
        <v>1000</v>
      </c>
      <c r="J3882">
        <v>24</v>
      </c>
      <c r="K3882">
        <v>0</v>
      </c>
      <c r="L3882" s="4">
        <v>0.93965812548400329</v>
      </c>
      <c r="M3882" s="4">
        <v>6.0341874515996673E-2</v>
      </c>
      <c r="N3882">
        <v>9</v>
      </c>
    </row>
    <row r="3883" spans="1:14" x14ac:dyDescent="0.35">
      <c r="A3883" s="1">
        <v>1569</v>
      </c>
      <c r="B3883">
        <v>5</v>
      </c>
      <c r="C3883">
        <v>62</v>
      </c>
      <c r="D3883">
        <v>4</v>
      </c>
      <c r="E3883">
        <v>0</v>
      </c>
      <c r="F3883">
        <v>3</v>
      </c>
      <c r="G3883">
        <v>8</v>
      </c>
      <c r="H3883">
        <v>0</v>
      </c>
      <c r="I3883">
        <v>6000.01</v>
      </c>
      <c r="J3883">
        <v>5</v>
      </c>
      <c r="K3883">
        <v>1</v>
      </c>
      <c r="L3883" s="4">
        <v>0.93966502282381947</v>
      </c>
      <c r="M3883" s="4">
        <v>6.0334977176180478E-2</v>
      </c>
      <c r="N3883">
        <v>9</v>
      </c>
    </row>
    <row r="3884" spans="1:14" x14ac:dyDescent="0.35">
      <c r="A3884" s="1">
        <v>1719</v>
      </c>
      <c r="B3884">
        <v>11</v>
      </c>
      <c r="C3884">
        <v>77</v>
      </c>
      <c r="D3884">
        <v>4</v>
      </c>
      <c r="E3884">
        <v>2</v>
      </c>
      <c r="F3884">
        <v>3</v>
      </c>
      <c r="G3884">
        <v>3</v>
      </c>
      <c r="H3884">
        <v>0</v>
      </c>
      <c r="I3884">
        <v>6107.64</v>
      </c>
      <c r="J3884">
        <v>6</v>
      </c>
      <c r="K3884">
        <v>0</v>
      </c>
      <c r="L3884" s="4">
        <v>0.93979821665902674</v>
      </c>
      <c r="M3884" s="4">
        <v>6.0201783340973272E-2</v>
      </c>
      <c r="N3884">
        <v>9</v>
      </c>
    </row>
    <row r="3885" spans="1:14" x14ac:dyDescent="0.35">
      <c r="A3885" s="1">
        <v>3410</v>
      </c>
      <c r="B3885">
        <v>4</v>
      </c>
      <c r="C3885">
        <v>58</v>
      </c>
      <c r="D3885">
        <v>3</v>
      </c>
      <c r="E3885">
        <v>0</v>
      </c>
      <c r="F3885">
        <v>0</v>
      </c>
      <c r="G3885">
        <v>11</v>
      </c>
      <c r="H3885">
        <v>2</v>
      </c>
      <c r="I3885">
        <v>1000</v>
      </c>
      <c r="J3885">
        <v>5</v>
      </c>
      <c r="K3885">
        <v>0</v>
      </c>
      <c r="L3885" s="4">
        <v>0.93989097774993913</v>
      </c>
      <c r="M3885" s="4">
        <v>6.0109022250060928E-2</v>
      </c>
      <c r="N3885">
        <v>9</v>
      </c>
    </row>
    <row r="3886" spans="1:14" x14ac:dyDescent="0.35">
      <c r="A3886" s="1">
        <v>1864</v>
      </c>
      <c r="B3886">
        <v>8</v>
      </c>
      <c r="C3886">
        <v>71</v>
      </c>
      <c r="D3886">
        <v>2</v>
      </c>
      <c r="E3886">
        <v>1</v>
      </c>
      <c r="F3886">
        <v>3</v>
      </c>
      <c r="G3886">
        <v>3</v>
      </c>
      <c r="H3886">
        <v>0</v>
      </c>
      <c r="I3886">
        <v>10500</v>
      </c>
      <c r="J3886">
        <v>16</v>
      </c>
      <c r="K3886">
        <v>0</v>
      </c>
      <c r="L3886" s="4">
        <v>0.9399168605075412</v>
      </c>
      <c r="M3886" s="4">
        <v>6.0083139492458783E-2</v>
      </c>
      <c r="N3886">
        <v>9</v>
      </c>
    </row>
    <row r="3887" spans="1:14" x14ac:dyDescent="0.35">
      <c r="A3887" s="1">
        <v>85</v>
      </c>
      <c r="B3887">
        <v>6</v>
      </c>
      <c r="C3887">
        <v>68</v>
      </c>
      <c r="D3887">
        <v>1</v>
      </c>
      <c r="E3887">
        <v>0</v>
      </c>
      <c r="F3887">
        <v>3</v>
      </c>
      <c r="G3887">
        <v>3</v>
      </c>
      <c r="H3887">
        <v>0</v>
      </c>
      <c r="I3887">
        <v>12000</v>
      </c>
      <c r="J3887">
        <v>2</v>
      </c>
      <c r="K3887">
        <v>0</v>
      </c>
      <c r="L3887" s="4">
        <v>0.93995682106690714</v>
      </c>
      <c r="M3887" s="4">
        <v>6.0043178933092849E-2</v>
      </c>
      <c r="N3887">
        <v>9</v>
      </c>
    </row>
    <row r="3888" spans="1:14" x14ac:dyDescent="0.35">
      <c r="A3888" s="1">
        <v>3741</v>
      </c>
      <c r="B3888">
        <v>11</v>
      </c>
      <c r="C3888">
        <v>77</v>
      </c>
      <c r="D3888">
        <v>3</v>
      </c>
      <c r="E3888">
        <v>2</v>
      </c>
      <c r="F3888">
        <v>0</v>
      </c>
      <c r="G3888">
        <v>2</v>
      </c>
      <c r="H3888">
        <v>3</v>
      </c>
      <c r="I3888">
        <v>0.01</v>
      </c>
      <c r="J3888">
        <v>23</v>
      </c>
      <c r="K3888">
        <v>1</v>
      </c>
      <c r="L3888" s="4">
        <v>0.93996563205151695</v>
      </c>
      <c r="M3888" s="4">
        <v>6.0034367948482999E-2</v>
      </c>
      <c r="N3888">
        <v>9</v>
      </c>
    </row>
    <row r="3889" spans="1:14" x14ac:dyDescent="0.35">
      <c r="A3889" s="1">
        <v>1597</v>
      </c>
      <c r="B3889">
        <v>6</v>
      </c>
      <c r="C3889">
        <v>64</v>
      </c>
      <c r="D3889">
        <v>1</v>
      </c>
      <c r="E3889">
        <v>1</v>
      </c>
      <c r="F3889">
        <v>0</v>
      </c>
      <c r="G3889">
        <v>11</v>
      </c>
      <c r="H3889">
        <v>0</v>
      </c>
      <c r="I3889">
        <v>12000</v>
      </c>
      <c r="J3889">
        <v>12</v>
      </c>
      <c r="K3889">
        <v>0</v>
      </c>
      <c r="L3889" s="4">
        <v>0.93998907717580016</v>
      </c>
      <c r="M3889" s="4">
        <v>6.0010922824199862E-2</v>
      </c>
      <c r="N3889">
        <v>9</v>
      </c>
    </row>
    <row r="3890" spans="1:14" x14ac:dyDescent="0.35">
      <c r="A3890" s="1">
        <v>1963</v>
      </c>
      <c r="B3890">
        <v>5</v>
      </c>
      <c r="C3890">
        <v>62</v>
      </c>
      <c r="D3890">
        <v>2</v>
      </c>
      <c r="E3890">
        <v>0</v>
      </c>
      <c r="F3890">
        <v>3</v>
      </c>
      <c r="G3890">
        <v>3</v>
      </c>
      <c r="H3890">
        <v>2</v>
      </c>
      <c r="I3890">
        <v>3000</v>
      </c>
      <c r="J3890">
        <v>9</v>
      </c>
      <c r="K3890">
        <v>0</v>
      </c>
      <c r="L3890" s="4">
        <v>0.94009807064127848</v>
      </c>
      <c r="M3890" s="4">
        <v>5.9901929358721469E-2</v>
      </c>
      <c r="N3890">
        <v>9</v>
      </c>
    </row>
    <row r="3891" spans="1:14" x14ac:dyDescent="0.35">
      <c r="A3891" s="1">
        <v>1264</v>
      </c>
      <c r="B3891">
        <v>7</v>
      </c>
      <c r="C3891">
        <v>66</v>
      </c>
      <c r="D3891">
        <v>2</v>
      </c>
      <c r="E3891">
        <v>1</v>
      </c>
      <c r="F3891">
        <v>4</v>
      </c>
      <c r="G3891">
        <v>9</v>
      </c>
      <c r="H3891">
        <v>0</v>
      </c>
      <c r="I3891">
        <v>20000</v>
      </c>
      <c r="J3891">
        <v>4</v>
      </c>
      <c r="K3891">
        <v>0</v>
      </c>
      <c r="L3891" s="4">
        <v>0.94016055753030991</v>
      </c>
      <c r="M3891" s="4">
        <v>5.983944246969012E-2</v>
      </c>
      <c r="N3891">
        <v>9</v>
      </c>
    </row>
    <row r="3892" spans="1:14" x14ac:dyDescent="0.35">
      <c r="A3892" s="1">
        <v>2957</v>
      </c>
      <c r="B3892">
        <v>6</v>
      </c>
      <c r="C3892">
        <v>67</v>
      </c>
      <c r="D3892">
        <v>3</v>
      </c>
      <c r="E3892">
        <v>0</v>
      </c>
      <c r="F3892">
        <v>0</v>
      </c>
      <c r="G3892">
        <v>4</v>
      </c>
      <c r="H3892">
        <v>2</v>
      </c>
      <c r="I3892">
        <v>5000</v>
      </c>
      <c r="J3892">
        <v>7</v>
      </c>
      <c r="K3892">
        <v>0</v>
      </c>
      <c r="L3892" s="4">
        <v>0.94026776084720431</v>
      </c>
      <c r="M3892" s="4">
        <v>5.9732239152795671E-2</v>
      </c>
      <c r="N3892">
        <v>9</v>
      </c>
    </row>
    <row r="3893" spans="1:14" x14ac:dyDescent="0.35">
      <c r="A3893" s="1">
        <v>1947</v>
      </c>
      <c r="B3893">
        <v>6</v>
      </c>
      <c r="C3893">
        <v>65</v>
      </c>
      <c r="D3893">
        <v>3</v>
      </c>
      <c r="E3893">
        <v>0</v>
      </c>
      <c r="F3893">
        <v>2</v>
      </c>
      <c r="G3893">
        <v>6</v>
      </c>
      <c r="H3893">
        <v>3</v>
      </c>
      <c r="I3893">
        <v>0.01</v>
      </c>
      <c r="J3893">
        <v>5</v>
      </c>
      <c r="K3893">
        <v>0</v>
      </c>
      <c r="L3893" s="4">
        <v>0.94038665074583849</v>
      </c>
      <c r="M3893" s="4">
        <v>5.9613349254161473E-2</v>
      </c>
      <c r="N3893">
        <v>9</v>
      </c>
    </row>
    <row r="3894" spans="1:14" x14ac:dyDescent="0.35">
      <c r="A3894" s="1">
        <v>699</v>
      </c>
      <c r="B3894">
        <v>6</v>
      </c>
      <c r="C3894">
        <v>67</v>
      </c>
      <c r="D3894">
        <v>0</v>
      </c>
      <c r="E3894">
        <v>0</v>
      </c>
      <c r="F3894">
        <v>3</v>
      </c>
      <c r="G3894">
        <v>3</v>
      </c>
      <c r="H3894">
        <v>2</v>
      </c>
      <c r="I3894">
        <v>420</v>
      </c>
      <c r="J3894">
        <v>8</v>
      </c>
      <c r="K3894">
        <v>0</v>
      </c>
      <c r="L3894" s="4">
        <v>0.94065812052190523</v>
      </c>
      <c r="M3894" s="4">
        <v>5.9341879478094807E-2</v>
      </c>
      <c r="N3894">
        <v>9</v>
      </c>
    </row>
    <row r="3895" spans="1:14" x14ac:dyDescent="0.35">
      <c r="A3895" s="1">
        <v>2946</v>
      </c>
      <c r="B3895">
        <v>5</v>
      </c>
      <c r="C3895">
        <v>64</v>
      </c>
      <c r="D3895">
        <v>2</v>
      </c>
      <c r="E3895">
        <v>0</v>
      </c>
      <c r="F3895">
        <v>3</v>
      </c>
      <c r="G3895">
        <v>3</v>
      </c>
      <c r="H3895">
        <v>1</v>
      </c>
      <c r="I3895">
        <v>50000</v>
      </c>
      <c r="J3895">
        <v>1</v>
      </c>
      <c r="K3895">
        <v>0</v>
      </c>
      <c r="L3895" s="4">
        <v>0.9407082796902595</v>
      </c>
      <c r="M3895" s="4">
        <v>5.9291720309740559E-2</v>
      </c>
      <c r="N3895">
        <v>9</v>
      </c>
    </row>
    <row r="3896" spans="1:14" x14ac:dyDescent="0.35">
      <c r="A3896" s="1">
        <v>1607</v>
      </c>
      <c r="B3896">
        <v>7</v>
      </c>
      <c r="C3896">
        <v>67</v>
      </c>
      <c r="D3896">
        <v>3</v>
      </c>
      <c r="E3896">
        <v>1</v>
      </c>
      <c r="F3896">
        <v>0</v>
      </c>
      <c r="G3896">
        <v>11</v>
      </c>
      <c r="H3896">
        <v>0</v>
      </c>
      <c r="I3896">
        <v>6000</v>
      </c>
      <c r="J3896">
        <v>1</v>
      </c>
      <c r="K3896">
        <v>1</v>
      </c>
      <c r="L3896" s="4">
        <v>0.94073008308145778</v>
      </c>
      <c r="M3896" s="4">
        <v>5.9269916918542262E-2</v>
      </c>
      <c r="N3896">
        <v>9</v>
      </c>
    </row>
    <row r="3897" spans="1:14" x14ac:dyDescent="0.35">
      <c r="A3897" s="1">
        <v>2103</v>
      </c>
      <c r="B3897">
        <v>6</v>
      </c>
      <c r="C3897">
        <v>64</v>
      </c>
      <c r="D3897">
        <v>1</v>
      </c>
      <c r="E3897">
        <v>1</v>
      </c>
      <c r="F3897">
        <v>2</v>
      </c>
      <c r="G3897">
        <v>0</v>
      </c>
      <c r="H3897">
        <v>0</v>
      </c>
      <c r="I3897">
        <v>6000</v>
      </c>
      <c r="J3897">
        <v>5</v>
      </c>
      <c r="K3897">
        <v>0</v>
      </c>
      <c r="L3897" s="4">
        <v>0.94083679965761924</v>
      </c>
      <c r="M3897" s="4">
        <v>5.916320034238081E-2</v>
      </c>
      <c r="N3897">
        <v>9</v>
      </c>
    </row>
    <row r="3898" spans="1:14" x14ac:dyDescent="0.35">
      <c r="A3898" s="1">
        <v>2110</v>
      </c>
      <c r="B3898">
        <v>8</v>
      </c>
      <c r="C3898">
        <v>74</v>
      </c>
      <c r="D3898">
        <v>2</v>
      </c>
      <c r="E3898">
        <v>0</v>
      </c>
      <c r="F3898">
        <v>3</v>
      </c>
      <c r="G3898">
        <v>8</v>
      </c>
      <c r="H3898">
        <v>2</v>
      </c>
      <c r="I3898">
        <v>3000</v>
      </c>
      <c r="J3898">
        <v>12</v>
      </c>
      <c r="K3898">
        <v>1</v>
      </c>
      <c r="L3898" s="4">
        <v>0.94091092128097542</v>
      </c>
      <c r="M3898" s="4">
        <v>5.9089078719024572E-2</v>
      </c>
      <c r="N3898">
        <v>9</v>
      </c>
    </row>
    <row r="3899" spans="1:14" x14ac:dyDescent="0.35">
      <c r="A3899" s="1">
        <v>1527</v>
      </c>
      <c r="B3899">
        <v>6</v>
      </c>
      <c r="C3899">
        <v>67</v>
      </c>
      <c r="D3899">
        <v>0</v>
      </c>
      <c r="E3899">
        <v>0</v>
      </c>
      <c r="F3899">
        <v>0</v>
      </c>
      <c r="G3899">
        <v>11</v>
      </c>
      <c r="H3899">
        <v>3</v>
      </c>
      <c r="I3899">
        <v>0.01</v>
      </c>
      <c r="J3899">
        <v>7</v>
      </c>
      <c r="K3899">
        <v>0</v>
      </c>
      <c r="L3899" s="4">
        <v>0.94091518876136004</v>
      </c>
      <c r="M3899" s="4">
        <v>5.9084811238639928E-2</v>
      </c>
      <c r="N3899">
        <v>9</v>
      </c>
    </row>
    <row r="3900" spans="1:14" x14ac:dyDescent="0.35">
      <c r="A3900" s="1">
        <v>3408</v>
      </c>
      <c r="B3900">
        <v>5</v>
      </c>
      <c r="C3900">
        <v>66</v>
      </c>
      <c r="D3900">
        <v>0</v>
      </c>
      <c r="E3900">
        <v>0</v>
      </c>
      <c r="F3900">
        <v>0</v>
      </c>
      <c r="G3900">
        <v>2</v>
      </c>
      <c r="H3900">
        <v>0</v>
      </c>
      <c r="I3900">
        <v>6000</v>
      </c>
      <c r="J3900">
        <v>1</v>
      </c>
      <c r="K3900">
        <v>0</v>
      </c>
      <c r="L3900" s="4">
        <v>0.94092332076809815</v>
      </c>
      <c r="M3900" s="4">
        <v>5.9076679231901873E-2</v>
      </c>
      <c r="N3900">
        <v>9</v>
      </c>
    </row>
    <row r="3901" spans="1:14" x14ac:dyDescent="0.35">
      <c r="A3901" s="1">
        <v>3248</v>
      </c>
      <c r="B3901">
        <v>3</v>
      </c>
      <c r="C3901">
        <v>49</v>
      </c>
      <c r="D3901">
        <v>4</v>
      </c>
      <c r="E3901">
        <v>1</v>
      </c>
      <c r="F3901">
        <v>2</v>
      </c>
      <c r="G3901">
        <v>1</v>
      </c>
      <c r="H3901">
        <v>2</v>
      </c>
      <c r="I3901">
        <v>4400</v>
      </c>
      <c r="J3901">
        <v>5</v>
      </c>
      <c r="K3901">
        <v>0</v>
      </c>
      <c r="L3901" s="4">
        <v>0.94103365014948215</v>
      </c>
      <c r="M3901" s="4">
        <v>5.89663498505179E-2</v>
      </c>
      <c r="N3901">
        <v>9</v>
      </c>
    </row>
    <row r="3902" spans="1:14" x14ac:dyDescent="0.35">
      <c r="A3902" s="1">
        <v>9</v>
      </c>
      <c r="B3902">
        <v>4</v>
      </c>
      <c r="C3902">
        <v>57</v>
      </c>
      <c r="D3902">
        <v>4</v>
      </c>
      <c r="E3902">
        <v>0</v>
      </c>
      <c r="F3902">
        <v>3</v>
      </c>
      <c r="G3902">
        <v>8</v>
      </c>
      <c r="H3902">
        <v>2</v>
      </c>
      <c r="I3902">
        <v>1000</v>
      </c>
      <c r="J3902">
        <v>14</v>
      </c>
      <c r="K3902">
        <v>0</v>
      </c>
      <c r="L3902" s="4">
        <v>0.94119774290551572</v>
      </c>
      <c r="M3902" s="4">
        <v>5.8802257094484313E-2</v>
      </c>
      <c r="N3902">
        <v>9</v>
      </c>
    </row>
    <row r="3903" spans="1:14" x14ac:dyDescent="0.35">
      <c r="A3903" s="1">
        <v>456</v>
      </c>
      <c r="B3903">
        <v>4</v>
      </c>
      <c r="C3903">
        <v>59</v>
      </c>
      <c r="D3903">
        <v>2</v>
      </c>
      <c r="E3903">
        <v>0</v>
      </c>
      <c r="F3903">
        <v>0</v>
      </c>
      <c r="G3903">
        <v>2</v>
      </c>
      <c r="H3903">
        <v>3</v>
      </c>
      <c r="I3903">
        <v>0.01</v>
      </c>
      <c r="J3903">
        <v>10</v>
      </c>
      <c r="K3903">
        <v>0</v>
      </c>
      <c r="L3903" s="4">
        <v>0.94121402610763405</v>
      </c>
      <c r="M3903" s="4">
        <v>5.8785973892365902E-2</v>
      </c>
      <c r="N3903">
        <v>9</v>
      </c>
    </row>
    <row r="3904" spans="1:14" x14ac:dyDescent="0.35">
      <c r="A3904" s="1">
        <v>3344</v>
      </c>
      <c r="B3904">
        <v>8</v>
      </c>
      <c r="C3904">
        <v>77</v>
      </c>
      <c r="D3904">
        <v>0</v>
      </c>
      <c r="E3904">
        <v>0</v>
      </c>
      <c r="F3904">
        <v>3</v>
      </c>
      <c r="G3904">
        <v>3</v>
      </c>
      <c r="H3904">
        <v>1</v>
      </c>
      <c r="I3904">
        <v>33934.25</v>
      </c>
      <c r="J3904">
        <v>12</v>
      </c>
      <c r="K3904">
        <v>1</v>
      </c>
      <c r="L3904" s="4">
        <v>0.94127760878387345</v>
      </c>
      <c r="M3904" s="4">
        <v>5.8722391216126532E-2</v>
      </c>
      <c r="N3904">
        <v>9</v>
      </c>
    </row>
    <row r="3905" spans="1:14" x14ac:dyDescent="0.35">
      <c r="A3905" s="1">
        <v>2895</v>
      </c>
      <c r="B3905">
        <v>5</v>
      </c>
      <c r="C3905">
        <v>64</v>
      </c>
      <c r="D3905">
        <v>1</v>
      </c>
      <c r="E3905">
        <v>0</v>
      </c>
      <c r="F3905">
        <v>0</v>
      </c>
      <c r="G3905">
        <v>4</v>
      </c>
      <c r="H3905">
        <v>2</v>
      </c>
      <c r="I3905">
        <v>1000</v>
      </c>
      <c r="J3905">
        <v>6</v>
      </c>
      <c r="K3905">
        <v>0</v>
      </c>
      <c r="L3905" s="4">
        <v>0.94128845343490963</v>
      </c>
      <c r="M3905" s="4">
        <v>5.8711546565090353E-2</v>
      </c>
      <c r="N3905">
        <v>9</v>
      </c>
    </row>
    <row r="3906" spans="1:14" x14ac:dyDescent="0.35">
      <c r="A3906" s="1">
        <v>2106</v>
      </c>
      <c r="B3906">
        <v>8</v>
      </c>
      <c r="C3906">
        <v>76</v>
      </c>
      <c r="D3906">
        <v>4</v>
      </c>
      <c r="E3906">
        <v>0</v>
      </c>
      <c r="F3906">
        <v>0</v>
      </c>
      <c r="G3906">
        <v>11</v>
      </c>
      <c r="H3906">
        <v>0</v>
      </c>
      <c r="I3906">
        <v>12106.7</v>
      </c>
      <c r="J3906">
        <v>7</v>
      </c>
      <c r="K3906">
        <v>0</v>
      </c>
      <c r="L3906" s="4">
        <v>0.94134728225760689</v>
      </c>
      <c r="M3906" s="4">
        <v>5.8652717742393112E-2</v>
      </c>
      <c r="N3906">
        <v>9</v>
      </c>
    </row>
    <row r="3907" spans="1:14" x14ac:dyDescent="0.35">
      <c r="A3907" s="1">
        <v>3443</v>
      </c>
      <c r="B3907">
        <v>3</v>
      </c>
      <c r="C3907">
        <v>55</v>
      </c>
      <c r="D3907">
        <v>4</v>
      </c>
      <c r="E3907">
        <v>0</v>
      </c>
      <c r="F3907">
        <v>3</v>
      </c>
      <c r="G3907">
        <v>3</v>
      </c>
      <c r="H3907">
        <v>0</v>
      </c>
      <c r="I3907">
        <v>10500</v>
      </c>
      <c r="J3907">
        <v>6</v>
      </c>
      <c r="K3907">
        <v>0</v>
      </c>
      <c r="L3907" s="4">
        <v>0.94135652543048998</v>
      </c>
      <c r="M3907" s="4">
        <v>5.8643474569510051E-2</v>
      </c>
      <c r="N3907">
        <v>9</v>
      </c>
    </row>
    <row r="3908" spans="1:14" x14ac:dyDescent="0.35">
      <c r="A3908" s="1">
        <v>3916</v>
      </c>
      <c r="B3908">
        <v>8</v>
      </c>
      <c r="C3908">
        <v>77</v>
      </c>
      <c r="D3908">
        <v>0</v>
      </c>
      <c r="E3908">
        <v>0</v>
      </c>
      <c r="F3908">
        <v>3</v>
      </c>
      <c r="G3908">
        <v>3</v>
      </c>
      <c r="H3908">
        <v>0</v>
      </c>
      <c r="I3908">
        <v>9000</v>
      </c>
      <c r="J3908">
        <v>7</v>
      </c>
      <c r="K3908">
        <v>0</v>
      </c>
      <c r="L3908" s="4">
        <v>0.94142055323922647</v>
      </c>
      <c r="M3908" s="4">
        <v>5.8579446760773528E-2</v>
      </c>
      <c r="N3908">
        <v>9</v>
      </c>
    </row>
    <row r="3909" spans="1:14" x14ac:dyDescent="0.35">
      <c r="A3909" s="1">
        <v>769</v>
      </c>
      <c r="B3909">
        <v>2</v>
      </c>
      <c r="C3909">
        <v>47</v>
      </c>
      <c r="D3909">
        <v>2</v>
      </c>
      <c r="E3909">
        <v>1</v>
      </c>
      <c r="F3909">
        <v>3</v>
      </c>
      <c r="G3909">
        <v>3</v>
      </c>
      <c r="H3909">
        <v>0</v>
      </c>
      <c r="I3909">
        <v>12000</v>
      </c>
      <c r="J3909">
        <v>6</v>
      </c>
      <c r="K3909">
        <v>0</v>
      </c>
      <c r="L3909" s="4">
        <v>0.94150984393785975</v>
      </c>
      <c r="M3909" s="4">
        <v>5.8490156062140267E-2</v>
      </c>
      <c r="N3909">
        <v>9</v>
      </c>
    </row>
    <row r="3910" spans="1:14" x14ac:dyDescent="0.35">
      <c r="A3910" s="1">
        <v>438</v>
      </c>
      <c r="B3910">
        <v>6</v>
      </c>
      <c r="C3910">
        <v>59</v>
      </c>
      <c r="D3910">
        <v>0</v>
      </c>
      <c r="E3910">
        <v>2</v>
      </c>
      <c r="F3910">
        <v>3</v>
      </c>
      <c r="G3910">
        <v>3</v>
      </c>
      <c r="H3910">
        <v>0</v>
      </c>
      <c r="I3910">
        <v>6000</v>
      </c>
      <c r="J3910">
        <v>5</v>
      </c>
      <c r="K3910">
        <v>0</v>
      </c>
      <c r="L3910" s="4">
        <v>0.94156716550552877</v>
      </c>
      <c r="M3910" s="4">
        <v>5.8432834494471252E-2</v>
      </c>
      <c r="N3910">
        <v>9</v>
      </c>
    </row>
    <row r="3911" spans="1:14" x14ac:dyDescent="0.35">
      <c r="A3911" s="1">
        <v>1071</v>
      </c>
      <c r="B3911">
        <v>5</v>
      </c>
      <c r="C3911">
        <v>58</v>
      </c>
      <c r="D3911">
        <v>4</v>
      </c>
      <c r="E3911">
        <v>1</v>
      </c>
      <c r="F3911">
        <v>0</v>
      </c>
      <c r="G3911">
        <v>4</v>
      </c>
      <c r="H3911">
        <v>2</v>
      </c>
      <c r="I3911">
        <v>2550.0100000000002</v>
      </c>
      <c r="J3911">
        <v>10</v>
      </c>
      <c r="K3911">
        <v>0</v>
      </c>
      <c r="L3911" s="4">
        <v>0.94160285100306762</v>
      </c>
      <c r="M3911" s="4">
        <v>5.8397148996932331E-2</v>
      </c>
      <c r="N3911">
        <v>9</v>
      </c>
    </row>
    <row r="3912" spans="1:14" x14ac:dyDescent="0.35">
      <c r="A3912" s="1">
        <v>3532</v>
      </c>
      <c r="B3912">
        <v>9</v>
      </c>
      <c r="C3912">
        <v>76</v>
      </c>
      <c r="D3912">
        <v>3</v>
      </c>
      <c r="E3912">
        <v>1</v>
      </c>
      <c r="F3912">
        <v>0</v>
      </c>
      <c r="G3912">
        <v>2</v>
      </c>
      <c r="H3912">
        <v>1</v>
      </c>
      <c r="I3912">
        <v>22025</v>
      </c>
      <c r="J3912">
        <v>4</v>
      </c>
      <c r="K3912">
        <v>0</v>
      </c>
      <c r="L3912" s="4">
        <v>0.94178398512041495</v>
      </c>
      <c r="M3912" s="4">
        <v>5.8216014879585047E-2</v>
      </c>
      <c r="N3912">
        <v>9</v>
      </c>
    </row>
    <row r="3913" spans="1:14" x14ac:dyDescent="0.35">
      <c r="A3913" s="1">
        <v>277</v>
      </c>
      <c r="B3913">
        <v>8</v>
      </c>
      <c r="C3913">
        <v>74</v>
      </c>
      <c r="D3913">
        <v>5</v>
      </c>
      <c r="E3913">
        <v>0</v>
      </c>
      <c r="F3913">
        <v>2</v>
      </c>
      <c r="G3913">
        <v>0</v>
      </c>
      <c r="H3913">
        <v>2</v>
      </c>
      <c r="I3913">
        <v>2000</v>
      </c>
      <c r="J3913">
        <v>5</v>
      </c>
      <c r="K3913">
        <v>0</v>
      </c>
      <c r="L3913" s="4">
        <v>0.94185854074344089</v>
      </c>
      <c r="M3913" s="4">
        <v>5.8141459256559107E-2</v>
      </c>
      <c r="N3913">
        <v>9</v>
      </c>
    </row>
    <row r="3914" spans="1:14" x14ac:dyDescent="0.35">
      <c r="A3914" s="1">
        <v>1678</v>
      </c>
      <c r="B3914">
        <v>5</v>
      </c>
      <c r="C3914">
        <v>53</v>
      </c>
      <c r="D3914">
        <v>4</v>
      </c>
      <c r="E3914">
        <v>2</v>
      </c>
      <c r="F3914">
        <v>0</v>
      </c>
      <c r="G3914">
        <v>4</v>
      </c>
      <c r="H3914">
        <v>2</v>
      </c>
      <c r="I3914">
        <v>1750</v>
      </c>
      <c r="J3914">
        <v>1</v>
      </c>
      <c r="K3914">
        <v>0</v>
      </c>
      <c r="L3914" s="4">
        <v>0.94201179842866811</v>
      </c>
      <c r="M3914" s="4">
        <v>5.7988201571331922E-2</v>
      </c>
      <c r="N3914">
        <v>9</v>
      </c>
    </row>
    <row r="3915" spans="1:14" x14ac:dyDescent="0.35">
      <c r="A3915" s="1">
        <v>4418</v>
      </c>
      <c r="B3915">
        <v>4</v>
      </c>
      <c r="C3915">
        <v>61</v>
      </c>
      <c r="D3915">
        <v>0</v>
      </c>
      <c r="E3915">
        <v>0</v>
      </c>
      <c r="F3915">
        <v>3</v>
      </c>
      <c r="G3915">
        <v>3</v>
      </c>
      <c r="H3915">
        <v>0</v>
      </c>
      <c r="I3915">
        <v>6053.34</v>
      </c>
      <c r="J3915">
        <v>10</v>
      </c>
      <c r="K3915">
        <v>0</v>
      </c>
      <c r="L3915" s="4">
        <v>0.94213226086122914</v>
      </c>
      <c r="M3915" s="4">
        <v>5.7867739138770843E-2</v>
      </c>
      <c r="N3915">
        <v>9</v>
      </c>
    </row>
    <row r="3916" spans="1:14" x14ac:dyDescent="0.35">
      <c r="A3916" s="1">
        <v>813</v>
      </c>
      <c r="B3916">
        <v>7</v>
      </c>
      <c r="C3916">
        <v>63</v>
      </c>
      <c r="D3916">
        <v>1</v>
      </c>
      <c r="E3916">
        <v>2</v>
      </c>
      <c r="F3916">
        <v>3</v>
      </c>
      <c r="G3916">
        <v>3</v>
      </c>
      <c r="H3916">
        <v>0</v>
      </c>
      <c r="I3916">
        <v>14048.15</v>
      </c>
      <c r="J3916">
        <v>4</v>
      </c>
      <c r="K3916">
        <v>0</v>
      </c>
      <c r="L3916" s="4">
        <v>0.94220202579119827</v>
      </c>
      <c r="M3916" s="4">
        <v>5.7797974208801707E-2</v>
      </c>
      <c r="N3916">
        <v>9</v>
      </c>
    </row>
    <row r="3917" spans="1:14" x14ac:dyDescent="0.35">
      <c r="A3917" s="1">
        <v>1153</v>
      </c>
      <c r="B3917">
        <v>7</v>
      </c>
      <c r="C3917">
        <v>70</v>
      </c>
      <c r="D3917">
        <v>5</v>
      </c>
      <c r="E3917">
        <v>0</v>
      </c>
      <c r="F3917">
        <v>0</v>
      </c>
      <c r="G3917">
        <v>11</v>
      </c>
      <c r="H3917">
        <v>2</v>
      </c>
      <c r="I3917">
        <v>600</v>
      </c>
      <c r="J3917">
        <v>5</v>
      </c>
      <c r="K3917">
        <v>0</v>
      </c>
      <c r="L3917" s="4">
        <v>0.94233922342165677</v>
      </c>
      <c r="M3917" s="4">
        <v>5.7660776578343217E-2</v>
      </c>
      <c r="N3917">
        <v>9</v>
      </c>
    </row>
    <row r="3918" spans="1:14" x14ac:dyDescent="0.35">
      <c r="A3918" s="1">
        <v>433</v>
      </c>
      <c r="B3918">
        <v>6</v>
      </c>
      <c r="C3918">
        <v>69</v>
      </c>
      <c r="D3918">
        <v>0</v>
      </c>
      <c r="E3918">
        <v>0</v>
      </c>
      <c r="F3918">
        <v>3</v>
      </c>
      <c r="G3918">
        <v>3</v>
      </c>
      <c r="H3918">
        <v>0</v>
      </c>
      <c r="I3918">
        <v>6000</v>
      </c>
      <c r="J3918">
        <v>2</v>
      </c>
      <c r="K3918">
        <v>0</v>
      </c>
      <c r="L3918" s="4">
        <v>0.94236749400011255</v>
      </c>
      <c r="M3918" s="4">
        <v>5.7632505999887403E-2</v>
      </c>
      <c r="N3918">
        <v>9</v>
      </c>
    </row>
    <row r="3919" spans="1:14" x14ac:dyDescent="0.35">
      <c r="A3919" s="1">
        <v>1941</v>
      </c>
      <c r="B3919">
        <v>5</v>
      </c>
      <c r="C3919">
        <v>55</v>
      </c>
      <c r="D3919">
        <v>1</v>
      </c>
      <c r="E3919">
        <v>2</v>
      </c>
      <c r="F3919">
        <v>3</v>
      </c>
      <c r="G3919">
        <v>3</v>
      </c>
      <c r="H3919">
        <v>0</v>
      </c>
      <c r="I3919">
        <v>9000</v>
      </c>
      <c r="J3919">
        <v>11</v>
      </c>
      <c r="K3919">
        <v>0</v>
      </c>
      <c r="L3919" s="4">
        <v>0.94248356988726512</v>
      </c>
      <c r="M3919" s="4">
        <v>5.7516430112734891E-2</v>
      </c>
      <c r="N3919">
        <v>9</v>
      </c>
    </row>
    <row r="3920" spans="1:14" x14ac:dyDescent="0.35">
      <c r="A3920" s="1">
        <v>4199</v>
      </c>
      <c r="B3920">
        <v>9</v>
      </c>
      <c r="C3920">
        <v>69</v>
      </c>
      <c r="D3920">
        <v>5</v>
      </c>
      <c r="E3920">
        <v>2</v>
      </c>
      <c r="F3920">
        <v>0</v>
      </c>
      <c r="G3920">
        <v>4</v>
      </c>
      <c r="H3920">
        <v>2</v>
      </c>
      <c r="I3920">
        <v>1200</v>
      </c>
      <c r="J3920">
        <v>5</v>
      </c>
      <c r="K3920">
        <v>0</v>
      </c>
      <c r="L3920" s="4">
        <v>0.94255355885281511</v>
      </c>
      <c r="M3920" s="4">
        <v>5.7446441147184828E-2</v>
      </c>
      <c r="N3920">
        <v>9</v>
      </c>
    </row>
    <row r="3921" spans="1:14" x14ac:dyDescent="0.35">
      <c r="A3921" s="1">
        <v>1585</v>
      </c>
      <c r="B3921">
        <v>3</v>
      </c>
      <c r="C3921">
        <v>45</v>
      </c>
      <c r="D3921">
        <v>3</v>
      </c>
      <c r="E3921">
        <v>2</v>
      </c>
      <c r="F3921">
        <v>1</v>
      </c>
      <c r="G3921">
        <v>5</v>
      </c>
      <c r="H3921">
        <v>2</v>
      </c>
      <c r="I3921">
        <v>1270</v>
      </c>
      <c r="J3921">
        <v>4</v>
      </c>
      <c r="K3921">
        <v>0</v>
      </c>
      <c r="L3921" s="4">
        <v>0.94258668326215878</v>
      </c>
      <c r="M3921" s="4">
        <v>5.7413316737841252E-2</v>
      </c>
      <c r="N3921">
        <v>9</v>
      </c>
    </row>
    <row r="3922" spans="1:14" x14ac:dyDescent="0.35">
      <c r="A3922" s="1">
        <v>2033</v>
      </c>
      <c r="B3922">
        <v>6</v>
      </c>
      <c r="C3922">
        <v>59</v>
      </c>
      <c r="D3922">
        <v>2</v>
      </c>
      <c r="E3922">
        <v>2</v>
      </c>
      <c r="F3922">
        <v>1</v>
      </c>
      <c r="G3922">
        <v>7</v>
      </c>
      <c r="H3922">
        <v>0</v>
      </c>
      <c r="I3922">
        <v>6000</v>
      </c>
      <c r="J3922">
        <v>2</v>
      </c>
      <c r="K3922">
        <v>0</v>
      </c>
      <c r="L3922" s="4">
        <v>0.9427425919456166</v>
      </c>
      <c r="M3922" s="4">
        <v>5.7257408054383389E-2</v>
      </c>
      <c r="N3922">
        <v>9</v>
      </c>
    </row>
    <row r="3923" spans="1:14" x14ac:dyDescent="0.35">
      <c r="A3923" s="1">
        <v>454</v>
      </c>
      <c r="B3923">
        <v>9</v>
      </c>
      <c r="C3923">
        <v>70</v>
      </c>
      <c r="D3923">
        <v>2</v>
      </c>
      <c r="E3923">
        <v>2</v>
      </c>
      <c r="F3923">
        <v>0</v>
      </c>
      <c r="G3923">
        <v>11</v>
      </c>
      <c r="H3923">
        <v>2</v>
      </c>
      <c r="I3923">
        <v>3000</v>
      </c>
      <c r="J3923">
        <v>14</v>
      </c>
      <c r="K3923">
        <v>0</v>
      </c>
      <c r="L3923" s="4">
        <v>0.94283590553729268</v>
      </c>
      <c r="M3923" s="4">
        <v>5.7164094462707302E-2</v>
      </c>
      <c r="N3923">
        <v>9</v>
      </c>
    </row>
    <row r="3924" spans="1:14" x14ac:dyDescent="0.35">
      <c r="A3924" s="1">
        <v>3868</v>
      </c>
      <c r="B3924">
        <v>6</v>
      </c>
      <c r="C3924">
        <v>58</v>
      </c>
      <c r="D3924">
        <v>0</v>
      </c>
      <c r="E3924">
        <v>2</v>
      </c>
      <c r="F3924">
        <v>3</v>
      </c>
      <c r="G3924">
        <v>3</v>
      </c>
      <c r="H3924">
        <v>2</v>
      </c>
      <c r="I3924">
        <v>1500</v>
      </c>
      <c r="J3924">
        <v>14</v>
      </c>
      <c r="K3924">
        <v>0</v>
      </c>
      <c r="L3924" s="4">
        <v>0.94284860346348176</v>
      </c>
      <c r="M3924" s="4">
        <v>5.7151396536518212E-2</v>
      </c>
      <c r="N3924">
        <v>9</v>
      </c>
    </row>
    <row r="3925" spans="1:14" x14ac:dyDescent="0.35">
      <c r="A3925" s="1">
        <v>2350</v>
      </c>
      <c r="B3925">
        <v>7</v>
      </c>
      <c r="C3925">
        <v>71</v>
      </c>
      <c r="D3925">
        <v>4</v>
      </c>
      <c r="E3925">
        <v>0</v>
      </c>
      <c r="F3925">
        <v>3</v>
      </c>
      <c r="G3925">
        <v>8</v>
      </c>
      <c r="H3925">
        <v>0</v>
      </c>
      <c r="I3925">
        <v>6000</v>
      </c>
      <c r="J3925">
        <v>2</v>
      </c>
      <c r="K3925">
        <v>0</v>
      </c>
      <c r="L3925" s="4">
        <v>0.94286987836237635</v>
      </c>
      <c r="M3925" s="4">
        <v>5.7130121637623703E-2</v>
      </c>
      <c r="N3925">
        <v>9</v>
      </c>
    </row>
    <row r="3926" spans="1:14" x14ac:dyDescent="0.35">
      <c r="A3926" s="1">
        <v>2442</v>
      </c>
      <c r="B3926">
        <v>6</v>
      </c>
      <c r="C3926">
        <v>59</v>
      </c>
      <c r="D3926">
        <v>1</v>
      </c>
      <c r="E3926">
        <v>2</v>
      </c>
      <c r="F3926">
        <v>0</v>
      </c>
      <c r="G3926">
        <v>2</v>
      </c>
      <c r="H3926">
        <v>2</v>
      </c>
      <c r="I3926">
        <v>3000.01</v>
      </c>
      <c r="J3926">
        <v>8</v>
      </c>
      <c r="K3926">
        <v>0</v>
      </c>
      <c r="L3926" s="4">
        <v>0.94290278690925144</v>
      </c>
      <c r="M3926" s="4">
        <v>5.7097213090748548E-2</v>
      </c>
      <c r="N3926">
        <v>9</v>
      </c>
    </row>
    <row r="3927" spans="1:14" x14ac:dyDescent="0.35">
      <c r="A3927" s="1">
        <v>3870</v>
      </c>
      <c r="B3927">
        <v>5</v>
      </c>
      <c r="C3927">
        <v>63</v>
      </c>
      <c r="D3927">
        <v>5</v>
      </c>
      <c r="E3927">
        <v>0</v>
      </c>
      <c r="F3927">
        <v>3</v>
      </c>
      <c r="G3927">
        <v>3</v>
      </c>
      <c r="H3927">
        <v>0</v>
      </c>
      <c r="I3927">
        <v>6053.35</v>
      </c>
      <c r="J3927">
        <v>5</v>
      </c>
      <c r="K3927">
        <v>0</v>
      </c>
      <c r="L3927" s="4">
        <v>0.9429214355758847</v>
      </c>
      <c r="M3927" s="4">
        <v>5.7078564424115311E-2</v>
      </c>
      <c r="N3927">
        <v>9</v>
      </c>
    </row>
    <row r="3928" spans="1:14" x14ac:dyDescent="0.35">
      <c r="A3928" s="1">
        <v>1390</v>
      </c>
      <c r="B3928">
        <v>7</v>
      </c>
      <c r="C3928">
        <v>64</v>
      </c>
      <c r="D3928">
        <v>5</v>
      </c>
      <c r="E3928">
        <v>1</v>
      </c>
      <c r="F3928">
        <v>3</v>
      </c>
      <c r="G3928">
        <v>3</v>
      </c>
      <c r="H3928">
        <v>3</v>
      </c>
      <c r="I3928">
        <v>0.01</v>
      </c>
      <c r="J3928">
        <v>11</v>
      </c>
      <c r="K3928">
        <v>0</v>
      </c>
      <c r="L3928" s="4">
        <v>0.94304475409960897</v>
      </c>
      <c r="M3928" s="4">
        <v>5.6955245900390999E-2</v>
      </c>
      <c r="N3928">
        <v>9</v>
      </c>
    </row>
    <row r="3929" spans="1:14" x14ac:dyDescent="0.35">
      <c r="A3929" s="1">
        <v>3030</v>
      </c>
      <c r="B3929">
        <v>7</v>
      </c>
      <c r="C3929">
        <v>69</v>
      </c>
      <c r="D3929">
        <v>5</v>
      </c>
      <c r="E3929">
        <v>0</v>
      </c>
      <c r="F3929">
        <v>1</v>
      </c>
      <c r="G3929">
        <v>12</v>
      </c>
      <c r="H3929">
        <v>3</v>
      </c>
      <c r="I3929">
        <v>0.01</v>
      </c>
      <c r="J3929">
        <v>9</v>
      </c>
      <c r="K3929">
        <v>0</v>
      </c>
      <c r="L3929" s="4">
        <v>0.94307260399646886</v>
      </c>
      <c r="M3929" s="4">
        <v>5.6927396003531097E-2</v>
      </c>
      <c r="N3929">
        <v>9</v>
      </c>
    </row>
    <row r="3930" spans="1:14" x14ac:dyDescent="0.35">
      <c r="A3930" s="1">
        <v>1572</v>
      </c>
      <c r="B3930">
        <v>3</v>
      </c>
      <c r="C3930">
        <v>49</v>
      </c>
      <c r="D3930">
        <v>2</v>
      </c>
      <c r="E3930">
        <v>1</v>
      </c>
      <c r="F3930">
        <v>3</v>
      </c>
      <c r="G3930">
        <v>3</v>
      </c>
      <c r="H3930">
        <v>3</v>
      </c>
      <c r="I3930">
        <v>0.01</v>
      </c>
      <c r="J3930">
        <v>5</v>
      </c>
      <c r="K3930">
        <v>0</v>
      </c>
      <c r="L3930" s="4">
        <v>0.94310184942433772</v>
      </c>
      <c r="M3930" s="4">
        <v>5.6898150575662262E-2</v>
      </c>
      <c r="N3930">
        <v>9</v>
      </c>
    </row>
    <row r="3931" spans="1:14" x14ac:dyDescent="0.35">
      <c r="A3931" s="1">
        <v>1437</v>
      </c>
      <c r="B3931">
        <v>6</v>
      </c>
      <c r="C3931">
        <v>64</v>
      </c>
      <c r="D3931">
        <v>2</v>
      </c>
      <c r="E3931">
        <v>1</v>
      </c>
      <c r="F3931">
        <v>1</v>
      </c>
      <c r="G3931">
        <v>7</v>
      </c>
      <c r="H3931">
        <v>0</v>
      </c>
      <c r="I3931">
        <v>6000</v>
      </c>
      <c r="J3931">
        <v>1</v>
      </c>
      <c r="K3931">
        <v>0</v>
      </c>
      <c r="L3931" s="4">
        <v>0.94310199414518547</v>
      </c>
      <c r="M3931" s="4">
        <v>5.6898005854814568E-2</v>
      </c>
      <c r="N3931">
        <v>9</v>
      </c>
    </row>
    <row r="3932" spans="1:14" x14ac:dyDescent="0.35">
      <c r="A3932" s="1">
        <v>81</v>
      </c>
      <c r="B3932">
        <v>7</v>
      </c>
      <c r="C3932">
        <v>65</v>
      </c>
      <c r="D3932">
        <v>5</v>
      </c>
      <c r="E3932">
        <v>1</v>
      </c>
      <c r="F3932">
        <v>2</v>
      </c>
      <c r="G3932">
        <v>6</v>
      </c>
      <c r="H3932">
        <v>2</v>
      </c>
      <c r="I3932">
        <v>1000</v>
      </c>
      <c r="J3932">
        <v>12</v>
      </c>
      <c r="K3932">
        <v>0</v>
      </c>
      <c r="L3932" s="4">
        <v>0.94311505393357031</v>
      </c>
      <c r="M3932" s="4">
        <v>5.6884946066429742E-2</v>
      </c>
      <c r="N3932">
        <v>9</v>
      </c>
    </row>
    <row r="3933" spans="1:14" x14ac:dyDescent="0.35">
      <c r="A3933" s="1">
        <v>3818</v>
      </c>
      <c r="B3933">
        <v>6</v>
      </c>
      <c r="C3933">
        <v>67</v>
      </c>
      <c r="D3933">
        <v>2</v>
      </c>
      <c r="E3933">
        <v>0</v>
      </c>
      <c r="F3933">
        <v>1</v>
      </c>
      <c r="G3933">
        <v>12</v>
      </c>
      <c r="H3933">
        <v>2</v>
      </c>
      <c r="I3933">
        <v>50.01</v>
      </c>
      <c r="J3933">
        <v>8</v>
      </c>
      <c r="K3933">
        <v>0</v>
      </c>
      <c r="L3933" s="4">
        <v>0.94316137204090822</v>
      </c>
      <c r="M3933" s="4">
        <v>5.6838627959091829E-2</v>
      </c>
      <c r="N3933">
        <v>9</v>
      </c>
    </row>
    <row r="3934" spans="1:14" x14ac:dyDescent="0.35">
      <c r="A3934" s="1">
        <v>1343</v>
      </c>
      <c r="B3934">
        <v>8</v>
      </c>
      <c r="C3934">
        <v>76</v>
      </c>
      <c r="D3934">
        <v>2</v>
      </c>
      <c r="E3934">
        <v>0</v>
      </c>
      <c r="F3934">
        <v>0</v>
      </c>
      <c r="G3934">
        <v>11</v>
      </c>
      <c r="H3934">
        <v>2</v>
      </c>
      <c r="I3934">
        <v>2800</v>
      </c>
      <c r="J3934">
        <v>20</v>
      </c>
      <c r="K3934">
        <v>0</v>
      </c>
      <c r="L3934" s="4">
        <v>0.94318090039259561</v>
      </c>
      <c r="M3934" s="4">
        <v>5.6819099607404382E-2</v>
      </c>
      <c r="N3934">
        <v>9</v>
      </c>
    </row>
    <row r="3935" spans="1:14" x14ac:dyDescent="0.35">
      <c r="A3935" s="1">
        <v>3159</v>
      </c>
      <c r="B3935">
        <v>8</v>
      </c>
      <c r="C3935">
        <v>71</v>
      </c>
      <c r="D3935">
        <v>1</v>
      </c>
      <c r="E3935">
        <v>1</v>
      </c>
      <c r="F3935">
        <v>4</v>
      </c>
      <c r="G3935">
        <v>9</v>
      </c>
      <c r="H3935">
        <v>1</v>
      </c>
      <c r="I3935">
        <v>30500</v>
      </c>
      <c r="J3935">
        <v>6</v>
      </c>
      <c r="K3935">
        <v>1</v>
      </c>
      <c r="L3935" s="4">
        <v>0.94320086868824982</v>
      </c>
      <c r="M3935" s="4">
        <v>5.6799131311750163E-2</v>
      </c>
      <c r="N3935">
        <v>9</v>
      </c>
    </row>
    <row r="3936" spans="1:14" x14ac:dyDescent="0.35">
      <c r="A3936" s="1">
        <v>1313</v>
      </c>
      <c r="B3936">
        <v>7</v>
      </c>
      <c r="C3936">
        <v>67</v>
      </c>
      <c r="D3936">
        <v>0</v>
      </c>
      <c r="E3936">
        <v>1</v>
      </c>
      <c r="F3936">
        <v>3</v>
      </c>
      <c r="G3936">
        <v>3</v>
      </c>
      <c r="H3936">
        <v>2</v>
      </c>
      <c r="I3936">
        <v>50.01</v>
      </c>
      <c r="J3936">
        <v>9</v>
      </c>
      <c r="K3936">
        <v>0</v>
      </c>
      <c r="L3936" s="4">
        <v>0.94344554030004713</v>
      </c>
      <c r="M3936" s="4">
        <v>5.6554459699952847E-2</v>
      </c>
      <c r="N3936">
        <v>9</v>
      </c>
    </row>
    <row r="3937" spans="1:14" x14ac:dyDescent="0.35">
      <c r="A3937" s="1">
        <v>4044</v>
      </c>
      <c r="B3937">
        <v>6</v>
      </c>
      <c r="C3937">
        <v>69</v>
      </c>
      <c r="D3937">
        <v>0</v>
      </c>
      <c r="E3937">
        <v>0</v>
      </c>
      <c r="F3937">
        <v>3</v>
      </c>
      <c r="G3937">
        <v>8</v>
      </c>
      <c r="H3937">
        <v>0</v>
      </c>
      <c r="I3937">
        <v>6000</v>
      </c>
      <c r="J3937">
        <v>6</v>
      </c>
      <c r="K3937">
        <v>1</v>
      </c>
      <c r="L3937" s="4">
        <v>0.94356712338695192</v>
      </c>
      <c r="M3937" s="4">
        <v>5.6432876613048112E-2</v>
      </c>
      <c r="N3937">
        <v>9</v>
      </c>
    </row>
    <row r="3938" spans="1:14" x14ac:dyDescent="0.35">
      <c r="A3938" s="1">
        <v>1808</v>
      </c>
      <c r="B3938">
        <v>9</v>
      </c>
      <c r="C3938">
        <v>74</v>
      </c>
      <c r="D3938">
        <v>1</v>
      </c>
      <c r="E3938">
        <v>1</v>
      </c>
      <c r="F3938">
        <v>3</v>
      </c>
      <c r="G3938">
        <v>3</v>
      </c>
      <c r="H3938">
        <v>3</v>
      </c>
      <c r="I3938">
        <v>0.01</v>
      </c>
      <c r="J3938">
        <v>9</v>
      </c>
      <c r="K3938">
        <v>0</v>
      </c>
      <c r="L3938" s="4">
        <v>0.94366801318286331</v>
      </c>
      <c r="M3938" s="4">
        <v>5.633198681713672E-2</v>
      </c>
      <c r="N3938">
        <v>9</v>
      </c>
    </row>
    <row r="3939" spans="1:14" x14ac:dyDescent="0.35">
      <c r="A3939" s="1">
        <v>1117</v>
      </c>
      <c r="B3939">
        <v>6</v>
      </c>
      <c r="C3939">
        <v>65</v>
      </c>
      <c r="D3939">
        <v>5</v>
      </c>
      <c r="E3939">
        <v>0</v>
      </c>
      <c r="F3939">
        <v>3</v>
      </c>
      <c r="G3939">
        <v>3</v>
      </c>
      <c r="H3939">
        <v>3</v>
      </c>
      <c r="I3939">
        <v>0.01</v>
      </c>
      <c r="J3939">
        <v>8</v>
      </c>
      <c r="K3939">
        <v>0</v>
      </c>
      <c r="L3939" s="4">
        <v>0.94370020788331521</v>
      </c>
      <c r="M3939" s="4">
        <v>5.6299792116684767E-2</v>
      </c>
      <c r="N3939">
        <v>9</v>
      </c>
    </row>
    <row r="3940" spans="1:14" x14ac:dyDescent="0.35">
      <c r="A3940" s="1">
        <v>1500</v>
      </c>
      <c r="B3940">
        <v>9</v>
      </c>
      <c r="C3940">
        <v>78</v>
      </c>
      <c r="D3940">
        <v>1</v>
      </c>
      <c r="E3940">
        <v>1</v>
      </c>
      <c r="F3940">
        <v>0</v>
      </c>
      <c r="G3940">
        <v>2</v>
      </c>
      <c r="H3940">
        <v>0</v>
      </c>
      <c r="I3940">
        <v>13000</v>
      </c>
      <c r="J3940">
        <v>6</v>
      </c>
      <c r="K3940">
        <v>0</v>
      </c>
      <c r="L3940" s="4">
        <v>0.94371083221445029</v>
      </c>
      <c r="M3940" s="4">
        <v>5.6289167785549668E-2</v>
      </c>
      <c r="N3940">
        <v>9</v>
      </c>
    </row>
    <row r="3941" spans="1:14" x14ac:dyDescent="0.35">
      <c r="A3941" s="1">
        <v>1937</v>
      </c>
      <c r="B3941">
        <v>10</v>
      </c>
      <c r="C3941">
        <v>78</v>
      </c>
      <c r="D3941">
        <v>3</v>
      </c>
      <c r="E3941">
        <v>1</v>
      </c>
      <c r="F3941">
        <v>3</v>
      </c>
      <c r="G3941">
        <v>3</v>
      </c>
      <c r="H3941">
        <v>2</v>
      </c>
      <c r="I3941">
        <v>5000</v>
      </c>
      <c r="J3941">
        <v>4</v>
      </c>
      <c r="K3941">
        <v>0</v>
      </c>
      <c r="L3941" s="4">
        <v>0.94387714268656664</v>
      </c>
      <c r="M3941" s="4">
        <v>5.6122857313433389E-2</v>
      </c>
      <c r="N3941">
        <v>9</v>
      </c>
    </row>
    <row r="3942" spans="1:14" x14ac:dyDescent="0.35">
      <c r="A3942" s="1">
        <v>2253</v>
      </c>
      <c r="B3942">
        <v>8</v>
      </c>
      <c r="C3942">
        <v>70</v>
      </c>
      <c r="D3942">
        <v>0</v>
      </c>
      <c r="E3942">
        <v>1</v>
      </c>
      <c r="F3942">
        <v>3</v>
      </c>
      <c r="G3942">
        <v>8</v>
      </c>
      <c r="H3942">
        <v>3</v>
      </c>
      <c r="I3942">
        <v>0.01</v>
      </c>
      <c r="J3942">
        <v>9</v>
      </c>
      <c r="K3942">
        <v>0</v>
      </c>
      <c r="L3942" s="4">
        <v>0.94388909180858049</v>
      </c>
      <c r="M3942" s="4">
        <v>5.611090819141952E-2</v>
      </c>
      <c r="N3942">
        <v>9</v>
      </c>
    </row>
    <row r="3943" spans="1:14" x14ac:dyDescent="0.35">
      <c r="A3943" s="1">
        <v>1590</v>
      </c>
      <c r="B3943">
        <v>8</v>
      </c>
      <c r="C3943">
        <v>65</v>
      </c>
      <c r="D3943">
        <v>3</v>
      </c>
      <c r="E3943">
        <v>2</v>
      </c>
      <c r="F3943">
        <v>3</v>
      </c>
      <c r="G3943">
        <v>3</v>
      </c>
      <c r="H3943">
        <v>2</v>
      </c>
      <c r="I3943">
        <v>0.02</v>
      </c>
      <c r="J3943">
        <v>10</v>
      </c>
      <c r="K3943">
        <v>0</v>
      </c>
      <c r="L3943" s="4">
        <v>0.94392990490003448</v>
      </c>
      <c r="M3943" s="4">
        <v>5.6070095099965557E-2</v>
      </c>
      <c r="N3943">
        <v>9</v>
      </c>
    </row>
    <row r="3944" spans="1:14" x14ac:dyDescent="0.35">
      <c r="A3944" s="1">
        <v>22</v>
      </c>
      <c r="B3944">
        <v>8</v>
      </c>
      <c r="C3944">
        <v>75</v>
      </c>
      <c r="D3944">
        <v>5</v>
      </c>
      <c r="E3944">
        <v>0</v>
      </c>
      <c r="F3944">
        <v>3</v>
      </c>
      <c r="G3944">
        <v>8</v>
      </c>
      <c r="H3944">
        <v>0</v>
      </c>
      <c r="I3944">
        <v>7923.04</v>
      </c>
      <c r="J3944">
        <v>1</v>
      </c>
      <c r="K3944">
        <v>0</v>
      </c>
      <c r="L3944" s="4">
        <v>0.94401530838597969</v>
      </c>
      <c r="M3944" s="4">
        <v>5.5984691614020268E-2</v>
      </c>
      <c r="N3944">
        <v>9</v>
      </c>
    </row>
    <row r="3945" spans="1:14" x14ac:dyDescent="0.35">
      <c r="A3945" s="1">
        <v>3571</v>
      </c>
      <c r="B3945">
        <v>7</v>
      </c>
      <c r="C3945">
        <v>69</v>
      </c>
      <c r="D3945">
        <v>1</v>
      </c>
      <c r="E3945">
        <v>1</v>
      </c>
      <c r="F3945">
        <v>1</v>
      </c>
      <c r="G3945">
        <v>5</v>
      </c>
      <c r="H3945">
        <v>0</v>
      </c>
      <c r="I3945">
        <v>6000</v>
      </c>
      <c r="J3945">
        <v>3</v>
      </c>
      <c r="K3945">
        <v>0</v>
      </c>
      <c r="L3945" s="4">
        <v>0.94402325713899238</v>
      </c>
      <c r="M3945" s="4">
        <v>5.5976742861007671E-2</v>
      </c>
      <c r="N3945">
        <v>9</v>
      </c>
    </row>
    <row r="3946" spans="1:14" x14ac:dyDescent="0.35">
      <c r="A3946" s="1">
        <v>2787</v>
      </c>
      <c r="B3946">
        <v>6</v>
      </c>
      <c r="C3946">
        <v>63</v>
      </c>
      <c r="D3946">
        <v>5</v>
      </c>
      <c r="E3946">
        <v>1</v>
      </c>
      <c r="F3946">
        <v>1</v>
      </c>
      <c r="G3946">
        <v>12</v>
      </c>
      <c r="H3946">
        <v>0</v>
      </c>
      <c r="I3946">
        <v>20000</v>
      </c>
      <c r="J3946">
        <v>4</v>
      </c>
      <c r="K3946">
        <v>0</v>
      </c>
      <c r="L3946" s="4">
        <v>0.94415353927286705</v>
      </c>
      <c r="M3946" s="4">
        <v>5.5846460727132938E-2</v>
      </c>
      <c r="N3946">
        <v>9</v>
      </c>
    </row>
    <row r="3947" spans="1:14" x14ac:dyDescent="0.35">
      <c r="A3947" s="1">
        <v>387</v>
      </c>
      <c r="B3947">
        <v>4</v>
      </c>
      <c r="C3947">
        <v>51</v>
      </c>
      <c r="D3947">
        <v>5</v>
      </c>
      <c r="E3947">
        <v>2</v>
      </c>
      <c r="F3947">
        <v>0</v>
      </c>
      <c r="G3947">
        <v>4</v>
      </c>
      <c r="H3947">
        <v>0</v>
      </c>
      <c r="I3947">
        <v>6000</v>
      </c>
      <c r="J3947">
        <v>12</v>
      </c>
      <c r="K3947">
        <v>0</v>
      </c>
      <c r="L3947" s="4">
        <v>0.94419364192214728</v>
      </c>
      <c r="M3947" s="4">
        <v>5.5806358077852669E-2</v>
      </c>
      <c r="N3947">
        <v>9</v>
      </c>
    </row>
    <row r="3948" spans="1:14" x14ac:dyDescent="0.35">
      <c r="A3948" s="1">
        <v>3745</v>
      </c>
      <c r="B3948">
        <v>6</v>
      </c>
      <c r="C3948">
        <v>65</v>
      </c>
      <c r="D3948">
        <v>1</v>
      </c>
      <c r="E3948">
        <v>1</v>
      </c>
      <c r="F3948">
        <v>0</v>
      </c>
      <c r="G3948">
        <v>11</v>
      </c>
      <c r="H3948">
        <v>0</v>
      </c>
      <c r="I3948">
        <v>5089.7</v>
      </c>
      <c r="J3948">
        <v>7</v>
      </c>
      <c r="K3948">
        <v>0</v>
      </c>
      <c r="L3948" s="4">
        <v>0.94422689524766756</v>
      </c>
      <c r="M3948" s="4">
        <v>5.5773104752332457E-2</v>
      </c>
      <c r="N3948">
        <v>9</v>
      </c>
    </row>
    <row r="3949" spans="1:14" x14ac:dyDescent="0.35">
      <c r="A3949" s="1">
        <v>2453</v>
      </c>
      <c r="B3949">
        <v>9</v>
      </c>
      <c r="C3949">
        <v>79</v>
      </c>
      <c r="D3949">
        <v>3</v>
      </c>
      <c r="E3949">
        <v>0</v>
      </c>
      <c r="F3949">
        <v>3</v>
      </c>
      <c r="G3949">
        <v>3</v>
      </c>
      <c r="H3949">
        <v>2</v>
      </c>
      <c r="I3949">
        <v>5000</v>
      </c>
      <c r="J3949">
        <v>5</v>
      </c>
      <c r="K3949">
        <v>0</v>
      </c>
      <c r="L3949" s="4">
        <v>0.9442536220245038</v>
      </c>
      <c r="M3949" s="4">
        <v>5.5746377975496239E-2</v>
      </c>
      <c r="N3949">
        <v>9</v>
      </c>
    </row>
    <row r="3950" spans="1:14" x14ac:dyDescent="0.35">
      <c r="A3950" s="1">
        <v>2810</v>
      </c>
      <c r="B3950">
        <v>7</v>
      </c>
      <c r="C3950">
        <v>68</v>
      </c>
      <c r="D3950">
        <v>5</v>
      </c>
      <c r="E3950">
        <v>1</v>
      </c>
      <c r="F3950">
        <v>0</v>
      </c>
      <c r="G3950">
        <v>4</v>
      </c>
      <c r="H3950">
        <v>0</v>
      </c>
      <c r="I3950">
        <v>7500</v>
      </c>
      <c r="J3950">
        <v>4</v>
      </c>
      <c r="K3950">
        <v>0</v>
      </c>
      <c r="L3950" s="4">
        <v>0.94441407597569582</v>
      </c>
      <c r="M3950" s="4">
        <v>5.5585924024304158E-2</v>
      </c>
      <c r="N3950">
        <v>9</v>
      </c>
    </row>
    <row r="3951" spans="1:14" x14ac:dyDescent="0.35">
      <c r="A3951" s="1">
        <v>2130</v>
      </c>
      <c r="B3951">
        <v>6</v>
      </c>
      <c r="C3951">
        <v>66</v>
      </c>
      <c r="D3951">
        <v>5</v>
      </c>
      <c r="E3951">
        <v>0</v>
      </c>
      <c r="F3951">
        <v>1</v>
      </c>
      <c r="G3951">
        <v>12</v>
      </c>
      <c r="H3951">
        <v>2</v>
      </c>
      <c r="I3951">
        <v>1000</v>
      </c>
      <c r="J3951">
        <v>2</v>
      </c>
      <c r="K3951">
        <v>0</v>
      </c>
      <c r="L3951" s="4">
        <v>0.94448228336544182</v>
      </c>
      <c r="M3951" s="4">
        <v>5.551771663455813E-2</v>
      </c>
      <c r="N3951">
        <v>9</v>
      </c>
    </row>
    <row r="3952" spans="1:14" x14ac:dyDescent="0.35">
      <c r="A3952" s="1">
        <v>2648</v>
      </c>
      <c r="B3952">
        <v>5</v>
      </c>
      <c r="C3952">
        <v>59</v>
      </c>
      <c r="D3952">
        <v>0</v>
      </c>
      <c r="E3952">
        <v>1</v>
      </c>
      <c r="F3952">
        <v>2</v>
      </c>
      <c r="G3952">
        <v>1</v>
      </c>
      <c r="H3952">
        <v>3</v>
      </c>
      <c r="I3952">
        <v>0.01</v>
      </c>
      <c r="J3952">
        <v>2</v>
      </c>
      <c r="K3952">
        <v>0</v>
      </c>
      <c r="L3952" s="4">
        <v>0.94448894509965442</v>
      </c>
      <c r="M3952" s="4">
        <v>5.5511054900345552E-2</v>
      </c>
      <c r="N3952">
        <v>9</v>
      </c>
    </row>
    <row r="3953" spans="1:14" x14ac:dyDescent="0.35">
      <c r="A3953" s="1">
        <v>3067</v>
      </c>
      <c r="B3953">
        <v>8</v>
      </c>
      <c r="C3953">
        <v>77</v>
      </c>
      <c r="D3953">
        <v>1</v>
      </c>
      <c r="E3953">
        <v>0</v>
      </c>
      <c r="F3953">
        <v>3</v>
      </c>
      <c r="G3953">
        <v>8</v>
      </c>
      <c r="H3953">
        <v>0</v>
      </c>
      <c r="I3953">
        <v>7000</v>
      </c>
      <c r="J3953">
        <v>6</v>
      </c>
      <c r="K3953">
        <v>1</v>
      </c>
      <c r="L3953" s="4">
        <v>0.94455190847640103</v>
      </c>
      <c r="M3953" s="4">
        <v>5.5448091523598982E-2</v>
      </c>
      <c r="N3953">
        <v>9</v>
      </c>
    </row>
    <row r="3954" spans="1:14" x14ac:dyDescent="0.35">
      <c r="A3954" s="1">
        <v>3045</v>
      </c>
      <c r="B3954">
        <v>7</v>
      </c>
      <c r="C3954">
        <v>66</v>
      </c>
      <c r="D3954">
        <v>3</v>
      </c>
      <c r="E3954">
        <v>1</v>
      </c>
      <c r="F3954">
        <v>0</v>
      </c>
      <c r="G3954">
        <v>11</v>
      </c>
      <c r="H3954">
        <v>3</v>
      </c>
      <c r="I3954">
        <v>0.01</v>
      </c>
      <c r="J3954">
        <v>9</v>
      </c>
      <c r="K3954">
        <v>0</v>
      </c>
      <c r="L3954" s="4">
        <v>0.94458010413953553</v>
      </c>
      <c r="M3954" s="4">
        <v>5.5419895860464433E-2</v>
      </c>
      <c r="N3954">
        <v>9</v>
      </c>
    </row>
    <row r="3955" spans="1:14" x14ac:dyDescent="0.35">
      <c r="A3955" s="1">
        <v>1857</v>
      </c>
      <c r="B3955">
        <v>6</v>
      </c>
      <c r="C3955">
        <v>70</v>
      </c>
      <c r="D3955">
        <v>1</v>
      </c>
      <c r="E3955">
        <v>0</v>
      </c>
      <c r="F3955">
        <v>1</v>
      </c>
      <c r="G3955">
        <v>7</v>
      </c>
      <c r="H3955">
        <v>0</v>
      </c>
      <c r="I3955">
        <v>10000</v>
      </c>
      <c r="J3955">
        <v>4</v>
      </c>
      <c r="K3955">
        <v>0</v>
      </c>
      <c r="L3955" s="4">
        <v>0.94463641059747461</v>
      </c>
      <c r="M3955" s="4">
        <v>5.5363589402525427E-2</v>
      </c>
      <c r="N3955">
        <v>9</v>
      </c>
    </row>
    <row r="3956" spans="1:14" x14ac:dyDescent="0.35">
      <c r="A3956" s="1">
        <v>196</v>
      </c>
      <c r="B3956">
        <v>4</v>
      </c>
      <c r="C3956">
        <v>60</v>
      </c>
      <c r="D3956">
        <v>4</v>
      </c>
      <c r="E3956">
        <v>0</v>
      </c>
      <c r="F3956">
        <v>1</v>
      </c>
      <c r="G3956">
        <v>12</v>
      </c>
      <c r="H3956">
        <v>0</v>
      </c>
      <c r="I3956">
        <v>6000</v>
      </c>
      <c r="J3956">
        <v>2</v>
      </c>
      <c r="K3956">
        <v>0</v>
      </c>
      <c r="L3956" s="4">
        <v>0.94469213692549125</v>
      </c>
      <c r="M3956" s="4">
        <v>5.5307863074508787E-2</v>
      </c>
      <c r="N3956">
        <v>9</v>
      </c>
    </row>
    <row r="3957" spans="1:14" x14ac:dyDescent="0.35">
      <c r="A3957" s="1">
        <v>3458</v>
      </c>
      <c r="B3957">
        <v>6</v>
      </c>
      <c r="C3957">
        <v>64</v>
      </c>
      <c r="D3957">
        <v>1</v>
      </c>
      <c r="E3957">
        <v>1</v>
      </c>
      <c r="F3957">
        <v>3</v>
      </c>
      <c r="G3957">
        <v>8</v>
      </c>
      <c r="H3957">
        <v>0</v>
      </c>
      <c r="I3957">
        <v>6053.35</v>
      </c>
      <c r="J3957">
        <v>5</v>
      </c>
      <c r="K3957">
        <v>0</v>
      </c>
      <c r="L3957" s="4">
        <v>0.94473289406502281</v>
      </c>
      <c r="M3957" s="4">
        <v>5.5267105934977141E-2</v>
      </c>
      <c r="N3957">
        <v>9</v>
      </c>
    </row>
    <row r="3958" spans="1:14" x14ac:dyDescent="0.35">
      <c r="A3958" s="1">
        <v>1073</v>
      </c>
      <c r="B3958">
        <v>7</v>
      </c>
      <c r="C3958">
        <v>72</v>
      </c>
      <c r="D3958">
        <v>4</v>
      </c>
      <c r="E3958">
        <v>0</v>
      </c>
      <c r="F3958">
        <v>3</v>
      </c>
      <c r="G3958">
        <v>3</v>
      </c>
      <c r="H3958">
        <v>1</v>
      </c>
      <c r="I3958">
        <v>22000</v>
      </c>
      <c r="J3958">
        <v>14</v>
      </c>
      <c r="K3958">
        <v>0</v>
      </c>
      <c r="L3958" s="4">
        <v>0.94475427354663932</v>
      </c>
      <c r="M3958" s="4">
        <v>5.524572645336067E-2</v>
      </c>
      <c r="N3958">
        <v>9</v>
      </c>
    </row>
    <row r="3959" spans="1:14" x14ac:dyDescent="0.35">
      <c r="A3959" s="1">
        <v>2579</v>
      </c>
      <c r="B3959">
        <v>6</v>
      </c>
      <c r="C3959">
        <v>70</v>
      </c>
      <c r="D3959">
        <v>1</v>
      </c>
      <c r="E3959">
        <v>0</v>
      </c>
      <c r="F3959">
        <v>1</v>
      </c>
      <c r="G3959">
        <v>7</v>
      </c>
      <c r="H3959">
        <v>0</v>
      </c>
      <c r="I3959">
        <v>6053.35</v>
      </c>
      <c r="J3959">
        <v>5</v>
      </c>
      <c r="K3959">
        <v>1</v>
      </c>
      <c r="L3959" s="4">
        <v>0.94490117248075078</v>
      </c>
      <c r="M3959" s="4">
        <v>5.5098827519249223E-2</v>
      </c>
      <c r="N3959">
        <v>9</v>
      </c>
    </row>
    <row r="3960" spans="1:14" x14ac:dyDescent="0.35">
      <c r="A3960" s="1">
        <v>3523</v>
      </c>
      <c r="B3960">
        <v>8</v>
      </c>
      <c r="C3960">
        <v>75</v>
      </c>
      <c r="D3960">
        <v>2</v>
      </c>
      <c r="E3960">
        <v>0</v>
      </c>
      <c r="F3960">
        <v>3</v>
      </c>
      <c r="G3960">
        <v>3</v>
      </c>
      <c r="H3960">
        <v>3</v>
      </c>
      <c r="I3960">
        <v>0.01</v>
      </c>
      <c r="J3960">
        <v>17</v>
      </c>
      <c r="K3960">
        <v>0</v>
      </c>
      <c r="L3960" s="4">
        <v>0.94495303319689739</v>
      </c>
      <c r="M3960" s="4">
        <v>5.5046966803102643E-2</v>
      </c>
      <c r="N3960">
        <v>9</v>
      </c>
    </row>
    <row r="3961" spans="1:14" x14ac:dyDescent="0.35">
      <c r="A3961" s="1">
        <v>2935</v>
      </c>
      <c r="B3961">
        <v>7</v>
      </c>
      <c r="C3961">
        <v>75</v>
      </c>
      <c r="D3961">
        <v>1</v>
      </c>
      <c r="E3961">
        <v>0</v>
      </c>
      <c r="F3961">
        <v>0</v>
      </c>
      <c r="G3961">
        <v>4</v>
      </c>
      <c r="H3961">
        <v>0</v>
      </c>
      <c r="I3961">
        <v>13033.71</v>
      </c>
      <c r="J3961">
        <v>5</v>
      </c>
      <c r="K3961">
        <v>0</v>
      </c>
      <c r="L3961" s="4">
        <v>0.94495382308670883</v>
      </c>
      <c r="M3961" s="4">
        <v>5.5046176913291132E-2</v>
      </c>
      <c r="N3961">
        <v>9</v>
      </c>
    </row>
    <row r="3962" spans="1:14" x14ac:dyDescent="0.35">
      <c r="A3962" s="1">
        <v>2820</v>
      </c>
      <c r="B3962">
        <v>7</v>
      </c>
      <c r="C3962">
        <v>74</v>
      </c>
      <c r="D3962">
        <v>0</v>
      </c>
      <c r="E3962">
        <v>0</v>
      </c>
      <c r="F3962">
        <v>3</v>
      </c>
      <c r="G3962">
        <v>3</v>
      </c>
      <c r="H3962">
        <v>0</v>
      </c>
      <c r="I3962">
        <v>6000.01</v>
      </c>
      <c r="J3962">
        <v>8</v>
      </c>
      <c r="K3962">
        <v>0</v>
      </c>
      <c r="L3962" s="4">
        <v>0.94499471451432715</v>
      </c>
      <c r="M3962" s="4">
        <v>5.5005285485672857E-2</v>
      </c>
      <c r="N3962">
        <v>9</v>
      </c>
    </row>
    <row r="3963" spans="1:14" x14ac:dyDescent="0.35">
      <c r="A3963" s="1">
        <v>1248</v>
      </c>
      <c r="B3963">
        <v>8</v>
      </c>
      <c r="C3963">
        <v>67</v>
      </c>
      <c r="D3963">
        <v>5</v>
      </c>
      <c r="E3963">
        <v>2</v>
      </c>
      <c r="F3963">
        <v>2</v>
      </c>
      <c r="G3963">
        <v>1</v>
      </c>
      <c r="H3963">
        <v>0</v>
      </c>
      <c r="I3963">
        <v>7567.91</v>
      </c>
      <c r="J3963">
        <v>18</v>
      </c>
      <c r="K3963">
        <v>0</v>
      </c>
      <c r="L3963" s="4">
        <v>0.94513752859668698</v>
      </c>
      <c r="M3963" s="4">
        <v>5.4862471403313073E-2</v>
      </c>
      <c r="N3963">
        <v>9</v>
      </c>
    </row>
    <row r="3964" spans="1:14" x14ac:dyDescent="0.35">
      <c r="A3964" s="1">
        <v>2938</v>
      </c>
      <c r="B3964">
        <v>7</v>
      </c>
      <c r="C3964">
        <v>72</v>
      </c>
      <c r="D3964">
        <v>3</v>
      </c>
      <c r="E3964">
        <v>0</v>
      </c>
      <c r="F3964">
        <v>2</v>
      </c>
      <c r="G3964">
        <v>1</v>
      </c>
      <c r="H3964">
        <v>2</v>
      </c>
      <c r="I3964">
        <v>500</v>
      </c>
      <c r="J3964">
        <v>18</v>
      </c>
      <c r="K3964">
        <v>0</v>
      </c>
      <c r="L3964" s="4">
        <v>0.94516032446952603</v>
      </c>
      <c r="M3964" s="4">
        <v>5.4839675530473968E-2</v>
      </c>
      <c r="N3964">
        <v>9</v>
      </c>
    </row>
    <row r="3965" spans="1:14" x14ac:dyDescent="0.35">
      <c r="A3965" s="1">
        <v>679</v>
      </c>
      <c r="B3965">
        <v>5</v>
      </c>
      <c r="C3965">
        <v>62</v>
      </c>
      <c r="D3965">
        <v>4</v>
      </c>
      <c r="E3965">
        <v>0</v>
      </c>
      <c r="F3965">
        <v>1</v>
      </c>
      <c r="G3965">
        <v>12</v>
      </c>
      <c r="H3965">
        <v>3</v>
      </c>
      <c r="I3965">
        <v>0.01</v>
      </c>
      <c r="J3965">
        <v>8</v>
      </c>
      <c r="K3965">
        <v>0</v>
      </c>
      <c r="L3965" s="4">
        <v>0.94524452244592005</v>
      </c>
      <c r="M3965" s="4">
        <v>5.4755477554079918E-2</v>
      </c>
      <c r="N3965">
        <v>9</v>
      </c>
    </row>
    <row r="3966" spans="1:14" x14ac:dyDescent="0.35">
      <c r="A3966" s="1">
        <v>2458</v>
      </c>
      <c r="B3966">
        <v>8</v>
      </c>
      <c r="C3966">
        <v>71</v>
      </c>
      <c r="D3966">
        <v>3</v>
      </c>
      <c r="E3966">
        <v>1</v>
      </c>
      <c r="F3966">
        <v>0</v>
      </c>
      <c r="G3966">
        <v>11</v>
      </c>
      <c r="H3966">
        <v>2</v>
      </c>
      <c r="I3966">
        <v>1000</v>
      </c>
      <c r="J3966">
        <v>8</v>
      </c>
      <c r="K3966">
        <v>0</v>
      </c>
      <c r="L3966" s="4">
        <v>0.94524710648053334</v>
      </c>
      <c r="M3966" s="4">
        <v>5.4752893519466703E-2</v>
      </c>
      <c r="N3966">
        <v>9</v>
      </c>
    </row>
    <row r="3967" spans="1:14" x14ac:dyDescent="0.35">
      <c r="A3967" s="1">
        <v>3677</v>
      </c>
      <c r="B3967">
        <v>8</v>
      </c>
      <c r="C3967">
        <v>78</v>
      </c>
      <c r="D3967">
        <v>3</v>
      </c>
      <c r="E3967">
        <v>0</v>
      </c>
      <c r="F3967">
        <v>0</v>
      </c>
      <c r="G3967">
        <v>4</v>
      </c>
      <c r="H3967">
        <v>0</v>
      </c>
      <c r="I3967">
        <v>6000</v>
      </c>
      <c r="J3967">
        <v>1</v>
      </c>
      <c r="K3967">
        <v>0</v>
      </c>
      <c r="L3967" s="4">
        <v>0.94525902654051963</v>
      </c>
      <c r="M3967" s="4">
        <v>5.4740973459480383E-2</v>
      </c>
      <c r="N3967">
        <v>9</v>
      </c>
    </row>
    <row r="3968" spans="1:14" x14ac:dyDescent="0.35">
      <c r="A3968" s="1">
        <v>288</v>
      </c>
      <c r="B3968">
        <v>8</v>
      </c>
      <c r="C3968">
        <v>76</v>
      </c>
      <c r="D3968">
        <v>2</v>
      </c>
      <c r="E3968">
        <v>0</v>
      </c>
      <c r="F3968">
        <v>1</v>
      </c>
      <c r="G3968">
        <v>12</v>
      </c>
      <c r="H3968">
        <v>2</v>
      </c>
      <c r="I3968">
        <v>3215.96</v>
      </c>
      <c r="J3968">
        <v>15</v>
      </c>
      <c r="K3968">
        <v>0</v>
      </c>
      <c r="L3968" s="4">
        <v>0.94526980451236686</v>
      </c>
      <c r="M3968" s="4">
        <v>5.4730195487633138E-2</v>
      </c>
      <c r="N3968">
        <v>9</v>
      </c>
    </row>
    <row r="3969" spans="1:14" x14ac:dyDescent="0.35">
      <c r="A3969" s="1">
        <v>2892</v>
      </c>
      <c r="B3969">
        <v>3</v>
      </c>
      <c r="C3969">
        <v>51</v>
      </c>
      <c r="D3969">
        <v>1</v>
      </c>
      <c r="E3969">
        <v>1</v>
      </c>
      <c r="F3969">
        <v>3</v>
      </c>
      <c r="G3969">
        <v>3</v>
      </c>
      <c r="H3969">
        <v>2</v>
      </c>
      <c r="I3969">
        <v>3000</v>
      </c>
      <c r="J3969">
        <v>8</v>
      </c>
      <c r="K3969">
        <v>0</v>
      </c>
      <c r="L3969" s="4">
        <v>0.94528020745047248</v>
      </c>
      <c r="M3969" s="4">
        <v>5.471979254952751E-2</v>
      </c>
      <c r="N3969">
        <v>9</v>
      </c>
    </row>
    <row r="3970" spans="1:14" x14ac:dyDescent="0.35">
      <c r="A3970" s="1">
        <v>708</v>
      </c>
      <c r="B3970">
        <v>9</v>
      </c>
      <c r="C3970">
        <v>76</v>
      </c>
      <c r="D3970">
        <v>3</v>
      </c>
      <c r="E3970">
        <v>1</v>
      </c>
      <c r="F3970">
        <v>3</v>
      </c>
      <c r="G3970">
        <v>3</v>
      </c>
      <c r="H3970">
        <v>0</v>
      </c>
      <c r="I3970">
        <v>10000</v>
      </c>
      <c r="J3970">
        <v>4</v>
      </c>
      <c r="K3970">
        <v>0</v>
      </c>
      <c r="L3970" s="4">
        <v>0.94530538839111211</v>
      </c>
      <c r="M3970" s="4">
        <v>5.4694611608887923E-2</v>
      </c>
      <c r="N3970">
        <v>9</v>
      </c>
    </row>
    <row r="3971" spans="1:14" x14ac:dyDescent="0.35">
      <c r="A3971" s="1">
        <v>767</v>
      </c>
      <c r="B3971">
        <v>5</v>
      </c>
      <c r="C3971">
        <v>58</v>
      </c>
      <c r="D3971">
        <v>5</v>
      </c>
      <c r="E3971">
        <v>1</v>
      </c>
      <c r="F3971">
        <v>0</v>
      </c>
      <c r="G3971">
        <v>11</v>
      </c>
      <c r="H3971">
        <v>2</v>
      </c>
      <c r="I3971">
        <v>70.010000000000005</v>
      </c>
      <c r="J3971">
        <v>8</v>
      </c>
      <c r="K3971">
        <v>0</v>
      </c>
      <c r="L3971" s="4">
        <v>0.94540190608931096</v>
      </c>
      <c r="M3971" s="4">
        <v>5.4598093910689052E-2</v>
      </c>
      <c r="N3971">
        <v>9</v>
      </c>
    </row>
    <row r="3972" spans="1:14" x14ac:dyDescent="0.35">
      <c r="A3972" s="1">
        <v>153</v>
      </c>
      <c r="B3972">
        <v>9</v>
      </c>
      <c r="C3972">
        <v>76</v>
      </c>
      <c r="D3972">
        <v>2</v>
      </c>
      <c r="E3972">
        <v>1</v>
      </c>
      <c r="F3972">
        <v>1</v>
      </c>
      <c r="G3972">
        <v>5</v>
      </c>
      <c r="H3972">
        <v>2</v>
      </c>
      <c r="I3972">
        <v>500</v>
      </c>
      <c r="J3972">
        <v>26</v>
      </c>
      <c r="K3972">
        <v>0</v>
      </c>
      <c r="L3972" s="4">
        <v>0.94545437235938368</v>
      </c>
      <c r="M3972" s="4">
        <v>5.4545627640616358E-2</v>
      </c>
      <c r="N3972">
        <v>9</v>
      </c>
    </row>
    <row r="3973" spans="1:14" x14ac:dyDescent="0.35">
      <c r="A3973" s="1">
        <v>3625</v>
      </c>
      <c r="B3973">
        <v>6</v>
      </c>
      <c r="C3973">
        <v>69</v>
      </c>
      <c r="D3973">
        <v>1</v>
      </c>
      <c r="E3973">
        <v>0</v>
      </c>
      <c r="F3973">
        <v>1</v>
      </c>
      <c r="G3973">
        <v>7</v>
      </c>
      <c r="H3973">
        <v>2</v>
      </c>
      <c r="I3973">
        <v>3000</v>
      </c>
      <c r="J3973">
        <v>21</v>
      </c>
      <c r="K3973">
        <v>0</v>
      </c>
      <c r="L3973" s="4">
        <v>0.94553330804574232</v>
      </c>
      <c r="M3973" s="4">
        <v>5.4466691954257677E-2</v>
      </c>
      <c r="N3973">
        <v>9</v>
      </c>
    </row>
    <row r="3974" spans="1:14" x14ac:dyDescent="0.35">
      <c r="A3974" s="1">
        <v>632</v>
      </c>
      <c r="B3974">
        <v>6</v>
      </c>
      <c r="C3974">
        <v>68</v>
      </c>
      <c r="D3974">
        <v>3</v>
      </c>
      <c r="E3974">
        <v>0</v>
      </c>
      <c r="F3974">
        <v>0</v>
      </c>
      <c r="G3974">
        <v>2</v>
      </c>
      <c r="H3974">
        <v>3</v>
      </c>
      <c r="I3974">
        <v>0.01</v>
      </c>
      <c r="J3974">
        <v>8</v>
      </c>
      <c r="K3974">
        <v>1</v>
      </c>
      <c r="L3974" s="4">
        <v>0.9456418828516413</v>
      </c>
      <c r="M3974" s="4">
        <v>5.4358117148358691E-2</v>
      </c>
      <c r="N3974">
        <v>9</v>
      </c>
    </row>
    <row r="3975" spans="1:14" x14ac:dyDescent="0.35">
      <c r="A3975" s="1">
        <v>642</v>
      </c>
      <c r="B3975">
        <v>5</v>
      </c>
      <c r="C3975">
        <v>64</v>
      </c>
      <c r="D3975">
        <v>1</v>
      </c>
      <c r="E3975">
        <v>0</v>
      </c>
      <c r="F3975">
        <v>3</v>
      </c>
      <c r="G3975">
        <v>3</v>
      </c>
      <c r="H3975">
        <v>2</v>
      </c>
      <c r="I3975">
        <v>420</v>
      </c>
      <c r="J3975">
        <v>5</v>
      </c>
      <c r="K3975">
        <v>0</v>
      </c>
      <c r="L3975" s="4">
        <v>0.94565974149825849</v>
      </c>
      <c r="M3975" s="4">
        <v>5.4340258501741498E-2</v>
      </c>
      <c r="N3975">
        <v>9</v>
      </c>
    </row>
    <row r="3976" spans="1:14" x14ac:dyDescent="0.35">
      <c r="A3976" s="1">
        <v>3311</v>
      </c>
      <c r="B3976">
        <v>6</v>
      </c>
      <c r="C3976">
        <v>64</v>
      </c>
      <c r="D3976">
        <v>3</v>
      </c>
      <c r="E3976">
        <v>1</v>
      </c>
      <c r="F3976">
        <v>0</v>
      </c>
      <c r="G3976">
        <v>2</v>
      </c>
      <c r="H3976">
        <v>2</v>
      </c>
      <c r="I3976">
        <v>5000</v>
      </c>
      <c r="J3976">
        <v>9</v>
      </c>
      <c r="K3976">
        <v>0</v>
      </c>
      <c r="L3976" s="4">
        <v>0.94571524742522195</v>
      </c>
      <c r="M3976" s="4">
        <v>5.4284752574778113E-2</v>
      </c>
      <c r="N3976">
        <v>9</v>
      </c>
    </row>
    <row r="3977" spans="1:14" x14ac:dyDescent="0.35">
      <c r="A3977" s="1">
        <v>3730</v>
      </c>
      <c r="B3977">
        <v>5</v>
      </c>
      <c r="C3977">
        <v>66</v>
      </c>
      <c r="D3977">
        <v>1</v>
      </c>
      <c r="E3977">
        <v>0</v>
      </c>
      <c r="F3977">
        <v>3</v>
      </c>
      <c r="G3977">
        <v>3</v>
      </c>
      <c r="H3977">
        <v>0</v>
      </c>
      <c r="I3977">
        <v>17000</v>
      </c>
      <c r="J3977">
        <v>8</v>
      </c>
      <c r="K3977">
        <v>0</v>
      </c>
      <c r="L3977" s="4">
        <v>0.94574985021186808</v>
      </c>
      <c r="M3977" s="4">
        <v>5.425014978813187E-2</v>
      </c>
      <c r="N3977">
        <v>9</v>
      </c>
    </row>
    <row r="3978" spans="1:14" x14ac:dyDescent="0.35">
      <c r="A3978" s="1">
        <v>1901</v>
      </c>
      <c r="B3978">
        <v>7</v>
      </c>
      <c r="C3978">
        <v>75</v>
      </c>
      <c r="D3978">
        <v>1</v>
      </c>
      <c r="E3978">
        <v>0</v>
      </c>
      <c r="F3978">
        <v>0</v>
      </c>
      <c r="G3978">
        <v>4</v>
      </c>
      <c r="H3978">
        <v>0</v>
      </c>
      <c r="I3978">
        <v>6000</v>
      </c>
      <c r="J3978">
        <v>1</v>
      </c>
      <c r="K3978">
        <v>0</v>
      </c>
      <c r="L3978" s="4">
        <v>0.94580444326720914</v>
      </c>
      <c r="M3978" s="4">
        <v>5.4195556732790813E-2</v>
      </c>
      <c r="N3978">
        <v>9</v>
      </c>
    </row>
    <row r="3979" spans="1:14" x14ac:dyDescent="0.35">
      <c r="A3979" s="1">
        <v>292</v>
      </c>
      <c r="B3979">
        <v>8</v>
      </c>
      <c r="C3979">
        <v>78</v>
      </c>
      <c r="D3979">
        <v>0</v>
      </c>
      <c r="E3979">
        <v>0</v>
      </c>
      <c r="F3979">
        <v>0</v>
      </c>
      <c r="G3979">
        <v>4</v>
      </c>
      <c r="H3979">
        <v>2</v>
      </c>
      <c r="I3979">
        <v>3000</v>
      </c>
      <c r="J3979">
        <v>2</v>
      </c>
      <c r="K3979">
        <v>1</v>
      </c>
      <c r="L3979" s="4">
        <v>0.94591063379458162</v>
      </c>
      <c r="M3979" s="4">
        <v>5.4089366205418432E-2</v>
      </c>
      <c r="N3979">
        <v>9</v>
      </c>
    </row>
    <row r="3980" spans="1:14" x14ac:dyDescent="0.35">
      <c r="A3980" s="1">
        <v>2735</v>
      </c>
      <c r="B3980">
        <v>6</v>
      </c>
      <c r="C3980">
        <v>68</v>
      </c>
      <c r="D3980">
        <v>3</v>
      </c>
      <c r="E3980">
        <v>0</v>
      </c>
      <c r="F3980">
        <v>4</v>
      </c>
      <c r="G3980">
        <v>9</v>
      </c>
      <c r="H3980">
        <v>0</v>
      </c>
      <c r="I3980">
        <v>6000</v>
      </c>
      <c r="J3980">
        <v>12</v>
      </c>
      <c r="K3980">
        <v>0</v>
      </c>
      <c r="L3980" s="4">
        <v>0.94591281941625338</v>
      </c>
      <c r="M3980" s="4">
        <v>5.4087180583746668E-2</v>
      </c>
      <c r="N3980">
        <v>9</v>
      </c>
    </row>
    <row r="3981" spans="1:14" x14ac:dyDescent="0.35">
      <c r="A3981" s="1">
        <v>702</v>
      </c>
      <c r="B3981">
        <v>8</v>
      </c>
      <c r="C3981">
        <v>78</v>
      </c>
      <c r="D3981">
        <v>3</v>
      </c>
      <c r="E3981">
        <v>0</v>
      </c>
      <c r="F3981">
        <v>1</v>
      </c>
      <c r="G3981">
        <v>7</v>
      </c>
      <c r="H3981">
        <v>0</v>
      </c>
      <c r="I3981">
        <v>6000</v>
      </c>
      <c r="J3981">
        <v>26</v>
      </c>
      <c r="K3981">
        <v>0</v>
      </c>
      <c r="L3981" s="4">
        <v>0.9459158816628932</v>
      </c>
      <c r="M3981" s="4">
        <v>5.4084118337106843E-2</v>
      </c>
      <c r="N3981">
        <v>9</v>
      </c>
    </row>
    <row r="3982" spans="1:14" x14ac:dyDescent="0.35">
      <c r="A3982" s="1">
        <v>2958</v>
      </c>
      <c r="B3982">
        <v>7</v>
      </c>
      <c r="C3982">
        <v>61</v>
      </c>
      <c r="D3982">
        <v>5</v>
      </c>
      <c r="E3982">
        <v>2</v>
      </c>
      <c r="F3982">
        <v>2</v>
      </c>
      <c r="G3982">
        <v>6</v>
      </c>
      <c r="H3982">
        <v>2</v>
      </c>
      <c r="I3982">
        <v>3000</v>
      </c>
      <c r="J3982">
        <v>8</v>
      </c>
      <c r="K3982">
        <v>0</v>
      </c>
      <c r="L3982" s="4">
        <v>0.94608155080330414</v>
      </c>
      <c r="M3982" s="4">
        <v>5.391844919669582E-2</v>
      </c>
      <c r="N3982">
        <v>9</v>
      </c>
    </row>
    <row r="3983" spans="1:14" x14ac:dyDescent="0.35">
      <c r="A3983" s="1">
        <v>941</v>
      </c>
      <c r="B3983">
        <v>3</v>
      </c>
      <c r="C3983">
        <v>56</v>
      </c>
      <c r="D3983">
        <v>3</v>
      </c>
      <c r="E3983">
        <v>0</v>
      </c>
      <c r="F3983">
        <v>1</v>
      </c>
      <c r="G3983">
        <v>5</v>
      </c>
      <c r="H3983">
        <v>2</v>
      </c>
      <c r="I3983">
        <v>2850.49</v>
      </c>
      <c r="J3983">
        <v>5</v>
      </c>
      <c r="K3983">
        <v>0</v>
      </c>
      <c r="L3983" s="4">
        <v>0.94611333238369366</v>
      </c>
      <c r="M3983" s="4">
        <v>5.3886667616306352E-2</v>
      </c>
      <c r="N3983">
        <v>9</v>
      </c>
    </row>
    <row r="3984" spans="1:14" x14ac:dyDescent="0.35">
      <c r="A3984" s="1">
        <v>37</v>
      </c>
      <c r="B3984">
        <v>6</v>
      </c>
      <c r="C3984">
        <v>63</v>
      </c>
      <c r="D3984">
        <v>3</v>
      </c>
      <c r="E3984">
        <v>1</v>
      </c>
      <c r="F3984">
        <v>4</v>
      </c>
      <c r="G3984">
        <v>9</v>
      </c>
      <c r="H3984">
        <v>0</v>
      </c>
      <c r="I3984">
        <v>6000</v>
      </c>
      <c r="J3984">
        <v>3</v>
      </c>
      <c r="K3984">
        <v>0</v>
      </c>
      <c r="L3984" s="4">
        <v>0.94622775808655724</v>
      </c>
      <c r="M3984" s="4">
        <v>5.3772241913442813E-2</v>
      </c>
      <c r="N3984">
        <v>9</v>
      </c>
    </row>
    <row r="3985" spans="1:14" x14ac:dyDescent="0.35">
      <c r="A3985" s="1">
        <v>2960</v>
      </c>
      <c r="B3985">
        <v>5</v>
      </c>
      <c r="C3985">
        <v>59</v>
      </c>
      <c r="D3985">
        <v>5</v>
      </c>
      <c r="E3985">
        <v>1</v>
      </c>
      <c r="F3985">
        <v>0</v>
      </c>
      <c r="G3985">
        <v>4</v>
      </c>
      <c r="H3985">
        <v>2</v>
      </c>
      <c r="I3985">
        <v>3000</v>
      </c>
      <c r="J3985">
        <v>8</v>
      </c>
      <c r="K3985">
        <v>0</v>
      </c>
      <c r="L3985" s="4">
        <v>0.94627412965977331</v>
      </c>
      <c r="M3985" s="4">
        <v>5.372587034022671E-2</v>
      </c>
      <c r="N3985">
        <v>9</v>
      </c>
    </row>
    <row r="3986" spans="1:14" x14ac:dyDescent="0.35">
      <c r="A3986" s="1">
        <v>4224</v>
      </c>
      <c r="B3986">
        <v>6</v>
      </c>
      <c r="C3986">
        <v>68</v>
      </c>
      <c r="D3986">
        <v>3</v>
      </c>
      <c r="E3986">
        <v>0</v>
      </c>
      <c r="F3986">
        <v>4</v>
      </c>
      <c r="G3986">
        <v>9</v>
      </c>
      <c r="H3986">
        <v>0</v>
      </c>
      <c r="I3986">
        <v>6053.35</v>
      </c>
      <c r="J3986">
        <v>6</v>
      </c>
      <c r="K3986">
        <v>0</v>
      </c>
      <c r="L3986" s="4">
        <v>0.94630157364971512</v>
      </c>
      <c r="M3986" s="4">
        <v>5.3698426350284843E-2</v>
      </c>
      <c r="N3986">
        <v>9</v>
      </c>
    </row>
    <row r="3987" spans="1:14" x14ac:dyDescent="0.35">
      <c r="A3987" s="1">
        <v>4398</v>
      </c>
      <c r="B3987">
        <v>2</v>
      </c>
      <c r="C3987">
        <v>51</v>
      </c>
      <c r="D3987">
        <v>5</v>
      </c>
      <c r="E3987">
        <v>0</v>
      </c>
      <c r="F3987">
        <v>0</v>
      </c>
      <c r="G3987">
        <v>4</v>
      </c>
      <c r="H3987">
        <v>3</v>
      </c>
      <c r="I3987">
        <v>0.01</v>
      </c>
      <c r="J3987">
        <v>10</v>
      </c>
      <c r="K3987">
        <v>0</v>
      </c>
      <c r="L3987" s="4">
        <v>0.94630256250653566</v>
      </c>
      <c r="M3987" s="4">
        <v>5.3697437493464388E-2</v>
      </c>
      <c r="N3987">
        <v>9</v>
      </c>
    </row>
    <row r="3988" spans="1:14" x14ac:dyDescent="0.35">
      <c r="A3988" s="1">
        <v>2530</v>
      </c>
      <c r="B3988">
        <v>4</v>
      </c>
      <c r="C3988">
        <v>62</v>
      </c>
      <c r="D3988">
        <v>2</v>
      </c>
      <c r="E3988">
        <v>0</v>
      </c>
      <c r="F3988">
        <v>1</v>
      </c>
      <c r="G3988">
        <v>7</v>
      </c>
      <c r="H3988">
        <v>0</v>
      </c>
      <c r="I3988">
        <v>6000</v>
      </c>
      <c r="J3988">
        <v>9</v>
      </c>
      <c r="K3988">
        <v>0</v>
      </c>
      <c r="L3988" s="4">
        <v>0.94630492546358547</v>
      </c>
      <c r="M3988" s="4">
        <v>5.3695074536414512E-2</v>
      </c>
      <c r="N3988">
        <v>9</v>
      </c>
    </row>
    <row r="3989" spans="1:14" x14ac:dyDescent="0.35">
      <c r="A3989" s="1">
        <v>2827</v>
      </c>
      <c r="B3989">
        <v>8</v>
      </c>
      <c r="C3989">
        <v>77</v>
      </c>
      <c r="D3989">
        <v>6</v>
      </c>
      <c r="E3989">
        <v>0</v>
      </c>
      <c r="F3989">
        <v>0</v>
      </c>
      <c r="G3989">
        <v>11</v>
      </c>
      <c r="H3989">
        <v>0</v>
      </c>
      <c r="I3989">
        <v>6000</v>
      </c>
      <c r="J3989">
        <v>28</v>
      </c>
      <c r="K3989">
        <v>0</v>
      </c>
      <c r="L3989" s="4">
        <v>0.94640982097771176</v>
      </c>
      <c r="M3989" s="4">
        <v>5.3590179022288201E-2</v>
      </c>
      <c r="N3989">
        <v>9</v>
      </c>
    </row>
    <row r="3990" spans="1:14" x14ac:dyDescent="0.35">
      <c r="A3990" s="1">
        <v>1406</v>
      </c>
      <c r="B3990">
        <v>4</v>
      </c>
      <c r="C3990">
        <v>62</v>
      </c>
      <c r="D3990">
        <v>1</v>
      </c>
      <c r="E3990">
        <v>0</v>
      </c>
      <c r="F3990">
        <v>3</v>
      </c>
      <c r="G3990">
        <v>3</v>
      </c>
      <c r="H3990">
        <v>0</v>
      </c>
      <c r="I3990">
        <v>12160.99</v>
      </c>
      <c r="J3990">
        <v>5</v>
      </c>
      <c r="K3990">
        <v>0</v>
      </c>
      <c r="L3990" s="4">
        <v>0.94649781104133879</v>
      </c>
      <c r="M3990" s="4">
        <v>5.3502188958661247E-2</v>
      </c>
      <c r="N3990">
        <v>9</v>
      </c>
    </row>
    <row r="3991" spans="1:14" x14ac:dyDescent="0.35">
      <c r="A3991" s="1">
        <v>3130</v>
      </c>
      <c r="B3991">
        <v>6</v>
      </c>
      <c r="C3991">
        <v>65</v>
      </c>
      <c r="D3991">
        <v>2</v>
      </c>
      <c r="E3991">
        <v>1</v>
      </c>
      <c r="F3991">
        <v>3</v>
      </c>
      <c r="G3991">
        <v>3</v>
      </c>
      <c r="H3991">
        <v>1</v>
      </c>
      <c r="I3991">
        <v>40000</v>
      </c>
      <c r="J3991">
        <v>15</v>
      </c>
      <c r="K3991">
        <v>0</v>
      </c>
      <c r="L3991" s="4">
        <v>0.946557105652297</v>
      </c>
      <c r="M3991" s="4">
        <v>5.3442894347702982E-2</v>
      </c>
      <c r="N3991">
        <v>9</v>
      </c>
    </row>
    <row r="3992" spans="1:14" x14ac:dyDescent="0.35">
      <c r="A3992" s="1">
        <v>3992</v>
      </c>
      <c r="B3992">
        <v>7</v>
      </c>
      <c r="C3992">
        <v>66</v>
      </c>
      <c r="D3992">
        <v>5</v>
      </c>
      <c r="E3992">
        <v>1</v>
      </c>
      <c r="F3992">
        <v>1</v>
      </c>
      <c r="G3992">
        <v>12</v>
      </c>
      <c r="H3992">
        <v>2</v>
      </c>
      <c r="I3992">
        <v>4600</v>
      </c>
      <c r="J3992">
        <v>6</v>
      </c>
      <c r="K3992">
        <v>0</v>
      </c>
      <c r="L3992" s="4">
        <v>0.94658418524843768</v>
      </c>
      <c r="M3992" s="4">
        <v>5.3415814751562277E-2</v>
      </c>
      <c r="N3992">
        <v>9</v>
      </c>
    </row>
    <row r="3993" spans="1:14" x14ac:dyDescent="0.35">
      <c r="A3993" s="1">
        <v>2850</v>
      </c>
      <c r="B3993">
        <v>8</v>
      </c>
      <c r="C3993">
        <v>78</v>
      </c>
      <c r="D3993">
        <v>1</v>
      </c>
      <c r="E3993">
        <v>0</v>
      </c>
      <c r="F3993">
        <v>3</v>
      </c>
      <c r="G3993">
        <v>3</v>
      </c>
      <c r="H3993">
        <v>1</v>
      </c>
      <c r="I3993">
        <v>30160.98</v>
      </c>
      <c r="J3993">
        <v>5</v>
      </c>
      <c r="K3993">
        <v>0</v>
      </c>
      <c r="L3993" s="4">
        <v>0.946645590449957</v>
      </c>
      <c r="M3993" s="4">
        <v>5.3354409550042989E-2</v>
      </c>
      <c r="N3993">
        <v>9</v>
      </c>
    </row>
    <row r="3994" spans="1:14" x14ac:dyDescent="0.35">
      <c r="A3994" s="1">
        <v>3662</v>
      </c>
      <c r="B3994">
        <v>2</v>
      </c>
      <c r="C3994">
        <v>53</v>
      </c>
      <c r="D3994">
        <v>1</v>
      </c>
      <c r="E3994">
        <v>0</v>
      </c>
      <c r="F3994">
        <v>0</v>
      </c>
      <c r="G3994">
        <v>11</v>
      </c>
      <c r="H3994">
        <v>2</v>
      </c>
      <c r="I3994">
        <v>1026.69</v>
      </c>
      <c r="J3994">
        <v>9</v>
      </c>
      <c r="K3994">
        <v>0</v>
      </c>
      <c r="L3994" s="4">
        <v>0.94676727764673863</v>
      </c>
      <c r="M3994" s="4">
        <v>5.323272235326143E-2</v>
      </c>
      <c r="N3994">
        <v>9</v>
      </c>
    </row>
    <row r="3995" spans="1:14" x14ac:dyDescent="0.35">
      <c r="A3995" s="1">
        <v>2688</v>
      </c>
      <c r="B3995">
        <v>8</v>
      </c>
      <c r="C3995">
        <v>77</v>
      </c>
      <c r="D3995">
        <v>0</v>
      </c>
      <c r="E3995">
        <v>0</v>
      </c>
      <c r="F3995">
        <v>3</v>
      </c>
      <c r="G3995">
        <v>3</v>
      </c>
      <c r="H3995">
        <v>2</v>
      </c>
      <c r="I3995">
        <v>3000</v>
      </c>
      <c r="J3995">
        <v>4</v>
      </c>
      <c r="K3995">
        <v>0</v>
      </c>
      <c r="L3995" s="4">
        <v>0.94677591549500706</v>
      </c>
      <c r="M3995" s="4">
        <v>5.3224084504992913E-2</v>
      </c>
      <c r="N3995">
        <v>9</v>
      </c>
    </row>
    <row r="3996" spans="1:14" x14ac:dyDescent="0.35">
      <c r="A3996" s="1">
        <v>3538</v>
      </c>
      <c r="B3996">
        <v>7</v>
      </c>
      <c r="C3996">
        <v>74</v>
      </c>
      <c r="D3996">
        <v>1</v>
      </c>
      <c r="E3996">
        <v>0</v>
      </c>
      <c r="F3996">
        <v>3</v>
      </c>
      <c r="G3996">
        <v>3</v>
      </c>
      <c r="H3996">
        <v>0</v>
      </c>
      <c r="I3996">
        <v>6000</v>
      </c>
      <c r="J3996">
        <v>1</v>
      </c>
      <c r="K3996">
        <v>0</v>
      </c>
      <c r="L3996" s="4">
        <v>0.9468009309293749</v>
      </c>
      <c r="M3996" s="4">
        <v>5.3199069070625077E-2</v>
      </c>
      <c r="N3996">
        <v>9</v>
      </c>
    </row>
    <row r="3997" spans="1:14" x14ac:dyDescent="0.35">
      <c r="A3997" s="1">
        <v>370</v>
      </c>
      <c r="B3997">
        <v>7</v>
      </c>
      <c r="C3997">
        <v>68</v>
      </c>
      <c r="D3997">
        <v>5</v>
      </c>
      <c r="E3997">
        <v>1</v>
      </c>
      <c r="F3997">
        <v>1</v>
      </c>
      <c r="G3997">
        <v>7</v>
      </c>
      <c r="H3997">
        <v>0</v>
      </c>
      <c r="I3997">
        <v>6000</v>
      </c>
      <c r="J3997">
        <v>2</v>
      </c>
      <c r="K3997">
        <v>0</v>
      </c>
      <c r="L3997" s="4">
        <v>0.94697527932376835</v>
      </c>
      <c r="M3997" s="4">
        <v>5.3024720676231631E-2</v>
      </c>
      <c r="N3997">
        <v>9</v>
      </c>
    </row>
    <row r="3998" spans="1:14" x14ac:dyDescent="0.35">
      <c r="A3998" s="1">
        <v>3002</v>
      </c>
      <c r="B3998">
        <v>6</v>
      </c>
      <c r="C3998">
        <v>70</v>
      </c>
      <c r="D3998">
        <v>5</v>
      </c>
      <c r="E3998">
        <v>0</v>
      </c>
      <c r="F3998">
        <v>0</v>
      </c>
      <c r="G3998">
        <v>4</v>
      </c>
      <c r="H3998">
        <v>0</v>
      </c>
      <c r="I3998">
        <v>19705.03</v>
      </c>
      <c r="J3998">
        <v>3</v>
      </c>
      <c r="K3998">
        <v>0</v>
      </c>
      <c r="L3998" s="4">
        <v>0.94699174289304533</v>
      </c>
      <c r="M3998" s="4">
        <v>5.3008257106954643E-2</v>
      </c>
      <c r="N3998">
        <v>9</v>
      </c>
    </row>
    <row r="3999" spans="1:14" x14ac:dyDescent="0.35">
      <c r="A3999" s="1">
        <v>305</v>
      </c>
      <c r="B3999">
        <v>7</v>
      </c>
      <c r="C3999">
        <v>67</v>
      </c>
      <c r="D3999">
        <v>4</v>
      </c>
      <c r="E3999">
        <v>1</v>
      </c>
      <c r="F3999">
        <v>4</v>
      </c>
      <c r="G3999">
        <v>9</v>
      </c>
      <c r="H3999">
        <v>0</v>
      </c>
      <c r="I3999">
        <v>7000</v>
      </c>
      <c r="J3999">
        <v>4</v>
      </c>
      <c r="K3999">
        <v>0</v>
      </c>
      <c r="L3999" s="4">
        <v>0.94725554943862067</v>
      </c>
      <c r="M3999" s="4">
        <v>5.2744450561379372E-2</v>
      </c>
      <c r="N3999">
        <v>9</v>
      </c>
    </row>
    <row r="4000" spans="1:14" x14ac:dyDescent="0.35">
      <c r="A4000" s="1">
        <v>2714</v>
      </c>
      <c r="B4000">
        <v>4</v>
      </c>
      <c r="C4000">
        <v>63</v>
      </c>
      <c r="D4000">
        <v>2</v>
      </c>
      <c r="E4000">
        <v>0</v>
      </c>
      <c r="F4000">
        <v>0</v>
      </c>
      <c r="G4000">
        <v>4</v>
      </c>
      <c r="H4000">
        <v>0</v>
      </c>
      <c r="I4000">
        <v>6000</v>
      </c>
      <c r="J4000">
        <v>5</v>
      </c>
      <c r="K4000">
        <v>0</v>
      </c>
      <c r="L4000" s="4">
        <v>0.94733313738640801</v>
      </c>
      <c r="M4000" s="4">
        <v>5.2666862613591998E-2</v>
      </c>
      <c r="N4000">
        <v>9</v>
      </c>
    </row>
    <row r="4001" spans="1:14" x14ac:dyDescent="0.35">
      <c r="A4001" s="1">
        <v>688</v>
      </c>
      <c r="B4001">
        <v>4</v>
      </c>
      <c r="C4001">
        <v>59</v>
      </c>
      <c r="D4001">
        <v>2</v>
      </c>
      <c r="E4001">
        <v>0</v>
      </c>
      <c r="F4001">
        <v>3</v>
      </c>
      <c r="G4001">
        <v>8</v>
      </c>
      <c r="H4001">
        <v>3</v>
      </c>
      <c r="I4001">
        <v>0.01</v>
      </c>
      <c r="J4001">
        <v>11</v>
      </c>
      <c r="K4001">
        <v>0</v>
      </c>
      <c r="L4001" s="4">
        <v>0.94735950963326843</v>
      </c>
      <c r="M4001" s="4">
        <v>5.2640490366731532E-2</v>
      </c>
      <c r="N4001">
        <v>9</v>
      </c>
    </row>
    <row r="4002" spans="1:14" x14ac:dyDescent="0.35">
      <c r="A4002" s="1">
        <v>573</v>
      </c>
      <c r="B4002">
        <v>2</v>
      </c>
      <c r="C4002">
        <v>46</v>
      </c>
      <c r="D4002">
        <v>3</v>
      </c>
      <c r="E4002">
        <v>1</v>
      </c>
      <c r="F4002">
        <v>3</v>
      </c>
      <c r="G4002">
        <v>3</v>
      </c>
      <c r="H4002">
        <v>3</v>
      </c>
      <c r="I4002">
        <v>0.01</v>
      </c>
      <c r="J4002">
        <v>8</v>
      </c>
      <c r="K4002">
        <v>0</v>
      </c>
      <c r="L4002" s="4">
        <v>0.9475268703804538</v>
      </c>
      <c r="M4002" s="4">
        <v>5.2473129619546241E-2</v>
      </c>
      <c r="N4002">
        <v>9</v>
      </c>
    </row>
    <row r="4003" spans="1:14" x14ac:dyDescent="0.35">
      <c r="A4003" s="1">
        <v>1723</v>
      </c>
      <c r="B4003">
        <v>7</v>
      </c>
      <c r="C4003">
        <v>69</v>
      </c>
      <c r="D4003">
        <v>0</v>
      </c>
      <c r="E4003">
        <v>1</v>
      </c>
      <c r="F4003">
        <v>0</v>
      </c>
      <c r="G4003">
        <v>11</v>
      </c>
      <c r="H4003">
        <v>2</v>
      </c>
      <c r="I4003">
        <v>3000</v>
      </c>
      <c r="J4003">
        <v>3</v>
      </c>
      <c r="K4003">
        <v>0</v>
      </c>
      <c r="L4003" s="4">
        <v>0.94766226253699271</v>
      </c>
      <c r="M4003" s="4">
        <v>5.2337737463007288E-2</v>
      </c>
      <c r="N4003">
        <v>10</v>
      </c>
    </row>
    <row r="4004" spans="1:14" x14ac:dyDescent="0.35">
      <c r="A4004" s="1">
        <v>3284</v>
      </c>
      <c r="B4004">
        <v>4</v>
      </c>
      <c r="C4004">
        <v>63</v>
      </c>
      <c r="D4004">
        <v>3</v>
      </c>
      <c r="E4004">
        <v>0</v>
      </c>
      <c r="F4004">
        <v>0</v>
      </c>
      <c r="G4004">
        <v>2</v>
      </c>
      <c r="H4004">
        <v>0</v>
      </c>
      <c r="I4004">
        <v>9000</v>
      </c>
      <c r="J4004">
        <v>8</v>
      </c>
      <c r="K4004">
        <v>0</v>
      </c>
      <c r="L4004" s="4">
        <v>0.94766317992668392</v>
      </c>
      <c r="M4004" s="4">
        <v>5.2336820073316068E-2</v>
      </c>
      <c r="N4004">
        <v>10</v>
      </c>
    </row>
    <row r="4005" spans="1:14" x14ac:dyDescent="0.35">
      <c r="A4005" s="1">
        <v>2199</v>
      </c>
      <c r="B4005">
        <v>6</v>
      </c>
      <c r="C4005">
        <v>71</v>
      </c>
      <c r="D4005">
        <v>0</v>
      </c>
      <c r="E4005">
        <v>0</v>
      </c>
      <c r="F4005">
        <v>3</v>
      </c>
      <c r="G4005">
        <v>3</v>
      </c>
      <c r="H4005">
        <v>1</v>
      </c>
      <c r="I4005">
        <v>27497.040000000001</v>
      </c>
      <c r="J4005">
        <v>23</v>
      </c>
      <c r="K4005">
        <v>0</v>
      </c>
      <c r="L4005" s="4">
        <v>0.94770011399481857</v>
      </c>
      <c r="M4005" s="4">
        <v>5.2299886005181387E-2</v>
      </c>
      <c r="N4005">
        <v>10</v>
      </c>
    </row>
    <row r="4006" spans="1:14" x14ac:dyDescent="0.35">
      <c r="A4006" s="1">
        <v>337</v>
      </c>
      <c r="B4006">
        <v>8</v>
      </c>
      <c r="C4006">
        <v>69</v>
      </c>
      <c r="D4006">
        <v>5</v>
      </c>
      <c r="E4006">
        <v>2</v>
      </c>
      <c r="F4006">
        <v>0</v>
      </c>
      <c r="G4006">
        <v>4</v>
      </c>
      <c r="H4006">
        <v>1</v>
      </c>
      <c r="I4006">
        <v>53015.95</v>
      </c>
      <c r="J4006">
        <v>18</v>
      </c>
      <c r="K4006">
        <v>0</v>
      </c>
      <c r="L4006" s="4">
        <v>0.94771035778582247</v>
      </c>
      <c r="M4006" s="4">
        <v>5.2289642214177548E-2</v>
      </c>
      <c r="N4006">
        <v>10</v>
      </c>
    </row>
    <row r="4007" spans="1:14" x14ac:dyDescent="0.35">
      <c r="A4007" s="1">
        <v>3928</v>
      </c>
      <c r="B4007">
        <v>9</v>
      </c>
      <c r="C4007">
        <v>72</v>
      </c>
      <c r="D4007">
        <v>3</v>
      </c>
      <c r="E4007">
        <v>2</v>
      </c>
      <c r="F4007">
        <v>1</v>
      </c>
      <c r="G4007">
        <v>7</v>
      </c>
      <c r="H4007">
        <v>1</v>
      </c>
      <c r="I4007">
        <v>20759.810000000001</v>
      </c>
      <c r="J4007">
        <v>3</v>
      </c>
      <c r="K4007">
        <v>0</v>
      </c>
      <c r="L4007" s="4">
        <v>0.947727261155763</v>
      </c>
      <c r="M4007" s="4">
        <v>5.2272738844237013E-2</v>
      </c>
      <c r="N4007">
        <v>10</v>
      </c>
    </row>
    <row r="4008" spans="1:14" x14ac:dyDescent="0.35">
      <c r="A4008" s="1">
        <v>3693</v>
      </c>
      <c r="B4008">
        <v>2</v>
      </c>
      <c r="C4008">
        <v>47</v>
      </c>
      <c r="D4008">
        <v>1</v>
      </c>
      <c r="E4008">
        <v>1</v>
      </c>
      <c r="F4008">
        <v>3</v>
      </c>
      <c r="G4008">
        <v>3</v>
      </c>
      <c r="H4008">
        <v>3</v>
      </c>
      <c r="I4008">
        <v>0.01</v>
      </c>
      <c r="J4008">
        <v>10</v>
      </c>
      <c r="K4008">
        <v>0</v>
      </c>
      <c r="L4008" s="4">
        <v>0.9477748409392277</v>
      </c>
      <c r="M4008" s="4">
        <v>5.2225159060772283E-2</v>
      </c>
      <c r="N4008">
        <v>10</v>
      </c>
    </row>
    <row r="4009" spans="1:14" x14ac:dyDescent="0.35">
      <c r="A4009" s="1">
        <v>1870</v>
      </c>
      <c r="B4009">
        <v>8</v>
      </c>
      <c r="C4009">
        <v>75</v>
      </c>
      <c r="D4009">
        <v>3</v>
      </c>
      <c r="E4009">
        <v>0</v>
      </c>
      <c r="F4009">
        <v>4</v>
      </c>
      <c r="G4009">
        <v>9</v>
      </c>
      <c r="H4009">
        <v>2</v>
      </c>
      <c r="I4009">
        <v>4000</v>
      </c>
      <c r="J4009">
        <v>2</v>
      </c>
      <c r="K4009">
        <v>0</v>
      </c>
      <c r="L4009" s="4">
        <v>0.94781834891902184</v>
      </c>
      <c r="M4009" s="4">
        <v>5.2181651080978157E-2</v>
      </c>
      <c r="N4009">
        <v>10</v>
      </c>
    </row>
    <row r="4010" spans="1:14" x14ac:dyDescent="0.35">
      <c r="A4010" s="1">
        <v>285</v>
      </c>
      <c r="B4010">
        <v>8</v>
      </c>
      <c r="C4010">
        <v>78</v>
      </c>
      <c r="D4010">
        <v>0</v>
      </c>
      <c r="E4010">
        <v>0</v>
      </c>
      <c r="F4010">
        <v>1</v>
      </c>
      <c r="G4010">
        <v>7</v>
      </c>
      <c r="H4010">
        <v>2</v>
      </c>
      <c r="I4010">
        <v>5000</v>
      </c>
      <c r="J4010">
        <v>4</v>
      </c>
      <c r="K4010">
        <v>0</v>
      </c>
      <c r="L4010" s="4">
        <v>0.94787663006086176</v>
      </c>
      <c r="M4010" s="4">
        <v>5.2123369939138263E-2</v>
      </c>
      <c r="N4010">
        <v>10</v>
      </c>
    </row>
    <row r="4011" spans="1:14" x14ac:dyDescent="0.35">
      <c r="A4011" s="1">
        <v>3018</v>
      </c>
      <c r="B4011">
        <v>7</v>
      </c>
      <c r="C4011">
        <v>71</v>
      </c>
      <c r="D4011">
        <v>1</v>
      </c>
      <c r="E4011">
        <v>1</v>
      </c>
      <c r="F4011">
        <v>0</v>
      </c>
      <c r="G4011">
        <v>2</v>
      </c>
      <c r="H4011">
        <v>0</v>
      </c>
      <c r="I4011">
        <v>6000</v>
      </c>
      <c r="J4011">
        <v>3</v>
      </c>
      <c r="K4011">
        <v>0</v>
      </c>
      <c r="L4011" s="4">
        <v>0.94787948020416091</v>
      </c>
      <c r="M4011" s="4">
        <v>5.2120519795839128E-2</v>
      </c>
      <c r="N4011">
        <v>10</v>
      </c>
    </row>
    <row r="4012" spans="1:14" x14ac:dyDescent="0.35">
      <c r="A4012" s="1">
        <v>1039</v>
      </c>
      <c r="B4012">
        <v>6</v>
      </c>
      <c r="C4012">
        <v>64</v>
      </c>
      <c r="D4012">
        <v>4</v>
      </c>
      <c r="E4012">
        <v>1</v>
      </c>
      <c r="F4012">
        <v>0</v>
      </c>
      <c r="G4012">
        <v>4</v>
      </c>
      <c r="H4012">
        <v>2</v>
      </c>
      <c r="I4012">
        <v>3000</v>
      </c>
      <c r="J4012">
        <v>7</v>
      </c>
      <c r="K4012">
        <v>1</v>
      </c>
      <c r="L4012" s="4">
        <v>0.94788459202607545</v>
      </c>
      <c r="M4012" s="4">
        <v>5.2115407973924562E-2</v>
      </c>
      <c r="N4012">
        <v>10</v>
      </c>
    </row>
    <row r="4013" spans="1:14" x14ac:dyDescent="0.35">
      <c r="A4013" s="1">
        <v>2758</v>
      </c>
      <c r="B4013">
        <v>2</v>
      </c>
      <c r="C4013">
        <v>56</v>
      </c>
      <c r="D4013">
        <v>0</v>
      </c>
      <c r="E4013">
        <v>0</v>
      </c>
      <c r="F4013">
        <v>0</v>
      </c>
      <c r="G4013">
        <v>4</v>
      </c>
      <c r="H4013">
        <v>0</v>
      </c>
      <c r="I4013">
        <v>6000</v>
      </c>
      <c r="J4013">
        <v>6</v>
      </c>
      <c r="K4013">
        <v>0</v>
      </c>
      <c r="L4013" s="4">
        <v>0.94794479234473628</v>
      </c>
      <c r="M4013" s="4">
        <v>5.2055207655263773E-2</v>
      </c>
      <c r="N4013">
        <v>10</v>
      </c>
    </row>
    <row r="4014" spans="1:14" x14ac:dyDescent="0.35">
      <c r="A4014" s="1">
        <v>951</v>
      </c>
      <c r="B4014">
        <v>7</v>
      </c>
      <c r="C4014">
        <v>68</v>
      </c>
      <c r="D4014">
        <v>5</v>
      </c>
      <c r="E4014">
        <v>1</v>
      </c>
      <c r="F4014">
        <v>1</v>
      </c>
      <c r="G4014">
        <v>12</v>
      </c>
      <c r="H4014">
        <v>0</v>
      </c>
      <c r="I4014">
        <v>9000</v>
      </c>
      <c r="J4014">
        <v>3</v>
      </c>
      <c r="K4014">
        <v>0</v>
      </c>
      <c r="L4014" s="4">
        <v>0.94803609515875609</v>
      </c>
      <c r="M4014" s="4">
        <v>5.1963904841243892E-2</v>
      </c>
      <c r="N4014">
        <v>10</v>
      </c>
    </row>
    <row r="4015" spans="1:14" x14ac:dyDescent="0.35">
      <c r="A4015" s="1">
        <v>392</v>
      </c>
      <c r="B4015">
        <v>8</v>
      </c>
      <c r="C4015">
        <v>78</v>
      </c>
      <c r="D4015">
        <v>1</v>
      </c>
      <c r="E4015">
        <v>0</v>
      </c>
      <c r="F4015">
        <v>3</v>
      </c>
      <c r="G4015">
        <v>8</v>
      </c>
      <c r="H4015">
        <v>1</v>
      </c>
      <c r="I4015">
        <v>23343.73</v>
      </c>
      <c r="J4015">
        <v>13</v>
      </c>
      <c r="K4015">
        <v>1</v>
      </c>
      <c r="L4015" s="4">
        <v>0.94804968743884011</v>
      </c>
      <c r="M4015" s="4">
        <v>5.1950312561159888E-2</v>
      </c>
      <c r="N4015">
        <v>10</v>
      </c>
    </row>
    <row r="4016" spans="1:14" x14ac:dyDescent="0.35">
      <c r="A4016" s="1">
        <v>2901</v>
      </c>
      <c r="B4016">
        <v>8</v>
      </c>
      <c r="C4016">
        <v>78</v>
      </c>
      <c r="D4016">
        <v>3</v>
      </c>
      <c r="E4016">
        <v>0</v>
      </c>
      <c r="F4016">
        <v>3</v>
      </c>
      <c r="G4016">
        <v>3</v>
      </c>
      <c r="H4016">
        <v>0</v>
      </c>
      <c r="I4016">
        <v>17920</v>
      </c>
      <c r="J4016">
        <v>5</v>
      </c>
      <c r="K4016">
        <v>1</v>
      </c>
      <c r="L4016" s="4">
        <v>0.94805784955174222</v>
      </c>
      <c r="M4016" s="4">
        <v>5.1942150448257833E-2</v>
      </c>
      <c r="N4016">
        <v>10</v>
      </c>
    </row>
    <row r="4017" spans="1:14" x14ac:dyDescent="0.35">
      <c r="A4017" s="1">
        <v>2872</v>
      </c>
      <c r="B4017">
        <v>6</v>
      </c>
      <c r="C4017">
        <v>67</v>
      </c>
      <c r="D4017">
        <v>5</v>
      </c>
      <c r="E4017">
        <v>0</v>
      </c>
      <c r="F4017">
        <v>1</v>
      </c>
      <c r="G4017">
        <v>7</v>
      </c>
      <c r="H4017">
        <v>3</v>
      </c>
      <c r="I4017">
        <v>0.01</v>
      </c>
      <c r="J4017">
        <v>8</v>
      </c>
      <c r="K4017">
        <v>0</v>
      </c>
      <c r="L4017" s="4">
        <v>0.94807204905813547</v>
      </c>
      <c r="M4017" s="4">
        <v>5.1927950941864552E-2</v>
      </c>
      <c r="N4017">
        <v>10</v>
      </c>
    </row>
    <row r="4018" spans="1:14" x14ac:dyDescent="0.35">
      <c r="A4018" s="1">
        <v>1139</v>
      </c>
      <c r="B4018">
        <v>8</v>
      </c>
      <c r="C4018">
        <v>73</v>
      </c>
      <c r="D4018">
        <v>2</v>
      </c>
      <c r="E4018">
        <v>1</v>
      </c>
      <c r="F4018">
        <v>0</v>
      </c>
      <c r="G4018">
        <v>4</v>
      </c>
      <c r="H4018">
        <v>2</v>
      </c>
      <c r="I4018">
        <v>1500</v>
      </c>
      <c r="J4018">
        <v>5</v>
      </c>
      <c r="K4018">
        <v>0</v>
      </c>
      <c r="L4018" s="4">
        <v>0.94820535231129432</v>
      </c>
      <c r="M4018" s="4">
        <v>5.179464768870571E-2</v>
      </c>
      <c r="N4018">
        <v>10</v>
      </c>
    </row>
    <row r="4019" spans="1:14" x14ac:dyDescent="0.35">
      <c r="A4019" s="1">
        <v>2240</v>
      </c>
      <c r="B4019">
        <v>8</v>
      </c>
      <c r="C4019">
        <v>74</v>
      </c>
      <c r="D4019">
        <v>1</v>
      </c>
      <c r="E4019">
        <v>1</v>
      </c>
      <c r="F4019">
        <v>3</v>
      </c>
      <c r="G4019">
        <v>3</v>
      </c>
      <c r="H4019">
        <v>0</v>
      </c>
      <c r="I4019">
        <v>19215.21</v>
      </c>
      <c r="J4019">
        <v>1</v>
      </c>
      <c r="K4019">
        <v>0</v>
      </c>
      <c r="L4019" s="4">
        <v>0.94831475295625978</v>
      </c>
      <c r="M4019" s="4">
        <v>5.1685247043740272E-2</v>
      </c>
      <c r="N4019">
        <v>10</v>
      </c>
    </row>
    <row r="4020" spans="1:14" x14ac:dyDescent="0.35">
      <c r="A4020" s="1">
        <v>1559</v>
      </c>
      <c r="B4020">
        <v>4</v>
      </c>
      <c r="C4020">
        <v>61</v>
      </c>
      <c r="D4020">
        <v>3</v>
      </c>
      <c r="E4020">
        <v>0</v>
      </c>
      <c r="F4020">
        <v>4</v>
      </c>
      <c r="G4020">
        <v>9</v>
      </c>
      <c r="H4020">
        <v>0</v>
      </c>
      <c r="I4020">
        <v>18330.490000000002</v>
      </c>
      <c r="J4020">
        <v>10</v>
      </c>
      <c r="K4020">
        <v>0</v>
      </c>
      <c r="L4020" s="4">
        <v>0.9483617329380909</v>
      </c>
      <c r="M4020" s="4">
        <v>5.1638267061909063E-2</v>
      </c>
      <c r="N4020">
        <v>10</v>
      </c>
    </row>
    <row r="4021" spans="1:14" x14ac:dyDescent="0.35">
      <c r="A4021" s="1">
        <v>3102</v>
      </c>
      <c r="B4021">
        <v>7</v>
      </c>
      <c r="C4021">
        <v>66</v>
      </c>
      <c r="D4021">
        <v>5</v>
      </c>
      <c r="E4021">
        <v>1</v>
      </c>
      <c r="F4021">
        <v>3</v>
      </c>
      <c r="G4021">
        <v>8</v>
      </c>
      <c r="H4021">
        <v>2</v>
      </c>
      <c r="I4021">
        <v>1600</v>
      </c>
      <c r="J4021">
        <v>8</v>
      </c>
      <c r="K4021">
        <v>0</v>
      </c>
      <c r="L4021" s="4">
        <v>0.94843197478102703</v>
      </c>
      <c r="M4021" s="4">
        <v>5.1568025218972947E-2</v>
      </c>
      <c r="N4021">
        <v>10</v>
      </c>
    </row>
    <row r="4022" spans="1:14" x14ac:dyDescent="0.35">
      <c r="A4022" s="1">
        <v>3092</v>
      </c>
      <c r="B4022">
        <v>7</v>
      </c>
      <c r="C4022">
        <v>75</v>
      </c>
      <c r="D4022">
        <v>4</v>
      </c>
      <c r="E4022">
        <v>0</v>
      </c>
      <c r="F4022">
        <v>0</v>
      </c>
      <c r="G4022">
        <v>4</v>
      </c>
      <c r="H4022">
        <v>0</v>
      </c>
      <c r="I4022">
        <v>12000</v>
      </c>
      <c r="J4022">
        <v>14</v>
      </c>
      <c r="K4022">
        <v>0</v>
      </c>
      <c r="L4022" s="4">
        <v>0.94843504726135752</v>
      </c>
      <c r="M4022" s="4">
        <v>5.1564952738642457E-2</v>
      </c>
      <c r="N4022">
        <v>10</v>
      </c>
    </row>
    <row r="4023" spans="1:14" x14ac:dyDescent="0.35">
      <c r="A4023" s="1">
        <v>1494</v>
      </c>
      <c r="B4023">
        <v>6</v>
      </c>
      <c r="C4023">
        <v>71</v>
      </c>
      <c r="D4023">
        <v>0</v>
      </c>
      <c r="E4023">
        <v>0</v>
      </c>
      <c r="F4023">
        <v>3</v>
      </c>
      <c r="G4023">
        <v>3</v>
      </c>
      <c r="H4023">
        <v>0</v>
      </c>
      <c r="I4023">
        <v>6000</v>
      </c>
      <c r="J4023">
        <v>4</v>
      </c>
      <c r="K4023">
        <v>0</v>
      </c>
      <c r="L4023" s="4">
        <v>0.94844065032466551</v>
      </c>
      <c r="M4023" s="4">
        <v>5.1559349675334487E-2</v>
      </c>
      <c r="N4023">
        <v>10</v>
      </c>
    </row>
    <row r="4024" spans="1:14" x14ac:dyDescent="0.35">
      <c r="A4024" s="1">
        <v>1665</v>
      </c>
      <c r="B4024">
        <v>9</v>
      </c>
      <c r="C4024">
        <v>76</v>
      </c>
      <c r="D4024">
        <v>2</v>
      </c>
      <c r="E4024">
        <v>1</v>
      </c>
      <c r="F4024">
        <v>3</v>
      </c>
      <c r="G4024">
        <v>3</v>
      </c>
      <c r="H4024">
        <v>2</v>
      </c>
      <c r="I4024">
        <v>3000</v>
      </c>
      <c r="J4024">
        <v>11</v>
      </c>
      <c r="K4024">
        <v>0</v>
      </c>
      <c r="L4024" s="4">
        <v>0.94852180092275218</v>
      </c>
      <c r="M4024" s="4">
        <v>5.1478199077247849E-2</v>
      </c>
      <c r="N4024">
        <v>10</v>
      </c>
    </row>
    <row r="4025" spans="1:14" x14ac:dyDescent="0.35">
      <c r="A4025" s="1">
        <v>184</v>
      </c>
      <c r="B4025">
        <v>8</v>
      </c>
      <c r="C4025">
        <v>68</v>
      </c>
      <c r="D4025">
        <v>2</v>
      </c>
      <c r="E4025">
        <v>2</v>
      </c>
      <c r="F4025">
        <v>3</v>
      </c>
      <c r="G4025">
        <v>8</v>
      </c>
      <c r="H4025">
        <v>0</v>
      </c>
      <c r="I4025">
        <v>8000</v>
      </c>
      <c r="J4025">
        <v>2</v>
      </c>
      <c r="K4025">
        <v>0</v>
      </c>
      <c r="L4025" s="4">
        <v>0.9485577447869763</v>
      </c>
      <c r="M4025" s="4">
        <v>5.1442255213023702E-2</v>
      </c>
      <c r="N4025">
        <v>10</v>
      </c>
    </row>
    <row r="4026" spans="1:14" x14ac:dyDescent="0.35">
      <c r="A4026" s="1">
        <v>2574</v>
      </c>
      <c r="B4026">
        <v>3</v>
      </c>
      <c r="C4026">
        <v>55</v>
      </c>
      <c r="D4026">
        <v>1</v>
      </c>
      <c r="E4026">
        <v>1</v>
      </c>
      <c r="F4026">
        <v>1</v>
      </c>
      <c r="G4026">
        <v>5</v>
      </c>
      <c r="H4026">
        <v>0</v>
      </c>
      <c r="I4026">
        <v>19000</v>
      </c>
      <c r="J4026">
        <v>20</v>
      </c>
      <c r="K4026">
        <v>0</v>
      </c>
      <c r="L4026" s="4">
        <v>0.94857597849233199</v>
      </c>
      <c r="M4026" s="4">
        <v>5.1424021507668061E-2</v>
      </c>
      <c r="N4026">
        <v>10</v>
      </c>
    </row>
    <row r="4027" spans="1:14" x14ac:dyDescent="0.35">
      <c r="A4027" s="1">
        <v>3387</v>
      </c>
      <c r="B4027">
        <v>6</v>
      </c>
      <c r="C4027">
        <v>70</v>
      </c>
      <c r="D4027">
        <v>4</v>
      </c>
      <c r="E4027">
        <v>0</v>
      </c>
      <c r="F4027">
        <v>2</v>
      </c>
      <c r="G4027">
        <v>1</v>
      </c>
      <c r="H4027">
        <v>0</v>
      </c>
      <c r="I4027">
        <v>10000</v>
      </c>
      <c r="J4027">
        <v>1</v>
      </c>
      <c r="K4027">
        <v>0</v>
      </c>
      <c r="L4027" s="4">
        <v>0.94858924740098849</v>
      </c>
      <c r="M4027" s="4">
        <v>5.1410752599011483E-2</v>
      </c>
      <c r="N4027">
        <v>10</v>
      </c>
    </row>
    <row r="4028" spans="1:14" x14ac:dyDescent="0.35">
      <c r="A4028" s="1">
        <v>3004</v>
      </c>
      <c r="B4028">
        <v>8</v>
      </c>
      <c r="C4028">
        <v>76</v>
      </c>
      <c r="D4028">
        <v>2</v>
      </c>
      <c r="E4028">
        <v>0</v>
      </c>
      <c r="F4028">
        <v>3</v>
      </c>
      <c r="G4028">
        <v>3</v>
      </c>
      <c r="H4028">
        <v>3</v>
      </c>
      <c r="I4028">
        <v>0.01</v>
      </c>
      <c r="J4028">
        <v>7</v>
      </c>
      <c r="K4028">
        <v>0</v>
      </c>
      <c r="L4028" s="4">
        <v>0.94863039824957662</v>
      </c>
      <c r="M4028" s="4">
        <v>5.1369601750423398E-2</v>
      </c>
      <c r="N4028">
        <v>10</v>
      </c>
    </row>
    <row r="4029" spans="1:14" x14ac:dyDescent="0.35">
      <c r="A4029" s="1">
        <v>4290</v>
      </c>
      <c r="B4029">
        <v>5</v>
      </c>
      <c r="C4029">
        <v>65</v>
      </c>
      <c r="D4029">
        <v>1</v>
      </c>
      <c r="E4029">
        <v>0</v>
      </c>
      <c r="F4029">
        <v>0</v>
      </c>
      <c r="G4029">
        <v>11</v>
      </c>
      <c r="H4029">
        <v>3</v>
      </c>
      <c r="I4029">
        <v>0.01</v>
      </c>
      <c r="J4029">
        <v>8</v>
      </c>
      <c r="K4029">
        <v>0</v>
      </c>
      <c r="L4029" s="4">
        <v>0.94864466472353992</v>
      </c>
      <c r="M4029" s="4">
        <v>5.1355335276460093E-2</v>
      </c>
      <c r="N4029">
        <v>10</v>
      </c>
    </row>
    <row r="4030" spans="1:14" x14ac:dyDescent="0.35">
      <c r="A4030" s="1">
        <v>3923</v>
      </c>
      <c r="B4030">
        <v>5</v>
      </c>
      <c r="C4030">
        <v>60</v>
      </c>
      <c r="D4030">
        <v>3</v>
      </c>
      <c r="E4030">
        <v>1</v>
      </c>
      <c r="F4030">
        <v>2</v>
      </c>
      <c r="G4030">
        <v>1</v>
      </c>
      <c r="H4030">
        <v>2</v>
      </c>
      <c r="I4030">
        <v>5000</v>
      </c>
      <c r="J4030">
        <v>5</v>
      </c>
      <c r="K4030">
        <v>0</v>
      </c>
      <c r="L4030" s="4">
        <v>0.94869115094898215</v>
      </c>
      <c r="M4030" s="4">
        <v>5.1308849051017881E-2</v>
      </c>
      <c r="N4030">
        <v>10</v>
      </c>
    </row>
    <row r="4031" spans="1:14" x14ac:dyDescent="0.35">
      <c r="A4031" s="1">
        <v>607</v>
      </c>
      <c r="B4031">
        <v>10</v>
      </c>
      <c r="C4031">
        <v>77</v>
      </c>
      <c r="D4031">
        <v>4</v>
      </c>
      <c r="E4031">
        <v>2</v>
      </c>
      <c r="F4031">
        <v>0</v>
      </c>
      <c r="G4031">
        <v>4</v>
      </c>
      <c r="H4031">
        <v>0</v>
      </c>
      <c r="I4031">
        <v>6000</v>
      </c>
      <c r="J4031">
        <v>1</v>
      </c>
      <c r="K4031">
        <v>0</v>
      </c>
      <c r="L4031" s="4">
        <v>0.94875309802210328</v>
      </c>
      <c r="M4031" s="4">
        <v>5.1246901977896699E-2</v>
      </c>
      <c r="N4031">
        <v>10</v>
      </c>
    </row>
    <row r="4032" spans="1:14" x14ac:dyDescent="0.35">
      <c r="A4032" s="1">
        <v>3269</v>
      </c>
      <c r="B4032">
        <v>3</v>
      </c>
      <c r="C4032">
        <v>51</v>
      </c>
      <c r="D4032">
        <v>3</v>
      </c>
      <c r="E4032">
        <v>1</v>
      </c>
      <c r="F4032">
        <v>1</v>
      </c>
      <c r="G4032">
        <v>7</v>
      </c>
      <c r="H4032">
        <v>3</v>
      </c>
      <c r="I4032">
        <v>0.01</v>
      </c>
      <c r="J4032">
        <v>5</v>
      </c>
      <c r="K4032">
        <v>0</v>
      </c>
      <c r="L4032" s="4">
        <v>0.94881025030745514</v>
      </c>
      <c r="M4032" s="4">
        <v>5.1189749692544848E-2</v>
      </c>
      <c r="N4032">
        <v>10</v>
      </c>
    </row>
    <row r="4033" spans="1:14" x14ac:dyDescent="0.35">
      <c r="A4033" s="1">
        <v>659</v>
      </c>
      <c r="B4033">
        <v>6</v>
      </c>
      <c r="C4033">
        <v>64</v>
      </c>
      <c r="D4033">
        <v>3</v>
      </c>
      <c r="E4033">
        <v>1</v>
      </c>
      <c r="F4033">
        <v>0</v>
      </c>
      <c r="G4033">
        <v>11</v>
      </c>
      <c r="H4033">
        <v>2</v>
      </c>
      <c r="I4033">
        <v>3000</v>
      </c>
      <c r="J4033">
        <v>1</v>
      </c>
      <c r="K4033">
        <v>0</v>
      </c>
      <c r="L4033" s="4">
        <v>0.94885572409888264</v>
      </c>
      <c r="M4033" s="4">
        <v>5.114427590111735E-2</v>
      </c>
      <c r="N4033">
        <v>10</v>
      </c>
    </row>
    <row r="4034" spans="1:14" x14ac:dyDescent="0.35">
      <c r="A4034" s="1">
        <v>974</v>
      </c>
      <c r="B4034">
        <v>6</v>
      </c>
      <c r="C4034">
        <v>70</v>
      </c>
      <c r="D4034">
        <v>3</v>
      </c>
      <c r="E4034">
        <v>0</v>
      </c>
      <c r="F4034">
        <v>3</v>
      </c>
      <c r="G4034">
        <v>3</v>
      </c>
      <c r="H4034">
        <v>0</v>
      </c>
      <c r="I4034">
        <v>9000.02</v>
      </c>
      <c r="J4034">
        <v>8</v>
      </c>
      <c r="K4034">
        <v>0</v>
      </c>
      <c r="L4034" s="4">
        <v>0.94886733489720398</v>
      </c>
      <c r="M4034" s="4">
        <v>5.1132665102795967E-2</v>
      </c>
      <c r="N4034">
        <v>10</v>
      </c>
    </row>
    <row r="4035" spans="1:14" x14ac:dyDescent="0.35">
      <c r="A4035" s="1">
        <v>1452</v>
      </c>
      <c r="B4035">
        <v>9</v>
      </c>
      <c r="C4035">
        <v>74</v>
      </c>
      <c r="D4035">
        <v>2</v>
      </c>
      <c r="E4035">
        <v>2</v>
      </c>
      <c r="F4035">
        <v>0</v>
      </c>
      <c r="G4035">
        <v>4</v>
      </c>
      <c r="H4035">
        <v>0</v>
      </c>
      <c r="I4035">
        <v>6107.64</v>
      </c>
      <c r="J4035">
        <v>7</v>
      </c>
      <c r="K4035">
        <v>0</v>
      </c>
      <c r="L4035" s="4">
        <v>0.94888453500748637</v>
      </c>
      <c r="M4035" s="4">
        <v>5.111546499251364E-2</v>
      </c>
      <c r="N4035">
        <v>10</v>
      </c>
    </row>
    <row r="4036" spans="1:14" x14ac:dyDescent="0.35">
      <c r="A4036" s="1">
        <v>4180</v>
      </c>
      <c r="B4036">
        <v>1</v>
      </c>
      <c r="C4036">
        <v>45</v>
      </c>
      <c r="D4036">
        <v>2</v>
      </c>
      <c r="E4036">
        <v>1</v>
      </c>
      <c r="F4036">
        <v>0</v>
      </c>
      <c r="G4036">
        <v>4</v>
      </c>
      <c r="H4036">
        <v>2</v>
      </c>
      <c r="I4036">
        <v>3000</v>
      </c>
      <c r="J4036">
        <v>8</v>
      </c>
      <c r="K4036">
        <v>0</v>
      </c>
      <c r="L4036" s="4">
        <v>0.94893128961607098</v>
      </c>
      <c r="M4036" s="4">
        <v>5.1068710383929038E-2</v>
      </c>
      <c r="N4036">
        <v>10</v>
      </c>
    </row>
    <row r="4037" spans="1:14" x14ac:dyDescent="0.35">
      <c r="A4037" s="1">
        <v>4013</v>
      </c>
      <c r="B4037">
        <v>4</v>
      </c>
      <c r="C4037">
        <v>51</v>
      </c>
      <c r="D4037">
        <v>3</v>
      </c>
      <c r="E4037">
        <v>2</v>
      </c>
      <c r="F4037">
        <v>0</v>
      </c>
      <c r="G4037">
        <v>4</v>
      </c>
      <c r="H4037">
        <v>3</v>
      </c>
      <c r="I4037">
        <v>0.01</v>
      </c>
      <c r="J4037">
        <v>7</v>
      </c>
      <c r="K4037">
        <v>0</v>
      </c>
      <c r="L4037" s="4">
        <v>0.94901849462308541</v>
      </c>
      <c r="M4037" s="4">
        <v>5.0981505376914552E-2</v>
      </c>
      <c r="N4037">
        <v>10</v>
      </c>
    </row>
    <row r="4038" spans="1:14" x14ac:dyDescent="0.35">
      <c r="A4038" s="1">
        <v>4084</v>
      </c>
      <c r="B4038">
        <v>7</v>
      </c>
      <c r="C4038">
        <v>70</v>
      </c>
      <c r="D4038">
        <v>0</v>
      </c>
      <c r="E4038">
        <v>1</v>
      </c>
      <c r="F4038">
        <v>3</v>
      </c>
      <c r="G4038">
        <v>8</v>
      </c>
      <c r="H4038">
        <v>0</v>
      </c>
      <c r="I4038">
        <v>9580</v>
      </c>
      <c r="J4038">
        <v>4</v>
      </c>
      <c r="K4038">
        <v>0</v>
      </c>
      <c r="L4038" s="4">
        <v>0.94908544983616605</v>
      </c>
      <c r="M4038" s="4">
        <v>5.0914550163833949E-2</v>
      </c>
      <c r="N4038">
        <v>10</v>
      </c>
    </row>
    <row r="4039" spans="1:14" x14ac:dyDescent="0.35">
      <c r="A4039" s="1">
        <v>245</v>
      </c>
      <c r="B4039">
        <v>4</v>
      </c>
      <c r="C4039">
        <v>61</v>
      </c>
      <c r="D4039">
        <v>1</v>
      </c>
      <c r="E4039">
        <v>0</v>
      </c>
      <c r="F4039">
        <v>3</v>
      </c>
      <c r="G4039">
        <v>3</v>
      </c>
      <c r="H4039">
        <v>2</v>
      </c>
      <c r="I4039">
        <v>100</v>
      </c>
      <c r="J4039">
        <v>1</v>
      </c>
      <c r="K4039">
        <v>0</v>
      </c>
      <c r="L4039" s="4">
        <v>0.94909117782952002</v>
      </c>
      <c r="M4039" s="4">
        <v>5.0908822170479977E-2</v>
      </c>
      <c r="N4039">
        <v>10</v>
      </c>
    </row>
    <row r="4040" spans="1:14" x14ac:dyDescent="0.35">
      <c r="A4040" s="1">
        <v>2605</v>
      </c>
      <c r="B4040">
        <v>8</v>
      </c>
      <c r="C4040">
        <v>73</v>
      </c>
      <c r="D4040">
        <v>2</v>
      </c>
      <c r="E4040">
        <v>1</v>
      </c>
      <c r="F4040">
        <v>0</v>
      </c>
      <c r="G4040">
        <v>10</v>
      </c>
      <c r="H4040">
        <v>2</v>
      </c>
      <c r="I4040">
        <v>1000</v>
      </c>
      <c r="J4040">
        <v>12</v>
      </c>
      <c r="K4040">
        <v>0</v>
      </c>
      <c r="L4040" s="4">
        <v>0.94940732885925838</v>
      </c>
      <c r="M4040" s="4">
        <v>5.0592671140741653E-2</v>
      </c>
      <c r="N4040">
        <v>10</v>
      </c>
    </row>
    <row r="4041" spans="1:14" x14ac:dyDescent="0.35">
      <c r="A4041" s="1">
        <v>2451</v>
      </c>
      <c r="B4041">
        <v>4</v>
      </c>
      <c r="C4041">
        <v>56</v>
      </c>
      <c r="D4041">
        <v>2</v>
      </c>
      <c r="E4041">
        <v>1</v>
      </c>
      <c r="F4041">
        <v>3</v>
      </c>
      <c r="G4041">
        <v>3</v>
      </c>
      <c r="H4041">
        <v>2</v>
      </c>
      <c r="I4041">
        <v>1000</v>
      </c>
      <c r="J4041">
        <v>9</v>
      </c>
      <c r="K4041">
        <v>0</v>
      </c>
      <c r="L4041" s="4">
        <v>0.9495328584761249</v>
      </c>
      <c r="M4041" s="4">
        <v>5.0467141523875117E-2</v>
      </c>
      <c r="N4041">
        <v>10</v>
      </c>
    </row>
    <row r="4042" spans="1:14" x14ac:dyDescent="0.35">
      <c r="A4042" s="1">
        <v>1602</v>
      </c>
      <c r="B4042">
        <v>4</v>
      </c>
      <c r="C4042">
        <v>51</v>
      </c>
      <c r="D4042">
        <v>2</v>
      </c>
      <c r="E4042">
        <v>2</v>
      </c>
      <c r="F4042">
        <v>3</v>
      </c>
      <c r="G4042">
        <v>3</v>
      </c>
      <c r="H4042">
        <v>2</v>
      </c>
      <c r="I4042">
        <v>3287.08</v>
      </c>
      <c r="J4042">
        <v>1</v>
      </c>
      <c r="K4042">
        <v>0</v>
      </c>
      <c r="L4042" s="4">
        <v>0.94959045647230478</v>
      </c>
      <c r="M4042" s="4">
        <v>5.0409543527695173E-2</v>
      </c>
      <c r="N4042">
        <v>10</v>
      </c>
    </row>
    <row r="4043" spans="1:14" x14ac:dyDescent="0.35">
      <c r="A4043" s="1">
        <v>2540</v>
      </c>
      <c r="B4043">
        <v>5</v>
      </c>
      <c r="C4043">
        <v>58</v>
      </c>
      <c r="D4043">
        <v>5</v>
      </c>
      <c r="E4043">
        <v>1</v>
      </c>
      <c r="F4043">
        <v>3</v>
      </c>
      <c r="G4043">
        <v>3</v>
      </c>
      <c r="H4043">
        <v>3</v>
      </c>
      <c r="I4043">
        <v>0.01</v>
      </c>
      <c r="J4043">
        <v>8</v>
      </c>
      <c r="K4043">
        <v>0</v>
      </c>
      <c r="L4043" s="4">
        <v>0.94964994851228546</v>
      </c>
      <c r="M4043" s="4">
        <v>5.035005148771457E-2</v>
      </c>
      <c r="N4043">
        <v>10</v>
      </c>
    </row>
    <row r="4044" spans="1:14" x14ac:dyDescent="0.35">
      <c r="A4044" s="1">
        <v>1682</v>
      </c>
      <c r="B4044">
        <v>5</v>
      </c>
      <c r="C4044">
        <v>67</v>
      </c>
      <c r="D4044">
        <v>1</v>
      </c>
      <c r="E4044">
        <v>0</v>
      </c>
      <c r="F4044">
        <v>3</v>
      </c>
      <c r="G4044">
        <v>3</v>
      </c>
      <c r="H4044">
        <v>0</v>
      </c>
      <c r="I4044">
        <v>6053.35</v>
      </c>
      <c r="J4044">
        <v>7</v>
      </c>
      <c r="K4044">
        <v>0</v>
      </c>
      <c r="L4044" s="4">
        <v>0.94966787224668869</v>
      </c>
      <c r="M4044" s="4">
        <v>5.0332127753311313E-2</v>
      </c>
      <c r="N4044">
        <v>10</v>
      </c>
    </row>
    <row r="4045" spans="1:14" x14ac:dyDescent="0.35">
      <c r="A4045" s="1">
        <v>118</v>
      </c>
      <c r="B4045">
        <v>3</v>
      </c>
      <c r="C4045">
        <v>54</v>
      </c>
      <c r="D4045">
        <v>1</v>
      </c>
      <c r="E4045">
        <v>1</v>
      </c>
      <c r="F4045">
        <v>3</v>
      </c>
      <c r="G4045">
        <v>3</v>
      </c>
      <c r="H4045">
        <v>0</v>
      </c>
      <c r="I4045">
        <v>6052.66</v>
      </c>
      <c r="J4045">
        <v>7</v>
      </c>
      <c r="K4045">
        <v>0</v>
      </c>
      <c r="L4045" s="4">
        <v>0.94969901615548835</v>
      </c>
      <c r="M4045" s="4">
        <v>5.0300983844511607E-2</v>
      </c>
      <c r="N4045">
        <v>10</v>
      </c>
    </row>
    <row r="4046" spans="1:14" x14ac:dyDescent="0.35">
      <c r="A4046" s="1">
        <v>1224</v>
      </c>
      <c r="B4046">
        <v>3</v>
      </c>
      <c r="C4046">
        <v>58</v>
      </c>
      <c r="D4046">
        <v>3</v>
      </c>
      <c r="E4046">
        <v>0</v>
      </c>
      <c r="F4046">
        <v>0</v>
      </c>
      <c r="G4046">
        <v>4</v>
      </c>
      <c r="H4046">
        <v>2</v>
      </c>
      <c r="I4046">
        <v>1000</v>
      </c>
      <c r="J4046">
        <v>18</v>
      </c>
      <c r="K4046">
        <v>0</v>
      </c>
      <c r="L4046" s="4">
        <v>0.9497022474132063</v>
      </c>
      <c r="M4046" s="4">
        <v>5.0297752586793677E-2</v>
      </c>
      <c r="N4046">
        <v>10</v>
      </c>
    </row>
    <row r="4047" spans="1:14" x14ac:dyDescent="0.35">
      <c r="A4047" s="1">
        <v>3620</v>
      </c>
      <c r="B4047">
        <v>6</v>
      </c>
      <c r="C4047">
        <v>67</v>
      </c>
      <c r="D4047">
        <v>3</v>
      </c>
      <c r="E4047">
        <v>1</v>
      </c>
      <c r="F4047">
        <v>0</v>
      </c>
      <c r="G4047">
        <v>4</v>
      </c>
      <c r="H4047">
        <v>0</v>
      </c>
      <c r="I4047">
        <v>16486.990000000002</v>
      </c>
      <c r="J4047">
        <v>12</v>
      </c>
      <c r="K4047">
        <v>0</v>
      </c>
      <c r="L4047" s="4">
        <v>0.94973202159601278</v>
      </c>
      <c r="M4047" s="4">
        <v>5.0267978403987272E-2</v>
      </c>
      <c r="N4047">
        <v>10</v>
      </c>
    </row>
    <row r="4048" spans="1:14" x14ac:dyDescent="0.35">
      <c r="A4048" s="1">
        <v>4004</v>
      </c>
      <c r="B4048">
        <v>9</v>
      </c>
      <c r="C4048">
        <v>74</v>
      </c>
      <c r="D4048">
        <v>5</v>
      </c>
      <c r="E4048">
        <v>1</v>
      </c>
      <c r="F4048">
        <v>4</v>
      </c>
      <c r="G4048">
        <v>9</v>
      </c>
      <c r="H4048">
        <v>2</v>
      </c>
      <c r="I4048">
        <v>300.01</v>
      </c>
      <c r="J4048">
        <v>10</v>
      </c>
      <c r="K4048">
        <v>0</v>
      </c>
      <c r="L4048" s="4">
        <v>0.9497554961195066</v>
      </c>
      <c r="M4048" s="4">
        <v>5.0244503880493362E-2</v>
      </c>
      <c r="N4048">
        <v>10</v>
      </c>
    </row>
    <row r="4049" spans="1:14" x14ac:dyDescent="0.35">
      <c r="A4049" s="1">
        <v>466</v>
      </c>
      <c r="B4049">
        <v>3</v>
      </c>
      <c r="C4049">
        <v>59</v>
      </c>
      <c r="D4049">
        <v>4</v>
      </c>
      <c r="E4049">
        <v>0</v>
      </c>
      <c r="F4049">
        <v>0</v>
      </c>
      <c r="G4049">
        <v>2</v>
      </c>
      <c r="H4049">
        <v>0</v>
      </c>
      <c r="I4049">
        <v>6000</v>
      </c>
      <c r="J4049">
        <v>1</v>
      </c>
      <c r="K4049">
        <v>0</v>
      </c>
      <c r="L4049" s="4">
        <v>0.94976260351353525</v>
      </c>
      <c r="M4049" s="4">
        <v>5.0237396486464768E-2</v>
      </c>
      <c r="N4049">
        <v>10</v>
      </c>
    </row>
    <row r="4050" spans="1:14" x14ac:dyDescent="0.35">
      <c r="A4050" s="1">
        <v>1338</v>
      </c>
      <c r="B4050">
        <v>9</v>
      </c>
      <c r="C4050">
        <v>78</v>
      </c>
      <c r="D4050">
        <v>1</v>
      </c>
      <c r="E4050">
        <v>1</v>
      </c>
      <c r="F4050">
        <v>3</v>
      </c>
      <c r="G4050">
        <v>3</v>
      </c>
      <c r="H4050">
        <v>1</v>
      </c>
      <c r="I4050">
        <v>23999.99</v>
      </c>
      <c r="J4050">
        <v>3</v>
      </c>
      <c r="K4050">
        <v>0</v>
      </c>
      <c r="L4050" s="4">
        <v>0.94979941526882838</v>
      </c>
      <c r="M4050" s="4">
        <v>5.0200584731171637E-2</v>
      </c>
      <c r="N4050">
        <v>10</v>
      </c>
    </row>
    <row r="4051" spans="1:14" x14ac:dyDescent="0.35">
      <c r="A4051" s="1">
        <v>2096</v>
      </c>
      <c r="B4051">
        <v>6</v>
      </c>
      <c r="C4051">
        <v>70</v>
      </c>
      <c r="D4051">
        <v>5</v>
      </c>
      <c r="E4051">
        <v>0</v>
      </c>
      <c r="F4051">
        <v>2</v>
      </c>
      <c r="G4051">
        <v>1</v>
      </c>
      <c r="H4051">
        <v>0</v>
      </c>
      <c r="I4051">
        <v>6053.35</v>
      </c>
      <c r="J4051">
        <v>5</v>
      </c>
      <c r="K4051">
        <v>0</v>
      </c>
      <c r="L4051" s="4">
        <v>0.94991494424291045</v>
      </c>
      <c r="M4051" s="4">
        <v>5.0085055757089512E-2</v>
      </c>
      <c r="N4051">
        <v>10</v>
      </c>
    </row>
    <row r="4052" spans="1:14" x14ac:dyDescent="0.35">
      <c r="A4052" s="1">
        <v>2216</v>
      </c>
      <c r="B4052">
        <v>7</v>
      </c>
      <c r="C4052">
        <v>69</v>
      </c>
      <c r="D4052">
        <v>1</v>
      </c>
      <c r="E4052">
        <v>1</v>
      </c>
      <c r="F4052">
        <v>2</v>
      </c>
      <c r="G4052">
        <v>6</v>
      </c>
      <c r="H4052">
        <v>2</v>
      </c>
      <c r="I4052">
        <v>800</v>
      </c>
      <c r="J4052">
        <v>12</v>
      </c>
      <c r="K4052">
        <v>0</v>
      </c>
      <c r="L4052" s="4">
        <v>0.9499774484160779</v>
      </c>
      <c r="M4052" s="4">
        <v>5.002255158392211E-2</v>
      </c>
      <c r="N4052">
        <v>10</v>
      </c>
    </row>
    <row r="4053" spans="1:14" x14ac:dyDescent="0.35">
      <c r="A4053" s="1">
        <v>2003</v>
      </c>
      <c r="B4053">
        <v>6</v>
      </c>
      <c r="C4053">
        <v>71</v>
      </c>
      <c r="D4053">
        <v>3</v>
      </c>
      <c r="E4053">
        <v>0</v>
      </c>
      <c r="F4053">
        <v>1</v>
      </c>
      <c r="G4053">
        <v>5</v>
      </c>
      <c r="H4053">
        <v>0</v>
      </c>
      <c r="I4053">
        <v>8000</v>
      </c>
      <c r="J4053">
        <v>2</v>
      </c>
      <c r="K4053">
        <v>0</v>
      </c>
      <c r="L4053" s="4">
        <v>0.9500014827991119</v>
      </c>
      <c r="M4053" s="4">
        <v>4.9998517200888083E-2</v>
      </c>
      <c r="N4053">
        <v>10</v>
      </c>
    </row>
    <row r="4054" spans="1:14" x14ac:dyDescent="0.35">
      <c r="A4054" s="1">
        <v>3837</v>
      </c>
      <c r="B4054">
        <v>7</v>
      </c>
      <c r="C4054">
        <v>74</v>
      </c>
      <c r="D4054">
        <v>3</v>
      </c>
      <c r="E4054">
        <v>0</v>
      </c>
      <c r="F4054">
        <v>0</v>
      </c>
      <c r="G4054">
        <v>4</v>
      </c>
      <c r="H4054">
        <v>2</v>
      </c>
      <c r="I4054">
        <v>2000</v>
      </c>
      <c r="J4054">
        <v>2</v>
      </c>
      <c r="K4054">
        <v>0</v>
      </c>
      <c r="L4054" s="4">
        <v>0.95002905743544697</v>
      </c>
      <c r="M4054" s="4">
        <v>4.9970942564553048E-2</v>
      </c>
      <c r="N4054">
        <v>10</v>
      </c>
    </row>
    <row r="4055" spans="1:14" x14ac:dyDescent="0.35">
      <c r="A4055" s="1">
        <v>4136</v>
      </c>
      <c r="B4055">
        <v>5</v>
      </c>
      <c r="C4055">
        <v>55</v>
      </c>
      <c r="D4055">
        <v>3</v>
      </c>
      <c r="E4055">
        <v>2</v>
      </c>
      <c r="F4055">
        <v>3</v>
      </c>
      <c r="G4055">
        <v>3</v>
      </c>
      <c r="H4055">
        <v>2</v>
      </c>
      <c r="I4055">
        <v>3000.01</v>
      </c>
      <c r="J4055">
        <v>11</v>
      </c>
      <c r="K4055">
        <v>0</v>
      </c>
      <c r="L4055" s="4">
        <v>0.95010932516375934</v>
      </c>
      <c r="M4055" s="4">
        <v>4.9890674836240601E-2</v>
      </c>
      <c r="N4055">
        <v>10</v>
      </c>
    </row>
    <row r="4056" spans="1:14" x14ac:dyDescent="0.35">
      <c r="A4056" s="1">
        <v>2821</v>
      </c>
      <c r="B4056">
        <v>6</v>
      </c>
      <c r="C4056">
        <v>59</v>
      </c>
      <c r="D4056">
        <v>3</v>
      </c>
      <c r="E4056">
        <v>2</v>
      </c>
      <c r="F4056">
        <v>3</v>
      </c>
      <c r="G4056">
        <v>3</v>
      </c>
      <c r="H4056">
        <v>2</v>
      </c>
      <c r="I4056">
        <v>5000</v>
      </c>
      <c r="J4056">
        <v>6</v>
      </c>
      <c r="K4056">
        <v>0</v>
      </c>
      <c r="L4056" s="4">
        <v>0.95011790860611223</v>
      </c>
      <c r="M4056" s="4">
        <v>4.9882091393887718E-2</v>
      </c>
      <c r="N4056">
        <v>10</v>
      </c>
    </row>
    <row r="4057" spans="1:14" x14ac:dyDescent="0.35">
      <c r="A4057" s="1">
        <v>1028</v>
      </c>
      <c r="B4057">
        <v>8</v>
      </c>
      <c r="C4057">
        <v>79</v>
      </c>
      <c r="D4057">
        <v>1</v>
      </c>
      <c r="E4057">
        <v>0</v>
      </c>
      <c r="F4057">
        <v>0</v>
      </c>
      <c r="G4057">
        <v>11</v>
      </c>
      <c r="H4057">
        <v>2</v>
      </c>
      <c r="I4057">
        <v>380</v>
      </c>
      <c r="J4057">
        <v>36</v>
      </c>
      <c r="K4057">
        <v>0</v>
      </c>
      <c r="L4057" s="4">
        <v>0.95011876631033687</v>
      </c>
      <c r="M4057" s="4">
        <v>4.9881233689663122E-2</v>
      </c>
      <c r="N4057">
        <v>10</v>
      </c>
    </row>
    <row r="4058" spans="1:14" x14ac:dyDescent="0.35">
      <c r="A4058" s="1">
        <v>3836</v>
      </c>
      <c r="B4058">
        <v>9</v>
      </c>
      <c r="C4058">
        <v>73</v>
      </c>
      <c r="D4058">
        <v>2</v>
      </c>
      <c r="E4058">
        <v>2</v>
      </c>
      <c r="F4058">
        <v>3</v>
      </c>
      <c r="G4058">
        <v>3</v>
      </c>
      <c r="H4058">
        <v>0</v>
      </c>
      <c r="I4058">
        <v>6000</v>
      </c>
      <c r="J4058">
        <v>2</v>
      </c>
      <c r="K4058">
        <v>0</v>
      </c>
      <c r="L4058" s="4">
        <v>0.9501409266632711</v>
      </c>
      <c r="M4058" s="4">
        <v>4.985907333672894E-2</v>
      </c>
      <c r="N4058">
        <v>10</v>
      </c>
    </row>
    <row r="4059" spans="1:14" x14ac:dyDescent="0.35">
      <c r="A4059" s="1">
        <v>547</v>
      </c>
      <c r="B4059">
        <v>7</v>
      </c>
      <c r="C4059">
        <v>70</v>
      </c>
      <c r="D4059">
        <v>1</v>
      </c>
      <c r="E4059">
        <v>1</v>
      </c>
      <c r="F4059">
        <v>3</v>
      </c>
      <c r="G4059">
        <v>8</v>
      </c>
      <c r="H4059">
        <v>0</v>
      </c>
      <c r="I4059">
        <v>10000</v>
      </c>
      <c r="J4059">
        <v>5</v>
      </c>
      <c r="K4059">
        <v>0</v>
      </c>
      <c r="L4059" s="4">
        <v>0.95024887203707198</v>
      </c>
      <c r="M4059" s="4">
        <v>4.9751127962928007E-2</v>
      </c>
      <c r="N4059">
        <v>10</v>
      </c>
    </row>
    <row r="4060" spans="1:14" x14ac:dyDescent="0.35">
      <c r="A4060" s="1">
        <v>1308</v>
      </c>
      <c r="B4060">
        <v>7</v>
      </c>
      <c r="C4060">
        <v>66</v>
      </c>
      <c r="D4060">
        <v>1</v>
      </c>
      <c r="E4060">
        <v>2</v>
      </c>
      <c r="F4060">
        <v>1</v>
      </c>
      <c r="G4060">
        <v>7</v>
      </c>
      <c r="H4060">
        <v>0</v>
      </c>
      <c r="I4060">
        <v>7000</v>
      </c>
      <c r="J4060">
        <v>2</v>
      </c>
      <c r="K4060">
        <v>0</v>
      </c>
      <c r="L4060" s="4">
        <v>0.95030230489251433</v>
      </c>
      <c r="M4060" s="4">
        <v>4.9697695107485659E-2</v>
      </c>
      <c r="N4060">
        <v>10</v>
      </c>
    </row>
    <row r="4061" spans="1:14" x14ac:dyDescent="0.35">
      <c r="A4061" s="1">
        <v>4150</v>
      </c>
      <c r="B4061">
        <v>7</v>
      </c>
      <c r="C4061">
        <v>75</v>
      </c>
      <c r="D4061">
        <v>1</v>
      </c>
      <c r="E4061">
        <v>0</v>
      </c>
      <c r="F4061">
        <v>0</v>
      </c>
      <c r="G4061">
        <v>4</v>
      </c>
      <c r="H4061">
        <v>2</v>
      </c>
      <c r="I4061">
        <v>1020</v>
      </c>
      <c r="J4061">
        <v>0</v>
      </c>
      <c r="K4061">
        <v>0</v>
      </c>
      <c r="L4061" s="4">
        <v>0.95058242189131181</v>
      </c>
      <c r="M4061" s="4">
        <v>4.9417578108688222E-2</v>
      </c>
      <c r="N4061">
        <v>10</v>
      </c>
    </row>
    <row r="4062" spans="1:14" x14ac:dyDescent="0.35">
      <c r="A4062" s="1">
        <v>1014</v>
      </c>
      <c r="B4062">
        <v>4</v>
      </c>
      <c r="C4062">
        <v>60</v>
      </c>
      <c r="D4062">
        <v>5</v>
      </c>
      <c r="E4062">
        <v>0</v>
      </c>
      <c r="F4062">
        <v>3</v>
      </c>
      <c r="G4062">
        <v>3</v>
      </c>
      <c r="H4062">
        <v>2</v>
      </c>
      <c r="I4062">
        <v>1000</v>
      </c>
      <c r="J4062">
        <v>9</v>
      </c>
      <c r="K4062">
        <v>0</v>
      </c>
      <c r="L4062" s="4">
        <v>0.95067655286935027</v>
      </c>
      <c r="M4062" s="4">
        <v>4.9323447130649747E-2</v>
      </c>
      <c r="N4062">
        <v>10</v>
      </c>
    </row>
    <row r="4063" spans="1:14" x14ac:dyDescent="0.35">
      <c r="A4063" s="1">
        <v>768</v>
      </c>
      <c r="B4063">
        <v>7</v>
      </c>
      <c r="C4063">
        <v>70</v>
      </c>
      <c r="D4063">
        <v>2</v>
      </c>
      <c r="E4063">
        <v>1</v>
      </c>
      <c r="F4063">
        <v>2</v>
      </c>
      <c r="G4063">
        <v>6</v>
      </c>
      <c r="H4063">
        <v>1</v>
      </c>
      <c r="I4063">
        <v>21070.41</v>
      </c>
      <c r="J4063">
        <v>8</v>
      </c>
      <c r="K4063">
        <v>0</v>
      </c>
      <c r="L4063" s="4">
        <v>0.9506828541032013</v>
      </c>
      <c r="M4063" s="4">
        <v>4.9317145896798739E-2</v>
      </c>
      <c r="N4063">
        <v>10</v>
      </c>
    </row>
    <row r="4064" spans="1:14" x14ac:dyDescent="0.35">
      <c r="A4064" s="1">
        <v>3498</v>
      </c>
      <c r="B4064">
        <v>5</v>
      </c>
      <c r="C4064">
        <v>64</v>
      </c>
      <c r="D4064">
        <v>5</v>
      </c>
      <c r="E4064">
        <v>0</v>
      </c>
      <c r="F4064">
        <v>1</v>
      </c>
      <c r="G4064">
        <v>5</v>
      </c>
      <c r="H4064">
        <v>3</v>
      </c>
      <c r="I4064">
        <v>0.01</v>
      </c>
      <c r="J4064">
        <v>5</v>
      </c>
      <c r="K4064">
        <v>0</v>
      </c>
      <c r="L4064" s="4">
        <v>0.95076419217427166</v>
      </c>
      <c r="M4064" s="4">
        <v>4.9235807825728332E-2</v>
      </c>
      <c r="N4064">
        <v>10</v>
      </c>
    </row>
    <row r="4065" spans="1:14" x14ac:dyDescent="0.35">
      <c r="A4065" s="1">
        <v>26</v>
      </c>
      <c r="B4065">
        <v>7</v>
      </c>
      <c r="C4065">
        <v>76</v>
      </c>
      <c r="D4065">
        <v>3</v>
      </c>
      <c r="E4065">
        <v>0</v>
      </c>
      <c r="F4065">
        <v>1</v>
      </c>
      <c r="G4065">
        <v>5</v>
      </c>
      <c r="H4065">
        <v>0</v>
      </c>
      <c r="I4065">
        <v>13500</v>
      </c>
      <c r="J4065">
        <v>26</v>
      </c>
      <c r="K4065">
        <v>0</v>
      </c>
      <c r="L4065" s="4">
        <v>0.95082378955206404</v>
      </c>
      <c r="M4065" s="4">
        <v>4.9176210447935922E-2</v>
      </c>
      <c r="N4065">
        <v>10</v>
      </c>
    </row>
    <row r="4066" spans="1:14" x14ac:dyDescent="0.35">
      <c r="A4066" s="1">
        <v>4080</v>
      </c>
      <c r="B4066">
        <v>5</v>
      </c>
      <c r="C4066">
        <v>57</v>
      </c>
      <c r="D4066">
        <v>2</v>
      </c>
      <c r="E4066">
        <v>2</v>
      </c>
      <c r="F4066">
        <v>3</v>
      </c>
      <c r="G4066">
        <v>8</v>
      </c>
      <c r="H4066">
        <v>0</v>
      </c>
      <c r="I4066">
        <v>18053.349999999999</v>
      </c>
      <c r="J4066">
        <v>6</v>
      </c>
      <c r="K4066">
        <v>0</v>
      </c>
      <c r="L4066" s="4">
        <v>0.95084548821767534</v>
      </c>
      <c r="M4066" s="4">
        <v>4.915451178232471E-2</v>
      </c>
      <c r="N4066">
        <v>10</v>
      </c>
    </row>
    <row r="4067" spans="1:14" x14ac:dyDescent="0.35">
      <c r="A4067" s="1">
        <v>505</v>
      </c>
      <c r="B4067">
        <v>7</v>
      </c>
      <c r="C4067">
        <v>74</v>
      </c>
      <c r="D4067">
        <v>1</v>
      </c>
      <c r="E4067">
        <v>0</v>
      </c>
      <c r="F4067">
        <v>3</v>
      </c>
      <c r="G4067">
        <v>8</v>
      </c>
      <c r="H4067">
        <v>2</v>
      </c>
      <c r="I4067">
        <v>2500</v>
      </c>
      <c r="J4067">
        <v>30</v>
      </c>
      <c r="K4067">
        <v>0</v>
      </c>
      <c r="L4067" s="4">
        <v>0.95086920824724963</v>
      </c>
      <c r="M4067" s="4">
        <v>4.9130791752750383E-2</v>
      </c>
      <c r="N4067">
        <v>10</v>
      </c>
    </row>
    <row r="4068" spans="1:14" x14ac:dyDescent="0.35">
      <c r="A4068" s="1">
        <v>4259</v>
      </c>
      <c r="B4068">
        <v>7</v>
      </c>
      <c r="C4068">
        <v>68</v>
      </c>
      <c r="D4068">
        <v>3</v>
      </c>
      <c r="E4068">
        <v>1</v>
      </c>
      <c r="F4068">
        <v>1</v>
      </c>
      <c r="G4068">
        <v>7</v>
      </c>
      <c r="H4068">
        <v>3</v>
      </c>
      <c r="I4068">
        <v>0.01</v>
      </c>
      <c r="J4068">
        <v>8</v>
      </c>
      <c r="K4068">
        <v>0</v>
      </c>
      <c r="L4068" s="4">
        <v>0.95091639068711276</v>
      </c>
      <c r="M4068" s="4">
        <v>4.9083609312887293E-2</v>
      </c>
      <c r="N4068">
        <v>10</v>
      </c>
    </row>
    <row r="4069" spans="1:14" x14ac:dyDescent="0.35">
      <c r="A4069" s="1">
        <v>1245</v>
      </c>
      <c r="B4069">
        <v>8</v>
      </c>
      <c r="C4069">
        <v>70</v>
      </c>
      <c r="D4069">
        <v>3</v>
      </c>
      <c r="E4069">
        <v>2</v>
      </c>
      <c r="F4069">
        <v>0</v>
      </c>
      <c r="G4069">
        <v>2</v>
      </c>
      <c r="H4069">
        <v>1</v>
      </c>
      <c r="I4069">
        <v>20504.72</v>
      </c>
      <c r="J4069">
        <v>3</v>
      </c>
      <c r="K4069">
        <v>0</v>
      </c>
      <c r="L4069" s="4">
        <v>0.95099095831415881</v>
      </c>
      <c r="M4069" s="4">
        <v>4.9009041685841158E-2</v>
      </c>
      <c r="N4069">
        <v>10</v>
      </c>
    </row>
    <row r="4070" spans="1:14" x14ac:dyDescent="0.35">
      <c r="A4070" s="1">
        <v>2128</v>
      </c>
      <c r="B4070">
        <v>5</v>
      </c>
      <c r="C4070">
        <v>61</v>
      </c>
      <c r="D4070">
        <v>1</v>
      </c>
      <c r="E4070">
        <v>1</v>
      </c>
      <c r="F4070">
        <v>3</v>
      </c>
      <c r="G4070">
        <v>3</v>
      </c>
      <c r="H4070">
        <v>2</v>
      </c>
      <c r="I4070">
        <v>2500</v>
      </c>
      <c r="J4070">
        <v>6</v>
      </c>
      <c r="K4070">
        <v>0</v>
      </c>
      <c r="L4070" s="4">
        <v>0.95105782573044728</v>
      </c>
      <c r="M4070" s="4">
        <v>4.8942174269552691E-2</v>
      </c>
      <c r="N4070">
        <v>10</v>
      </c>
    </row>
    <row r="4071" spans="1:14" x14ac:dyDescent="0.35">
      <c r="A4071" s="1">
        <v>137</v>
      </c>
      <c r="B4071">
        <v>6</v>
      </c>
      <c r="C4071">
        <v>72</v>
      </c>
      <c r="D4071">
        <v>1</v>
      </c>
      <c r="E4071">
        <v>0</v>
      </c>
      <c r="F4071">
        <v>3</v>
      </c>
      <c r="G4071">
        <v>3</v>
      </c>
      <c r="H4071">
        <v>1</v>
      </c>
      <c r="I4071">
        <v>46000</v>
      </c>
      <c r="J4071">
        <v>12</v>
      </c>
      <c r="K4071">
        <v>0</v>
      </c>
      <c r="L4071" s="4">
        <v>0.95110005078712245</v>
      </c>
      <c r="M4071" s="4">
        <v>4.8899949212877561E-2</v>
      </c>
      <c r="N4071">
        <v>10</v>
      </c>
    </row>
    <row r="4072" spans="1:14" x14ac:dyDescent="0.35">
      <c r="A4072" s="1">
        <v>4315</v>
      </c>
      <c r="B4072">
        <v>7</v>
      </c>
      <c r="C4072">
        <v>75</v>
      </c>
      <c r="D4072">
        <v>1</v>
      </c>
      <c r="E4072">
        <v>0</v>
      </c>
      <c r="F4072">
        <v>3</v>
      </c>
      <c r="G4072">
        <v>8</v>
      </c>
      <c r="H4072">
        <v>1</v>
      </c>
      <c r="I4072">
        <v>30000</v>
      </c>
      <c r="J4072">
        <v>4</v>
      </c>
      <c r="K4072">
        <v>0</v>
      </c>
      <c r="L4072" s="4">
        <v>0.95111457302634472</v>
      </c>
      <c r="M4072" s="4">
        <v>4.8885426973655242E-2</v>
      </c>
      <c r="N4072">
        <v>10</v>
      </c>
    </row>
    <row r="4073" spans="1:14" x14ac:dyDescent="0.35">
      <c r="A4073" s="1">
        <v>1839</v>
      </c>
      <c r="B4073">
        <v>7</v>
      </c>
      <c r="C4073">
        <v>75</v>
      </c>
      <c r="D4073">
        <v>3</v>
      </c>
      <c r="E4073">
        <v>0</v>
      </c>
      <c r="F4073">
        <v>0</v>
      </c>
      <c r="G4073">
        <v>2</v>
      </c>
      <c r="H4073">
        <v>2</v>
      </c>
      <c r="I4073">
        <v>5000</v>
      </c>
      <c r="J4073">
        <v>18</v>
      </c>
      <c r="K4073">
        <v>0</v>
      </c>
      <c r="L4073" s="4">
        <v>0.95114690928764889</v>
      </c>
      <c r="M4073" s="4">
        <v>4.8853090712351152E-2</v>
      </c>
      <c r="N4073">
        <v>10</v>
      </c>
    </row>
    <row r="4074" spans="1:14" x14ac:dyDescent="0.35">
      <c r="A4074" s="1">
        <v>3732</v>
      </c>
      <c r="B4074">
        <v>3</v>
      </c>
      <c r="C4074">
        <v>52</v>
      </c>
      <c r="D4074">
        <v>3</v>
      </c>
      <c r="E4074">
        <v>1</v>
      </c>
      <c r="F4074">
        <v>1</v>
      </c>
      <c r="G4074">
        <v>5</v>
      </c>
      <c r="H4074">
        <v>3</v>
      </c>
      <c r="I4074">
        <v>0.01</v>
      </c>
      <c r="J4074">
        <v>5</v>
      </c>
      <c r="K4074">
        <v>0</v>
      </c>
      <c r="L4074" s="4">
        <v>0.95114752869226293</v>
      </c>
      <c r="M4074" s="4">
        <v>4.8852471307737108E-2</v>
      </c>
      <c r="N4074">
        <v>10</v>
      </c>
    </row>
    <row r="4075" spans="1:14" x14ac:dyDescent="0.35">
      <c r="A4075" s="1">
        <v>1464</v>
      </c>
      <c r="B4075">
        <v>6</v>
      </c>
      <c r="C4075">
        <v>70</v>
      </c>
      <c r="D4075">
        <v>3</v>
      </c>
      <c r="E4075">
        <v>0</v>
      </c>
      <c r="F4075">
        <v>2</v>
      </c>
      <c r="G4075">
        <v>1</v>
      </c>
      <c r="H4075">
        <v>2</v>
      </c>
      <c r="I4075">
        <v>4000</v>
      </c>
      <c r="J4075">
        <v>13</v>
      </c>
      <c r="K4075">
        <v>1</v>
      </c>
      <c r="L4075" s="4">
        <v>0.95125110417514303</v>
      </c>
      <c r="M4075" s="4">
        <v>4.8748895824856968E-2</v>
      </c>
      <c r="N4075">
        <v>10</v>
      </c>
    </row>
    <row r="4076" spans="1:14" x14ac:dyDescent="0.35">
      <c r="A4076" s="1">
        <v>2966</v>
      </c>
      <c r="B4076">
        <v>5</v>
      </c>
      <c r="C4076">
        <v>67</v>
      </c>
      <c r="D4076">
        <v>1</v>
      </c>
      <c r="E4076">
        <v>0</v>
      </c>
      <c r="F4076">
        <v>3</v>
      </c>
      <c r="G4076">
        <v>8</v>
      </c>
      <c r="H4076">
        <v>0</v>
      </c>
      <c r="I4076">
        <v>6000</v>
      </c>
      <c r="J4076">
        <v>2</v>
      </c>
      <c r="K4076">
        <v>0</v>
      </c>
      <c r="L4076" s="4">
        <v>0.95126648484689769</v>
      </c>
      <c r="M4076" s="4">
        <v>4.8733515153102328E-2</v>
      </c>
      <c r="N4076">
        <v>10</v>
      </c>
    </row>
    <row r="4077" spans="1:14" x14ac:dyDescent="0.35">
      <c r="A4077" s="1">
        <v>2447</v>
      </c>
      <c r="B4077">
        <v>6</v>
      </c>
      <c r="C4077">
        <v>70</v>
      </c>
      <c r="D4077">
        <v>1</v>
      </c>
      <c r="E4077">
        <v>0</v>
      </c>
      <c r="F4077">
        <v>3</v>
      </c>
      <c r="G4077">
        <v>8</v>
      </c>
      <c r="H4077">
        <v>2</v>
      </c>
      <c r="I4077">
        <v>3000</v>
      </c>
      <c r="J4077">
        <v>24</v>
      </c>
      <c r="K4077">
        <v>0</v>
      </c>
      <c r="L4077" s="4">
        <v>0.95133087316837384</v>
      </c>
      <c r="M4077" s="4">
        <v>4.8669126831626143E-2</v>
      </c>
      <c r="N4077">
        <v>10</v>
      </c>
    </row>
    <row r="4078" spans="1:14" x14ac:dyDescent="0.35">
      <c r="A4078" s="1">
        <v>3043</v>
      </c>
      <c r="B4078">
        <v>8</v>
      </c>
      <c r="C4078">
        <v>75</v>
      </c>
      <c r="D4078">
        <v>0</v>
      </c>
      <c r="E4078">
        <v>1</v>
      </c>
      <c r="F4078">
        <v>3</v>
      </c>
      <c r="G4078">
        <v>8</v>
      </c>
      <c r="H4078">
        <v>0</v>
      </c>
      <c r="I4078">
        <v>15000</v>
      </c>
      <c r="J4078">
        <v>4</v>
      </c>
      <c r="K4078">
        <v>0</v>
      </c>
      <c r="L4078" s="4">
        <v>0.95137493146317553</v>
      </c>
      <c r="M4078" s="4">
        <v>4.8625068536824481E-2</v>
      </c>
      <c r="N4078">
        <v>10</v>
      </c>
    </row>
    <row r="4079" spans="1:14" x14ac:dyDescent="0.35">
      <c r="A4079" s="1">
        <v>3262</v>
      </c>
      <c r="B4079">
        <v>6</v>
      </c>
      <c r="C4079">
        <v>70</v>
      </c>
      <c r="D4079">
        <v>3</v>
      </c>
      <c r="E4079">
        <v>0</v>
      </c>
      <c r="F4079">
        <v>4</v>
      </c>
      <c r="G4079">
        <v>9</v>
      </c>
      <c r="H4079">
        <v>0</v>
      </c>
      <c r="I4079">
        <v>15286.86</v>
      </c>
      <c r="J4079">
        <v>4</v>
      </c>
      <c r="K4079">
        <v>0</v>
      </c>
      <c r="L4079" s="4">
        <v>0.95153421256398307</v>
      </c>
      <c r="M4079" s="4">
        <v>4.8465787436016962E-2</v>
      </c>
      <c r="N4079">
        <v>10</v>
      </c>
    </row>
    <row r="4080" spans="1:14" x14ac:dyDescent="0.35">
      <c r="A4080" s="1">
        <v>3759</v>
      </c>
      <c r="B4080">
        <v>8</v>
      </c>
      <c r="C4080">
        <v>79</v>
      </c>
      <c r="D4080">
        <v>2</v>
      </c>
      <c r="E4080">
        <v>0</v>
      </c>
      <c r="F4080">
        <v>3</v>
      </c>
      <c r="G4080">
        <v>8</v>
      </c>
      <c r="H4080">
        <v>0</v>
      </c>
      <c r="I4080">
        <v>10000</v>
      </c>
      <c r="J4080">
        <v>4</v>
      </c>
      <c r="K4080">
        <v>0</v>
      </c>
      <c r="L4080" s="4">
        <v>0.95164624135176523</v>
      </c>
      <c r="M4080" s="4">
        <v>4.8353758648234782E-2</v>
      </c>
      <c r="N4080">
        <v>10</v>
      </c>
    </row>
    <row r="4081" spans="1:14" x14ac:dyDescent="0.35">
      <c r="A4081" s="1">
        <v>2553</v>
      </c>
      <c r="B4081">
        <v>8</v>
      </c>
      <c r="C4081">
        <v>76</v>
      </c>
      <c r="D4081">
        <v>5</v>
      </c>
      <c r="E4081">
        <v>0</v>
      </c>
      <c r="F4081">
        <v>3</v>
      </c>
      <c r="G4081">
        <v>8</v>
      </c>
      <c r="H4081">
        <v>2</v>
      </c>
      <c r="I4081">
        <v>1000</v>
      </c>
      <c r="J4081">
        <v>3</v>
      </c>
      <c r="K4081">
        <v>1</v>
      </c>
      <c r="L4081" s="4">
        <v>0.9517471725383535</v>
      </c>
      <c r="M4081" s="4">
        <v>4.8252827461646518E-2</v>
      </c>
      <c r="N4081">
        <v>10</v>
      </c>
    </row>
    <row r="4082" spans="1:14" x14ac:dyDescent="0.35">
      <c r="A4082" s="1">
        <v>3083</v>
      </c>
      <c r="B4082">
        <v>2</v>
      </c>
      <c r="C4082">
        <v>49</v>
      </c>
      <c r="D4082">
        <v>3</v>
      </c>
      <c r="E4082">
        <v>1</v>
      </c>
      <c r="F4082">
        <v>0</v>
      </c>
      <c r="G4082">
        <v>2</v>
      </c>
      <c r="H4082">
        <v>3</v>
      </c>
      <c r="I4082">
        <v>0.01</v>
      </c>
      <c r="J4082">
        <v>8</v>
      </c>
      <c r="K4082">
        <v>0</v>
      </c>
      <c r="L4082" s="4">
        <v>0.95181446737205078</v>
      </c>
      <c r="M4082" s="4">
        <v>4.8185532627949217E-2</v>
      </c>
      <c r="N4082">
        <v>10</v>
      </c>
    </row>
    <row r="4083" spans="1:14" x14ac:dyDescent="0.35">
      <c r="A4083" s="1">
        <v>3126</v>
      </c>
      <c r="B4083">
        <v>5</v>
      </c>
      <c r="C4083">
        <v>57</v>
      </c>
      <c r="D4083">
        <v>0</v>
      </c>
      <c r="E4083">
        <v>2</v>
      </c>
      <c r="F4083">
        <v>3</v>
      </c>
      <c r="G4083">
        <v>3</v>
      </c>
      <c r="H4083">
        <v>2</v>
      </c>
      <c r="I4083">
        <v>5000</v>
      </c>
      <c r="J4083">
        <v>11</v>
      </c>
      <c r="K4083">
        <v>0</v>
      </c>
      <c r="L4083" s="4">
        <v>0.95189003850778908</v>
      </c>
      <c r="M4083" s="4">
        <v>4.8109961492210959E-2</v>
      </c>
      <c r="N4083">
        <v>10</v>
      </c>
    </row>
    <row r="4084" spans="1:14" x14ac:dyDescent="0.35">
      <c r="A4084" s="1">
        <v>4277</v>
      </c>
      <c r="B4084">
        <v>7</v>
      </c>
      <c r="C4084">
        <v>69</v>
      </c>
      <c r="D4084">
        <v>1</v>
      </c>
      <c r="E4084">
        <v>1</v>
      </c>
      <c r="F4084">
        <v>3</v>
      </c>
      <c r="G4084">
        <v>8</v>
      </c>
      <c r="H4084">
        <v>2</v>
      </c>
      <c r="I4084">
        <v>3000</v>
      </c>
      <c r="J4084">
        <v>8</v>
      </c>
      <c r="K4084">
        <v>0</v>
      </c>
      <c r="L4084" s="4">
        <v>0.95189018338273401</v>
      </c>
      <c r="M4084" s="4">
        <v>4.8109816617265953E-2</v>
      </c>
      <c r="N4084">
        <v>10</v>
      </c>
    </row>
    <row r="4085" spans="1:14" x14ac:dyDescent="0.35">
      <c r="A4085" s="1">
        <v>4117</v>
      </c>
      <c r="B4085">
        <v>3</v>
      </c>
      <c r="C4085">
        <v>61</v>
      </c>
      <c r="D4085">
        <v>2</v>
      </c>
      <c r="E4085">
        <v>0</v>
      </c>
      <c r="F4085">
        <v>0</v>
      </c>
      <c r="G4085">
        <v>2</v>
      </c>
      <c r="H4085">
        <v>0</v>
      </c>
      <c r="I4085">
        <v>18000</v>
      </c>
      <c r="J4085">
        <v>3</v>
      </c>
      <c r="K4085">
        <v>0</v>
      </c>
      <c r="L4085" s="4">
        <v>0.95190511777922793</v>
      </c>
      <c r="M4085" s="4">
        <v>4.8094882220772052E-2</v>
      </c>
      <c r="N4085">
        <v>10</v>
      </c>
    </row>
    <row r="4086" spans="1:14" x14ac:dyDescent="0.35">
      <c r="A4086" s="1">
        <v>208</v>
      </c>
      <c r="B4086">
        <v>8</v>
      </c>
      <c r="C4086">
        <v>78</v>
      </c>
      <c r="D4086">
        <v>1</v>
      </c>
      <c r="E4086">
        <v>0</v>
      </c>
      <c r="F4086">
        <v>3</v>
      </c>
      <c r="G4086">
        <v>8</v>
      </c>
      <c r="H4086">
        <v>2</v>
      </c>
      <c r="I4086">
        <v>4000</v>
      </c>
      <c r="J4086">
        <v>8</v>
      </c>
      <c r="K4086">
        <v>0</v>
      </c>
      <c r="L4086" s="4">
        <v>0.95192496917758884</v>
      </c>
      <c r="M4086" s="4">
        <v>4.8075030822411213E-2</v>
      </c>
      <c r="N4086">
        <v>10</v>
      </c>
    </row>
    <row r="4087" spans="1:14" x14ac:dyDescent="0.35">
      <c r="A4087" s="1">
        <v>1097</v>
      </c>
      <c r="B4087">
        <v>4</v>
      </c>
      <c r="C4087">
        <v>61</v>
      </c>
      <c r="D4087">
        <v>5</v>
      </c>
      <c r="E4087">
        <v>0</v>
      </c>
      <c r="F4087">
        <v>1</v>
      </c>
      <c r="G4087">
        <v>7</v>
      </c>
      <c r="H4087">
        <v>2</v>
      </c>
      <c r="I4087">
        <v>0.02</v>
      </c>
      <c r="J4087">
        <v>8</v>
      </c>
      <c r="K4087">
        <v>0</v>
      </c>
      <c r="L4087" s="4">
        <v>0.95198119600425268</v>
      </c>
      <c r="M4087" s="4">
        <v>4.8018803995747338E-2</v>
      </c>
      <c r="N4087">
        <v>10</v>
      </c>
    </row>
    <row r="4088" spans="1:14" x14ac:dyDescent="0.35">
      <c r="A4088" s="1">
        <v>2645</v>
      </c>
      <c r="B4088">
        <v>5</v>
      </c>
      <c r="C4088">
        <v>64</v>
      </c>
      <c r="D4088">
        <v>4</v>
      </c>
      <c r="E4088">
        <v>0</v>
      </c>
      <c r="F4088">
        <v>4</v>
      </c>
      <c r="G4088">
        <v>9</v>
      </c>
      <c r="H4088">
        <v>2</v>
      </c>
      <c r="I4088">
        <v>3000</v>
      </c>
      <c r="J4088">
        <v>9</v>
      </c>
      <c r="K4088">
        <v>0</v>
      </c>
      <c r="L4088" s="4">
        <v>0.95201028199344206</v>
      </c>
      <c r="M4088" s="4">
        <v>4.7989718006557901E-2</v>
      </c>
      <c r="N4088">
        <v>10</v>
      </c>
    </row>
    <row r="4089" spans="1:14" x14ac:dyDescent="0.35">
      <c r="A4089" s="1">
        <v>4324</v>
      </c>
      <c r="B4089">
        <v>7</v>
      </c>
      <c r="C4089">
        <v>76</v>
      </c>
      <c r="D4089">
        <v>1</v>
      </c>
      <c r="E4089">
        <v>0</v>
      </c>
      <c r="F4089">
        <v>0</v>
      </c>
      <c r="G4089">
        <v>2</v>
      </c>
      <c r="H4089">
        <v>2</v>
      </c>
      <c r="I4089">
        <v>600</v>
      </c>
      <c r="J4089">
        <v>14</v>
      </c>
      <c r="K4089">
        <v>0</v>
      </c>
      <c r="L4089" s="4">
        <v>0.95205869556533473</v>
      </c>
      <c r="M4089" s="4">
        <v>4.7941304434665231E-2</v>
      </c>
      <c r="N4089">
        <v>10</v>
      </c>
    </row>
    <row r="4090" spans="1:14" x14ac:dyDescent="0.35">
      <c r="A4090" s="1">
        <v>3770</v>
      </c>
      <c r="B4090">
        <v>8</v>
      </c>
      <c r="C4090">
        <v>74</v>
      </c>
      <c r="D4090">
        <v>5</v>
      </c>
      <c r="E4090">
        <v>1</v>
      </c>
      <c r="F4090">
        <v>1</v>
      </c>
      <c r="G4090">
        <v>7</v>
      </c>
      <c r="H4090">
        <v>0</v>
      </c>
      <c r="I4090">
        <v>10000</v>
      </c>
      <c r="J4090">
        <v>4</v>
      </c>
      <c r="K4090">
        <v>0</v>
      </c>
      <c r="L4090" s="4">
        <v>0.95215791136456696</v>
      </c>
      <c r="M4090" s="4">
        <v>4.7842088635433093E-2</v>
      </c>
      <c r="N4090">
        <v>10</v>
      </c>
    </row>
    <row r="4091" spans="1:14" x14ac:dyDescent="0.35">
      <c r="A4091" s="1">
        <v>4053</v>
      </c>
      <c r="B4091">
        <v>9</v>
      </c>
      <c r="C4091">
        <v>78</v>
      </c>
      <c r="D4091">
        <v>0</v>
      </c>
      <c r="E4091">
        <v>1</v>
      </c>
      <c r="F4091">
        <v>3</v>
      </c>
      <c r="G4091">
        <v>3</v>
      </c>
      <c r="H4091">
        <v>2</v>
      </c>
      <c r="I4091">
        <v>1500</v>
      </c>
      <c r="J4091">
        <v>5</v>
      </c>
      <c r="K4091">
        <v>0</v>
      </c>
      <c r="L4091" s="4">
        <v>0.95219391885158167</v>
      </c>
      <c r="M4091" s="4">
        <v>4.7806081148418347E-2</v>
      </c>
      <c r="N4091">
        <v>10</v>
      </c>
    </row>
    <row r="4092" spans="1:14" x14ac:dyDescent="0.35">
      <c r="A4092" s="1">
        <v>2992</v>
      </c>
      <c r="B4092">
        <v>5</v>
      </c>
      <c r="C4092">
        <v>63</v>
      </c>
      <c r="D4092">
        <v>1</v>
      </c>
      <c r="E4092">
        <v>1</v>
      </c>
      <c r="F4092">
        <v>3</v>
      </c>
      <c r="G4092">
        <v>3</v>
      </c>
      <c r="H4092">
        <v>0</v>
      </c>
      <c r="I4092">
        <v>6300</v>
      </c>
      <c r="J4092">
        <v>5</v>
      </c>
      <c r="K4092">
        <v>0</v>
      </c>
      <c r="L4092" s="4">
        <v>0.95232150299285512</v>
      </c>
      <c r="M4092" s="4">
        <v>4.7678497007144882E-2</v>
      </c>
      <c r="N4092">
        <v>10</v>
      </c>
    </row>
    <row r="4093" spans="1:14" x14ac:dyDescent="0.35">
      <c r="A4093" s="1">
        <v>2260</v>
      </c>
      <c r="B4093">
        <v>6</v>
      </c>
      <c r="C4093">
        <v>72</v>
      </c>
      <c r="D4093">
        <v>5</v>
      </c>
      <c r="E4093">
        <v>0</v>
      </c>
      <c r="F4093">
        <v>0</v>
      </c>
      <c r="G4093">
        <v>4</v>
      </c>
      <c r="H4093">
        <v>0</v>
      </c>
      <c r="I4093">
        <v>10000</v>
      </c>
      <c r="J4093">
        <v>21</v>
      </c>
      <c r="K4093">
        <v>0</v>
      </c>
      <c r="L4093" s="4">
        <v>0.95237930498324064</v>
      </c>
      <c r="M4093" s="4">
        <v>4.7620695016759328E-2</v>
      </c>
      <c r="N4093">
        <v>10</v>
      </c>
    </row>
    <row r="4094" spans="1:14" x14ac:dyDescent="0.35">
      <c r="A4094" s="1">
        <v>129</v>
      </c>
      <c r="B4094">
        <v>5</v>
      </c>
      <c r="C4094">
        <v>61</v>
      </c>
      <c r="D4094">
        <v>2</v>
      </c>
      <c r="E4094">
        <v>1</v>
      </c>
      <c r="F4094">
        <v>0</v>
      </c>
      <c r="G4094">
        <v>10</v>
      </c>
      <c r="H4094">
        <v>3</v>
      </c>
      <c r="I4094">
        <v>0.01</v>
      </c>
      <c r="J4094">
        <v>5</v>
      </c>
      <c r="K4094">
        <v>0</v>
      </c>
      <c r="L4094" s="4">
        <v>0.95238014307592322</v>
      </c>
      <c r="M4094" s="4">
        <v>4.7619856924076741E-2</v>
      </c>
      <c r="N4094">
        <v>10</v>
      </c>
    </row>
    <row r="4095" spans="1:14" x14ac:dyDescent="0.35">
      <c r="A4095" s="1">
        <v>4437</v>
      </c>
      <c r="B4095">
        <v>8</v>
      </c>
      <c r="C4095">
        <v>75</v>
      </c>
      <c r="D4095">
        <v>2</v>
      </c>
      <c r="E4095">
        <v>1</v>
      </c>
      <c r="F4095">
        <v>1</v>
      </c>
      <c r="G4095">
        <v>12</v>
      </c>
      <c r="H4095">
        <v>0</v>
      </c>
      <c r="I4095">
        <v>12000</v>
      </c>
      <c r="J4095">
        <v>4</v>
      </c>
      <c r="K4095">
        <v>0</v>
      </c>
      <c r="L4095" s="4">
        <v>0.95240742265739653</v>
      </c>
      <c r="M4095" s="4">
        <v>4.7592577342603512E-2</v>
      </c>
      <c r="N4095">
        <v>10</v>
      </c>
    </row>
    <row r="4096" spans="1:14" x14ac:dyDescent="0.35">
      <c r="A4096" s="1">
        <v>1184</v>
      </c>
      <c r="B4096">
        <v>2</v>
      </c>
      <c r="C4096">
        <v>54</v>
      </c>
      <c r="D4096">
        <v>3</v>
      </c>
      <c r="E4096">
        <v>0</v>
      </c>
      <c r="F4096">
        <v>1</v>
      </c>
      <c r="G4096">
        <v>7</v>
      </c>
      <c r="H4096">
        <v>2</v>
      </c>
      <c r="I4096">
        <v>5000</v>
      </c>
      <c r="J4096">
        <v>5</v>
      </c>
      <c r="K4096">
        <v>0</v>
      </c>
      <c r="L4096" s="4">
        <v>0.95240958190097824</v>
      </c>
      <c r="M4096" s="4">
        <v>4.7590418099021758E-2</v>
      </c>
      <c r="N4096">
        <v>10</v>
      </c>
    </row>
    <row r="4097" spans="1:14" x14ac:dyDescent="0.35">
      <c r="A4097" s="1">
        <v>310</v>
      </c>
      <c r="B4097">
        <v>8</v>
      </c>
      <c r="C4097">
        <v>76</v>
      </c>
      <c r="D4097">
        <v>2</v>
      </c>
      <c r="E4097">
        <v>1</v>
      </c>
      <c r="F4097">
        <v>0</v>
      </c>
      <c r="G4097">
        <v>4</v>
      </c>
      <c r="H4097">
        <v>0</v>
      </c>
      <c r="I4097">
        <v>6000</v>
      </c>
      <c r="J4097">
        <v>1</v>
      </c>
      <c r="K4097">
        <v>0</v>
      </c>
      <c r="L4097" s="4">
        <v>0.95246884462001047</v>
      </c>
      <c r="M4097" s="4">
        <v>4.7531155379989511E-2</v>
      </c>
      <c r="N4097">
        <v>10</v>
      </c>
    </row>
    <row r="4098" spans="1:14" x14ac:dyDescent="0.35">
      <c r="A4098" s="1">
        <v>601</v>
      </c>
      <c r="B4098">
        <v>4</v>
      </c>
      <c r="C4098">
        <v>55</v>
      </c>
      <c r="D4098">
        <v>1</v>
      </c>
      <c r="E4098">
        <v>2</v>
      </c>
      <c r="F4098">
        <v>1</v>
      </c>
      <c r="G4098">
        <v>5</v>
      </c>
      <c r="H4098">
        <v>0</v>
      </c>
      <c r="I4098">
        <v>12000</v>
      </c>
      <c r="J4098">
        <v>4</v>
      </c>
      <c r="K4098">
        <v>0</v>
      </c>
      <c r="L4098" s="4">
        <v>0.95250428774353146</v>
      </c>
      <c r="M4098" s="4">
        <v>4.749571225646855E-2</v>
      </c>
      <c r="N4098">
        <v>10</v>
      </c>
    </row>
    <row r="4099" spans="1:14" x14ac:dyDescent="0.35">
      <c r="A4099" s="1">
        <v>241</v>
      </c>
      <c r="B4099">
        <v>4</v>
      </c>
      <c r="C4099">
        <v>64</v>
      </c>
      <c r="D4099">
        <v>1</v>
      </c>
      <c r="E4099">
        <v>0</v>
      </c>
      <c r="F4099">
        <v>3</v>
      </c>
      <c r="G4099">
        <v>3</v>
      </c>
      <c r="H4099">
        <v>0</v>
      </c>
      <c r="I4099">
        <v>6000</v>
      </c>
      <c r="J4099">
        <v>5</v>
      </c>
      <c r="K4099">
        <v>0</v>
      </c>
      <c r="L4099" s="4">
        <v>0.95272389441690941</v>
      </c>
      <c r="M4099" s="4">
        <v>4.7276105583090602E-2</v>
      </c>
      <c r="N4099">
        <v>10</v>
      </c>
    </row>
    <row r="4100" spans="1:14" x14ac:dyDescent="0.35">
      <c r="A4100" s="1">
        <v>2274</v>
      </c>
      <c r="B4100">
        <v>7</v>
      </c>
      <c r="C4100">
        <v>75</v>
      </c>
      <c r="D4100">
        <v>2</v>
      </c>
      <c r="E4100">
        <v>0</v>
      </c>
      <c r="F4100">
        <v>4</v>
      </c>
      <c r="G4100">
        <v>9</v>
      </c>
      <c r="H4100">
        <v>0</v>
      </c>
      <c r="I4100">
        <v>12000</v>
      </c>
      <c r="J4100">
        <v>8</v>
      </c>
      <c r="K4100">
        <v>0</v>
      </c>
      <c r="L4100" s="4">
        <v>0.95294421641926597</v>
      </c>
      <c r="M4100" s="4">
        <v>4.7055783580734027E-2</v>
      </c>
      <c r="N4100">
        <v>10</v>
      </c>
    </row>
    <row r="4101" spans="1:14" x14ac:dyDescent="0.35">
      <c r="A4101" s="1">
        <v>3937</v>
      </c>
      <c r="B4101">
        <v>6</v>
      </c>
      <c r="C4101">
        <v>72</v>
      </c>
      <c r="D4101">
        <v>3</v>
      </c>
      <c r="E4101">
        <v>0</v>
      </c>
      <c r="F4101">
        <v>1</v>
      </c>
      <c r="G4101">
        <v>7</v>
      </c>
      <c r="H4101">
        <v>0</v>
      </c>
      <c r="I4101">
        <v>10000</v>
      </c>
      <c r="J4101">
        <v>4</v>
      </c>
      <c r="K4101">
        <v>0</v>
      </c>
      <c r="L4101" s="4">
        <v>0.9530162473422461</v>
      </c>
      <c r="M4101" s="4">
        <v>4.6983752657753931E-2</v>
      </c>
      <c r="N4101">
        <v>10</v>
      </c>
    </row>
    <row r="4102" spans="1:14" x14ac:dyDescent="0.35">
      <c r="A4102" s="1">
        <v>749</v>
      </c>
      <c r="B4102">
        <v>4</v>
      </c>
      <c r="C4102">
        <v>63</v>
      </c>
      <c r="D4102">
        <v>4</v>
      </c>
      <c r="E4102">
        <v>0</v>
      </c>
      <c r="F4102">
        <v>3</v>
      </c>
      <c r="G4102">
        <v>3</v>
      </c>
      <c r="H4102">
        <v>0</v>
      </c>
      <c r="I4102">
        <v>6000</v>
      </c>
      <c r="J4102">
        <v>13</v>
      </c>
      <c r="K4102">
        <v>0</v>
      </c>
      <c r="L4102" s="4">
        <v>0.95310318769195157</v>
      </c>
      <c r="M4102" s="4">
        <v>4.6896812308048492E-2</v>
      </c>
      <c r="N4102">
        <v>10</v>
      </c>
    </row>
    <row r="4103" spans="1:14" x14ac:dyDescent="0.35">
      <c r="A4103" s="1">
        <v>517</v>
      </c>
      <c r="B4103">
        <v>8</v>
      </c>
      <c r="C4103">
        <v>70</v>
      </c>
      <c r="D4103">
        <v>4</v>
      </c>
      <c r="E4103">
        <v>2</v>
      </c>
      <c r="F4103">
        <v>0</v>
      </c>
      <c r="G4103">
        <v>11</v>
      </c>
      <c r="H4103">
        <v>0</v>
      </c>
      <c r="I4103">
        <v>10000</v>
      </c>
      <c r="J4103">
        <v>4</v>
      </c>
      <c r="K4103">
        <v>0</v>
      </c>
      <c r="L4103" s="4">
        <v>0.95315068096263278</v>
      </c>
      <c r="M4103" s="4">
        <v>4.6849319037367242E-2</v>
      </c>
      <c r="N4103">
        <v>10</v>
      </c>
    </row>
    <row r="4104" spans="1:14" x14ac:dyDescent="0.35">
      <c r="A4104" s="1">
        <v>2040</v>
      </c>
      <c r="B4104">
        <v>7</v>
      </c>
      <c r="C4104">
        <v>75</v>
      </c>
      <c r="D4104">
        <v>1</v>
      </c>
      <c r="E4104">
        <v>0</v>
      </c>
      <c r="F4104">
        <v>3</v>
      </c>
      <c r="G4104">
        <v>3</v>
      </c>
      <c r="H4104">
        <v>2</v>
      </c>
      <c r="I4104">
        <v>480.01</v>
      </c>
      <c r="J4104">
        <v>18</v>
      </c>
      <c r="K4104">
        <v>0</v>
      </c>
      <c r="L4104" s="4">
        <v>0.95321564517024959</v>
      </c>
      <c r="M4104" s="4">
        <v>4.6784354829750463E-2</v>
      </c>
      <c r="N4104">
        <v>10</v>
      </c>
    </row>
    <row r="4105" spans="1:14" x14ac:dyDescent="0.35">
      <c r="A4105" s="1">
        <v>295</v>
      </c>
      <c r="B4105">
        <v>5</v>
      </c>
      <c r="C4105">
        <v>57</v>
      </c>
      <c r="D4105">
        <v>2</v>
      </c>
      <c r="E4105">
        <v>2</v>
      </c>
      <c r="F4105">
        <v>0</v>
      </c>
      <c r="G4105">
        <v>4</v>
      </c>
      <c r="H4105">
        <v>3</v>
      </c>
      <c r="I4105">
        <v>0.01</v>
      </c>
      <c r="J4105">
        <v>5</v>
      </c>
      <c r="K4105">
        <v>0</v>
      </c>
      <c r="L4105" s="4">
        <v>0.95336108607761771</v>
      </c>
      <c r="M4105" s="4">
        <v>4.6638913922382279E-2</v>
      </c>
      <c r="N4105">
        <v>10</v>
      </c>
    </row>
    <row r="4106" spans="1:14" x14ac:dyDescent="0.35">
      <c r="A4106" s="1">
        <v>2380</v>
      </c>
      <c r="B4106">
        <v>8</v>
      </c>
      <c r="C4106">
        <v>77</v>
      </c>
      <c r="D4106">
        <v>0</v>
      </c>
      <c r="E4106">
        <v>1</v>
      </c>
      <c r="F4106">
        <v>2</v>
      </c>
      <c r="G4106">
        <v>0</v>
      </c>
      <c r="H4106">
        <v>0</v>
      </c>
      <c r="I4106">
        <v>6000</v>
      </c>
      <c r="J4106">
        <v>18</v>
      </c>
      <c r="K4106">
        <v>0</v>
      </c>
      <c r="L4106" s="4">
        <v>0.95339343414546118</v>
      </c>
      <c r="M4106" s="4">
        <v>4.6606565854538859E-2</v>
      </c>
      <c r="N4106">
        <v>10</v>
      </c>
    </row>
    <row r="4107" spans="1:14" x14ac:dyDescent="0.35">
      <c r="A4107" s="1">
        <v>3236</v>
      </c>
      <c r="B4107">
        <v>5</v>
      </c>
      <c r="C4107">
        <v>69</v>
      </c>
      <c r="D4107">
        <v>1</v>
      </c>
      <c r="E4107">
        <v>0</v>
      </c>
      <c r="F4107">
        <v>2</v>
      </c>
      <c r="G4107">
        <v>1</v>
      </c>
      <c r="H4107">
        <v>1</v>
      </c>
      <c r="I4107">
        <v>25158.67</v>
      </c>
      <c r="J4107">
        <v>16</v>
      </c>
      <c r="K4107">
        <v>0</v>
      </c>
      <c r="L4107" s="4">
        <v>0.95347284506500907</v>
      </c>
      <c r="M4107" s="4">
        <v>4.6527154934990933E-2</v>
      </c>
      <c r="N4107">
        <v>10</v>
      </c>
    </row>
    <row r="4108" spans="1:14" x14ac:dyDescent="0.35">
      <c r="A4108" s="1">
        <v>4099</v>
      </c>
      <c r="B4108">
        <v>4</v>
      </c>
      <c r="C4108">
        <v>52</v>
      </c>
      <c r="D4108">
        <v>3</v>
      </c>
      <c r="E4108">
        <v>2</v>
      </c>
      <c r="F4108">
        <v>3</v>
      </c>
      <c r="G4108">
        <v>3</v>
      </c>
      <c r="H4108">
        <v>2</v>
      </c>
      <c r="I4108">
        <v>3000</v>
      </c>
      <c r="J4108">
        <v>3</v>
      </c>
      <c r="K4108">
        <v>0</v>
      </c>
      <c r="L4108" s="4">
        <v>0.95347923106239307</v>
      </c>
      <c r="M4108" s="4">
        <v>4.6520768937606941E-2</v>
      </c>
      <c r="N4108">
        <v>10</v>
      </c>
    </row>
    <row r="4109" spans="1:14" x14ac:dyDescent="0.35">
      <c r="A4109" s="1">
        <v>442</v>
      </c>
      <c r="B4109">
        <v>8</v>
      </c>
      <c r="C4109">
        <v>70</v>
      </c>
      <c r="D4109">
        <v>3</v>
      </c>
      <c r="E4109">
        <v>2</v>
      </c>
      <c r="F4109">
        <v>1</v>
      </c>
      <c r="G4109">
        <v>12</v>
      </c>
      <c r="H4109">
        <v>0</v>
      </c>
      <c r="I4109">
        <v>6000</v>
      </c>
      <c r="J4109">
        <v>8</v>
      </c>
      <c r="K4109">
        <v>0</v>
      </c>
      <c r="L4109" s="4">
        <v>0.95354723382779494</v>
      </c>
      <c r="M4109" s="4">
        <v>4.6452766172205041E-2</v>
      </c>
      <c r="N4109">
        <v>10</v>
      </c>
    </row>
    <row r="4110" spans="1:14" x14ac:dyDescent="0.35">
      <c r="A4110" s="1">
        <v>2879</v>
      </c>
      <c r="B4110">
        <v>4</v>
      </c>
      <c r="C4110">
        <v>63</v>
      </c>
      <c r="D4110">
        <v>2</v>
      </c>
      <c r="E4110">
        <v>0</v>
      </c>
      <c r="F4110">
        <v>1</v>
      </c>
      <c r="G4110">
        <v>7</v>
      </c>
      <c r="H4110">
        <v>2</v>
      </c>
      <c r="I4110">
        <v>600</v>
      </c>
      <c r="J4110">
        <v>10</v>
      </c>
      <c r="K4110">
        <v>0</v>
      </c>
      <c r="L4110" s="4">
        <v>0.95368447022385083</v>
      </c>
      <c r="M4110" s="4">
        <v>4.6315529776149139E-2</v>
      </c>
      <c r="N4110">
        <v>10</v>
      </c>
    </row>
    <row r="4111" spans="1:14" x14ac:dyDescent="0.35">
      <c r="A4111" s="1">
        <v>1765</v>
      </c>
      <c r="B4111">
        <v>6</v>
      </c>
      <c r="C4111">
        <v>70</v>
      </c>
      <c r="D4111">
        <v>2</v>
      </c>
      <c r="E4111">
        <v>0</v>
      </c>
      <c r="F4111">
        <v>3</v>
      </c>
      <c r="G4111">
        <v>8</v>
      </c>
      <c r="H4111">
        <v>2</v>
      </c>
      <c r="I4111">
        <v>480</v>
      </c>
      <c r="J4111">
        <v>5</v>
      </c>
      <c r="K4111">
        <v>1</v>
      </c>
      <c r="L4111" s="4">
        <v>0.95380536602759536</v>
      </c>
      <c r="M4111" s="4">
        <v>4.6194633972404628E-2</v>
      </c>
      <c r="N4111">
        <v>10</v>
      </c>
    </row>
    <row r="4112" spans="1:14" x14ac:dyDescent="0.35">
      <c r="A4112" s="1">
        <v>4222</v>
      </c>
      <c r="B4112">
        <v>5</v>
      </c>
      <c r="C4112">
        <v>57</v>
      </c>
      <c r="D4112">
        <v>3</v>
      </c>
      <c r="E4112">
        <v>2</v>
      </c>
      <c r="F4112">
        <v>0</v>
      </c>
      <c r="G4112">
        <v>2</v>
      </c>
      <c r="H4112">
        <v>3</v>
      </c>
      <c r="I4112">
        <v>0.01</v>
      </c>
      <c r="J4112">
        <v>8</v>
      </c>
      <c r="K4112">
        <v>0</v>
      </c>
      <c r="L4112" s="4">
        <v>0.95386837001011782</v>
      </c>
      <c r="M4112" s="4">
        <v>4.6131629989882197E-2</v>
      </c>
      <c r="N4112">
        <v>10</v>
      </c>
    </row>
    <row r="4113" spans="1:14" x14ac:dyDescent="0.35">
      <c r="A4113" s="1">
        <v>4249</v>
      </c>
      <c r="B4113">
        <v>6</v>
      </c>
      <c r="C4113">
        <v>72</v>
      </c>
      <c r="D4113">
        <v>2</v>
      </c>
      <c r="E4113">
        <v>0</v>
      </c>
      <c r="F4113">
        <v>3</v>
      </c>
      <c r="G4113">
        <v>3</v>
      </c>
      <c r="H4113">
        <v>0</v>
      </c>
      <c r="I4113">
        <v>5602.5</v>
      </c>
      <c r="J4113">
        <v>1</v>
      </c>
      <c r="K4113">
        <v>0</v>
      </c>
      <c r="L4113" s="4">
        <v>0.95388302047279128</v>
      </c>
      <c r="M4113" s="4">
        <v>4.611697952720873E-2</v>
      </c>
      <c r="N4113">
        <v>10</v>
      </c>
    </row>
    <row r="4114" spans="1:14" x14ac:dyDescent="0.35">
      <c r="A4114" s="1">
        <v>1580</v>
      </c>
      <c r="B4114">
        <v>4</v>
      </c>
      <c r="C4114">
        <v>59</v>
      </c>
      <c r="D4114">
        <v>1</v>
      </c>
      <c r="E4114">
        <v>1</v>
      </c>
      <c r="F4114">
        <v>3</v>
      </c>
      <c r="G4114">
        <v>8</v>
      </c>
      <c r="H4114">
        <v>0</v>
      </c>
      <c r="I4114">
        <v>6000</v>
      </c>
      <c r="J4114">
        <v>1</v>
      </c>
      <c r="K4114">
        <v>0</v>
      </c>
      <c r="L4114" s="4">
        <v>0.95393380122258697</v>
      </c>
      <c r="M4114" s="4">
        <v>4.606619877741306E-2</v>
      </c>
      <c r="N4114">
        <v>10</v>
      </c>
    </row>
    <row r="4115" spans="1:14" x14ac:dyDescent="0.35">
      <c r="A4115" s="1">
        <v>1407</v>
      </c>
      <c r="B4115">
        <v>3</v>
      </c>
      <c r="C4115">
        <v>55</v>
      </c>
      <c r="D4115">
        <v>2</v>
      </c>
      <c r="E4115">
        <v>1</v>
      </c>
      <c r="F4115">
        <v>3</v>
      </c>
      <c r="G4115">
        <v>3</v>
      </c>
      <c r="H4115">
        <v>0</v>
      </c>
      <c r="I4115">
        <v>6000</v>
      </c>
      <c r="J4115">
        <v>2</v>
      </c>
      <c r="K4115">
        <v>0</v>
      </c>
      <c r="L4115" s="4">
        <v>0.95395980392005553</v>
      </c>
      <c r="M4115" s="4">
        <v>4.6040196079944508E-2</v>
      </c>
      <c r="N4115">
        <v>10</v>
      </c>
    </row>
    <row r="4116" spans="1:14" x14ac:dyDescent="0.35">
      <c r="A4116" s="1">
        <v>3100</v>
      </c>
      <c r="B4116">
        <v>5</v>
      </c>
      <c r="C4116">
        <v>70</v>
      </c>
      <c r="D4116">
        <v>1</v>
      </c>
      <c r="E4116">
        <v>0</v>
      </c>
      <c r="F4116">
        <v>0</v>
      </c>
      <c r="G4116">
        <v>4</v>
      </c>
      <c r="H4116">
        <v>0</v>
      </c>
      <c r="I4116">
        <v>12000</v>
      </c>
      <c r="J4116">
        <v>5</v>
      </c>
      <c r="K4116">
        <v>0</v>
      </c>
      <c r="L4116" s="4">
        <v>0.95396361564468091</v>
      </c>
      <c r="M4116" s="4">
        <v>4.6036384355319052E-2</v>
      </c>
      <c r="N4116">
        <v>10</v>
      </c>
    </row>
    <row r="4117" spans="1:14" x14ac:dyDescent="0.35">
      <c r="A4117" s="1">
        <v>815</v>
      </c>
      <c r="B4117">
        <v>4</v>
      </c>
      <c r="C4117">
        <v>63</v>
      </c>
      <c r="D4117">
        <v>1</v>
      </c>
      <c r="E4117">
        <v>0</v>
      </c>
      <c r="F4117">
        <v>3</v>
      </c>
      <c r="G4117">
        <v>3</v>
      </c>
      <c r="H4117">
        <v>2</v>
      </c>
      <c r="I4117">
        <v>1800</v>
      </c>
      <c r="J4117">
        <v>10</v>
      </c>
      <c r="K4117">
        <v>1</v>
      </c>
      <c r="L4117" s="4">
        <v>0.9539775661156159</v>
      </c>
      <c r="M4117" s="4">
        <v>4.6022433884384109E-2</v>
      </c>
      <c r="N4117">
        <v>10</v>
      </c>
    </row>
    <row r="4118" spans="1:14" x14ac:dyDescent="0.35">
      <c r="A4118" s="1">
        <v>2484</v>
      </c>
      <c r="B4118">
        <v>4</v>
      </c>
      <c r="C4118">
        <v>63</v>
      </c>
      <c r="D4118">
        <v>4</v>
      </c>
      <c r="E4118">
        <v>0</v>
      </c>
      <c r="F4118">
        <v>0</v>
      </c>
      <c r="G4118">
        <v>4</v>
      </c>
      <c r="H4118">
        <v>2</v>
      </c>
      <c r="I4118">
        <v>3026.67</v>
      </c>
      <c r="J4118">
        <v>7</v>
      </c>
      <c r="K4118">
        <v>0</v>
      </c>
      <c r="L4118" s="4">
        <v>0.95402151503671262</v>
      </c>
      <c r="M4118" s="4">
        <v>4.5978484963287422E-2</v>
      </c>
      <c r="N4118">
        <v>10</v>
      </c>
    </row>
    <row r="4119" spans="1:14" x14ac:dyDescent="0.35">
      <c r="A4119" s="1">
        <v>840</v>
      </c>
      <c r="B4119">
        <v>6</v>
      </c>
      <c r="C4119">
        <v>72</v>
      </c>
      <c r="D4119">
        <v>2</v>
      </c>
      <c r="E4119">
        <v>0</v>
      </c>
      <c r="F4119">
        <v>0</v>
      </c>
      <c r="G4119">
        <v>4</v>
      </c>
      <c r="H4119">
        <v>2</v>
      </c>
      <c r="I4119">
        <v>3000</v>
      </c>
      <c r="J4119">
        <v>8</v>
      </c>
      <c r="K4119">
        <v>0</v>
      </c>
      <c r="L4119" s="4">
        <v>0.95403393111662749</v>
      </c>
      <c r="M4119" s="4">
        <v>4.5966068883372561E-2</v>
      </c>
      <c r="N4119">
        <v>10</v>
      </c>
    </row>
    <row r="4120" spans="1:14" x14ac:dyDescent="0.35">
      <c r="A4120" s="1">
        <v>2289</v>
      </c>
      <c r="B4120">
        <v>9</v>
      </c>
      <c r="C4120">
        <v>78</v>
      </c>
      <c r="D4120">
        <v>2</v>
      </c>
      <c r="E4120">
        <v>1</v>
      </c>
      <c r="F4120">
        <v>1</v>
      </c>
      <c r="G4120">
        <v>12</v>
      </c>
      <c r="H4120">
        <v>2</v>
      </c>
      <c r="I4120">
        <v>600</v>
      </c>
      <c r="J4120">
        <v>8</v>
      </c>
      <c r="K4120">
        <v>0</v>
      </c>
      <c r="L4120" s="4">
        <v>0.95410297959948709</v>
      </c>
      <c r="M4120" s="4">
        <v>4.5897020400512863E-2</v>
      </c>
      <c r="N4120">
        <v>10</v>
      </c>
    </row>
    <row r="4121" spans="1:14" x14ac:dyDescent="0.35">
      <c r="A4121" s="1">
        <v>2170</v>
      </c>
      <c r="B4121">
        <v>5</v>
      </c>
      <c r="C4121">
        <v>70</v>
      </c>
      <c r="D4121">
        <v>1</v>
      </c>
      <c r="E4121">
        <v>0</v>
      </c>
      <c r="F4121">
        <v>0</v>
      </c>
      <c r="G4121">
        <v>4</v>
      </c>
      <c r="H4121">
        <v>0</v>
      </c>
      <c r="I4121">
        <v>6104.66</v>
      </c>
      <c r="J4121">
        <v>8</v>
      </c>
      <c r="K4121">
        <v>0</v>
      </c>
      <c r="L4121" s="4">
        <v>0.95421083360682879</v>
      </c>
      <c r="M4121" s="4">
        <v>4.5789166393171182E-2</v>
      </c>
      <c r="N4121">
        <v>10</v>
      </c>
    </row>
    <row r="4122" spans="1:14" x14ac:dyDescent="0.35">
      <c r="A4122" s="1">
        <v>1889</v>
      </c>
      <c r="B4122">
        <v>3</v>
      </c>
      <c r="C4122">
        <v>58</v>
      </c>
      <c r="D4122">
        <v>3</v>
      </c>
      <c r="E4122">
        <v>0</v>
      </c>
      <c r="F4122">
        <v>3</v>
      </c>
      <c r="G4122">
        <v>3</v>
      </c>
      <c r="H4122">
        <v>2</v>
      </c>
      <c r="I4122">
        <v>1000</v>
      </c>
      <c r="J4122">
        <v>2</v>
      </c>
      <c r="K4122">
        <v>0</v>
      </c>
      <c r="L4122" s="4">
        <v>0.95428490597623161</v>
      </c>
      <c r="M4122" s="4">
        <v>4.5715094023768402E-2</v>
      </c>
      <c r="N4122">
        <v>10</v>
      </c>
    </row>
    <row r="4123" spans="1:14" x14ac:dyDescent="0.35">
      <c r="A4123" s="1">
        <v>2626</v>
      </c>
      <c r="B4123">
        <v>6</v>
      </c>
      <c r="C4123">
        <v>70</v>
      </c>
      <c r="D4123">
        <v>5</v>
      </c>
      <c r="E4123">
        <v>0</v>
      </c>
      <c r="F4123">
        <v>0</v>
      </c>
      <c r="G4123">
        <v>4</v>
      </c>
      <c r="H4123">
        <v>3</v>
      </c>
      <c r="I4123">
        <v>0.01</v>
      </c>
      <c r="J4123">
        <v>8</v>
      </c>
      <c r="K4123">
        <v>0</v>
      </c>
      <c r="L4123" s="4">
        <v>0.95435758696473538</v>
      </c>
      <c r="M4123" s="4">
        <v>4.5642413035264638E-2</v>
      </c>
      <c r="N4123">
        <v>10</v>
      </c>
    </row>
    <row r="4124" spans="1:14" x14ac:dyDescent="0.35">
      <c r="A4124" s="1">
        <v>3124</v>
      </c>
      <c r="B4124">
        <v>6</v>
      </c>
      <c r="C4124">
        <v>71</v>
      </c>
      <c r="D4124">
        <v>5</v>
      </c>
      <c r="E4124">
        <v>0</v>
      </c>
      <c r="F4124">
        <v>0</v>
      </c>
      <c r="G4124">
        <v>4</v>
      </c>
      <c r="H4124">
        <v>2</v>
      </c>
      <c r="I4124">
        <v>2000</v>
      </c>
      <c r="J4124">
        <v>15</v>
      </c>
      <c r="K4124">
        <v>0</v>
      </c>
      <c r="L4124" s="4">
        <v>0.95452909179902168</v>
      </c>
      <c r="M4124" s="4">
        <v>4.5470908200978308E-2</v>
      </c>
      <c r="N4124">
        <v>10</v>
      </c>
    </row>
    <row r="4125" spans="1:14" x14ac:dyDescent="0.35">
      <c r="A4125" s="1">
        <v>1745</v>
      </c>
      <c r="B4125">
        <v>7</v>
      </c>
      <c r="C4125">
        <v>74</v>
      </c>
      <c r="D4125">
        <v>4</v>
      </c>
      <c r="E4125">
        <v>0</v>
      </c>
      <c r="F4125">
        <v>3</v>
      </c>
      <c r="G4125">
        <v>3</v>
      </c>
      <c r="H4125">
        <v>2</v>
      </c>
      <c r="I4125">
        <v>3000</v>
      </c>
      <c r="J4125">
        <v>6</v>
      </c>
      <c r="K4125">
        <v>0</v>
      </c>
      <c r="L4125" s="4">
        <v>0.95453955743509922</v>
      </c>
      <c r="M4125" s="4">
        <v>4.5460442564900817E-2</v>
      </c>
      <c r="N4125">
        <v>10</v>
      </c>
    </row>
    <row r="4126" spans="1:14" x14ac:dyDescent="0.35">
      <c r="A4126" s="1">
        <v>3217</v>
      </c>
      <c r="B4126">
        <v>4</v>
      </c>
      <c r="C4126">
        <v>57</v>
      </c>
      <c r="D4126">
        <v>5</v>
      </c>
      <c r="E4126">
        <v>1</v>
      </c>
      <c r="F4126">
        <v>0</v>
      </c>
      <c r="G4126">
        <v>4</v>
      </c>
      <c r="H4126">
        <v>3</v>
      </c>
      <c r="I4126">
        <v>0.01</v>
      </c>
      <c r="J4126">
        <v>5</v>
      </c>
      <c r="K4126">
        <v>0</v>
      </c>
      <c r="L4126" s="4">
        <v>0.95455345559497218</v>
      </c>
      <c r="M4126" s="4">
        <v>4.5446544405027843E-2</v>
      </c>
      <c r="N4126">
        <v>10</v>
      </c>
    </row>
    <row r="4127" spans="1:14" x14ac:dyDescent="0.35">
      <c r="A4127" s="1">
        <v>4198</v>
      </c>
      <c r="B4127">
        <v>9</v>
      </c>
      <c r="C4127">
        <v>73</v>
      </c>
      <c r="D4127">
        <v>5</v>
      </c>
      <c r="E4127">
        <v>2</v>
      </c>
      <c r="F4127">
        <v>3</v>
      </c>
      <c r="G4127">
        <v>8</v>
      </c>
      <c r="H4127">
        <v>0</v>
      </c>
      <c r="I4127">
        <v>6000</v>
      </c>
      <c r="J4127">
        <v>9</v>
      </c>
      <c r="K4127">
        <v>0</v>
      </c>
      <c r="L4127" s="4">
        <v>0.95455615494860191</v>
      </c>
      <c r="M4127" s="4">
        <v>4.5443845051398098E-2</v>
      </c>
      <c r="N4127">
        <v>10</v>
      </c>
    </row>
    <row r="4128" spans="1:14" x14ac:dyDescent="0.35">
      <c r="A4128" s="1">
        <v>3736</v>
      </c>
      <c r="B4128">
        <v>8</v>
      </c>
      <c r="C4128">
        <v>74</v>
      </c>
      <c r="D4128">
        <v>1</v>
      </c>
      <c r="E4128">
        <v>1</v>
      </c>
      <c r="F4128">
        <v>3</v>
      </c>
      <c r="G4128">
        <v>8</v>
      </c>
      <c r="H4128">
        <v>2</v>
      </c>
      <c r="I4128">
        <v>3000</v>
      </c>
      <c r="J4128">
        <v>4</v>
      </c>
      <c r="K4128">
        <v>0</v>
      </c>
      <c r="L4128" s="4">
        <v>0.9546638920522893</v>
      </c>
      <c r="M4128" s="4">
        <v>4.5336107947710702E-2</v>
      </c>
      <c r="N4128">
        <v>10</v>
      </c>
    </row>
    <row r="4129" spans="1:14" x14ac:dyDescent="0.35">
      <c r="A4129" s="1">
        <v>1645</v>
      </c>
      <c r="B4129">
        <v>6</v>
      </c>
      <c r="C4129">
        <v>72</v>
      </c>
      <c r="D4129">
        <v>3</v>
      </c>
      <c r="E4129">
        <v>0</v>
      </c>
      <c r="F4129">
        <v>3</v>
      </c>
      <c r="G4129">
        <v>3</v>
      </c>
      <c r="H4129">
        <v>0</v>
      </c>
      <c r="I4129">
        <v>6053.35</v>
      </c>
      <c r="J4129">
        <v>5</v>
      </c>
      <c r="K4129">
        <v>0</v>
      </c>
      <c r="L4129" s="4">
        <v>0.95477370303710796</v>
      </c>
      <c r="M4129" s="4">
        <v>4.5226296962892092E-2</v>
      </c>
      <c r="N4129">
        <v>10</v>
      </c>
    </row>
    <row r="4130" spans="1:14" x14ac:dyDescent="0.35">
      <c r="A4130" s="1">
        <v>4351</v>
      </c>
      <c r="B4130">
        <v>7</v>
      </c>
      <c r="C4130">
        <v>67</v>
      </c>
      <c r="D4130">
        <v>1</v>
      </c>
      <c r="E4130">
        <v>2</v>
      </c>
      <c r="F4130">
        <v>0</v>
      </c>
      <c r="G4130">
        <v>2</v>
      </c>
      <c r="H4130">
        <v>2</v>
      </c>
      <c r="I4130">
        <v>1000</v>
      </c>
      <c r="J4130">
        <v>4</v>
      </c>
      <c r="K4130">
        <v>0</v>
      </c>
      <c r="L4130" s="4">
        <v>0.95479302861939563</v>
      </c>
      <c r="M4130" s="4">
        <v>4.5206971380604331E-2</v>
      </c>
      <c r="N4130">
        <v>10</v>
      </c>
    </row>
    <row r="4131" spans="1:14" x14ac:dyDescent="0.35">
      <c r="A4131" s="1">
        <v>1392</v>
      </c>
      <c r="B4131">
        <v>6</v>
      </c>
      <c r="C4131">
        <v>66</v>
      </c>
      <c r="D4131">
        <v>2</v>
      </c>
      <c r="E4131">
        <v>1</v>
      </c>
      <c r="F4131">
        <v>3</v>
      </c>
      <c r="G4131">
        <v>3</v>
      </c>
      <c r="H4131">
        <v>2</v>
      </c>
      <c r="I4131">
        <v>3000</v>
      </c>
      <c r="J4131">
        <v>4</v>
      </c>
      <c r="K4131">
        <v>0</v>
      </c>
      <c r="L4131" s="4">
        <v>0.95487543899075489</v>
      </c>
      <c r="M4131" s="4">
        <v>4.5124561009245112E-2</v>
      </c>
      <c r="N4131">
        <v>10</v>
      </c>
    </row>
    <row r="4132" spans="1:14" x14ac:dyDescent="0.35">
      <c r="A4132" s="1">
        <v>4052</v>
      </c>
      <c r="B4132">
        <v>4</v>
      </c>
      <c r="C4132">
        <v>65</v>
      </c>
      <c r="D4132">
        <v>2</v>
      </c>
      <c r="E4132">
        <v>0</v>
      </c>
      <c r="F4132">
        <v>0</v>
      </c>
      <c r="G4132">
        <v>11</v>
      </c>
      <c r="H4132">
        <v>0</v>
      </c>
      <c r="I4132">
        <v>6000</v>
      </c>
      <c r="J4132">
        <v>2</v>
      </c>
      <c r="K4132">
        <v>1</v>
      </c>
      <c r="L4132" s="4">
        <v>0.95488141461506337</v>
      </c>
      <c r="M4132" s="4">
        <v>4.5118585384936627E-2</v>
      </c>
      <c r="N4132">
        <v>10</v>
      </c>
    </row>
    <row r="4133" spans="1:14" x14ac:dyDescent="0.35">
      <c r="A4133" s="1">
        <v>3563</v>
      </c>
      <c r="B4133">
        <v>5</v>
      </c>
      <c r="C4133">
        <v>66</v>
      </c>
      <c r="D4133">
        <v>2</v>
      </c>
      <c r="E4133">
        <v>0</v>
      </c>
      <c r="F4133">
        <v>4</v>
      </c>
      <c r="G4133">
        <v>9</v>
      </c>
      <c r="H4133">
        <v>2</v>
      </c>
      <c r="I4133">
        <v>728</v>
      </c>
      <c r="J4133">
        <v>13</v>
      </c>
      <c r="K4133">
        <v>0</v>
      </c>
      <c r="L4133" s="4">
        <v>0.95494852936690522</v>
      </c>
      <c r="M4133" s="4">
        <v>4.505147063309476E-2</v>
      </c>
      <c r="N4133">
        <v>10</v>
      </c>
    </row>
    <row r="4134" spans="1:14" x14ac:dyDescent="0.35">
      <c r="A4134" s="1">
        <v>12</v>
      </c>
      <c r="B4134">
        <v>7</v>
      </c>
      <c r="C4134">
        <v>75</v>
      </c>
      <c r="D4134">
        <v>1</v>
      </c>
      <c r="E4134">
        <v>0</v>
      </c>
      <c r="F4134">
        <v>3</v>
      </c>
      <c r="G4134">
        <v>8</v>
      </c>
      <c r="H4134">
        <v>2</v>
      </c>
      <c r="I4134">
        <v>3566</v>
      </c>
      <c r="J4134">
        <v>4</v>
      </c>
      <c r="K4134">
        <v>0</v>
      </c>
      <c r="L4134" s="4">
        <v>0.95498750524990927</v>
      </c>
      <c r="M4134" s="4">
        <v>4.5012494750090691E-2</v>
      </c>
      <c r="N4134">
        <v>10</v>
      </c>
    </row>
    <row r="4135" spans="1:14" x14ac:dyDescent="0.35">
      <c r="A4135" s="1">
        <v>3921</v>
      </c>
      <c r="B4135">
        <v>5</v>
      </c>
      <c r="C4135">
        <v>69</v>
      </c>
      <c r="D4135">
        <v>5</v>
      </c>
      <c r="E4135">
        <v>0</v>
      </c>
      <c r="F4135">
        <v>0</v>
      </c>
      <c r="G4135">
        <v>2</v>
      </c>
      <c r="H4135">
        <v>0</v>
      </c>
      <c r="I4135">
        <v>12106.7</v>
      </c>
      <c r="J4135">
        <v>13</v>
      </c>
      <c r="K4135">
        <v>0</v>
      </c>
      <c r="L4135" s="4">
        <v>0.95498923817016224</v>
      </c>
      <c r="M4135" s="4">
        <v>4.5010761829837723E-2</v>
      </c>
      <c r="N4135">
        <v>10</v>
      </c>
    </row>
    <row r="4136" spans="1:14" x14ac:dyDescent="0.35">
      <c r="A4136" s="1">
        <v>3999</v>
      </c>
      <c r="B4136">
        <v>3</v>
      </c>
      <c r="C4136">
        <v>61</v>
      </c>
      <c r="D4136">
        <v>1</v>
      </c>
      <c r="E4136">
        <v>0</v>
      </c>
      <c r="F4136">
        <v>3</v>
      </c>
      <c r="G4136">
        <v>3</v>
      </c>
      <c r="H4136">
        <v>0</v>
      </c>
      <c r="I4136">
        <v>12160.99</v>
      </c>
      <c r="J4136">
        <v>6</v>
      </c>
      <c r="K4136">
        <v>0</v>
      </c>
      <c r="L4136" s="4">
        <v>0.95501094522844532</v>
      </c>
      <c r="M4136" s="4">
        <v>4.4989054771554703E-2</v>
      </c>
      <c r="N4136">
        <v>10</v>
      </c>
    </row>
    <row r="4137" spans="1:14" x14ac:dyDescent="0.35">
      <c r="A4137" s="1">
        <v>696</v>
      </c>
      <c r="B4137">
        <v>4</v>
      </c>
      <c r="C4137">
        <v>52</v>
      </c>
      <c r="D4137">
        <v>3</v>
      </c>
      <c r="E4137">
        <v>2</v>
      </c>
      <c r="F4137">
        <v>2</v>
      </c>
      <c r="G4137">
        <v>6</v>
      </c>
      <c r="H4137">
        <v>3</v>
      </c>
      <c r="I4137">
        <v>0.01</v>
      </c>
      <c r="J4137">
        <v>4</v>
      </c>
      <c r="K4137">
        <v>0</v>
      </c>
      <c r="L4137" s="4">
        <v>0.95503323407642482</v>
      </c>
      <c r="M4137" s="4">
        <v>4.4966765923575132E-2</v>
      </c>
      <c r="N4137">
        <v>10</v>
      </c>
    </row>
    <row r="4138" spans="1:14" x14ac:dyDescent="0.35">
      <c r="A4138" s="1">
        <v>2328</v>
      </c>
      <c r="B4138">
        <v>5</v>
      </c>
      <c r="C4138">
        <v>62</v>
      </c>
      <c r="D4138">
        <v>2</v>
      </c>
      <c r="E4138">
        <v>1</v>
      </c>
      <c r="F4138">
        <v>1</v>
      </c>
      <c r="G4138">
        <v>5</v>
      </c>
      <c r="H4138">
        <v>3</v>
      </c>
      <c r="I4138">
        <v>0.01</v>
      </c>
      <c r="J4138">
        <v>5</v>
      </c>
      <c r="K4138">
        <v>0</v>
      </c>
      <c r="L4138" s="4">
        <v>0.95507800450992886</v>
      </c>
      <c r="M4138" s="4">
        <v>4.4921995490071129E-2</v>
      </c>
      <c r="N4138">
        <v>10</v>
      </c>
    </row>
    <row r="4139" spans="1:14" x14ac:dyDescent="0.35">
      <c r="A4139" s="1">
        <v>2920</v>
      </c>
      <c r="B4139">
        <v>3</v>
      </c>
      <c r="C4139">
        <v>54</v>
      </c>
      <c r="D4139">
        <v>5</v>
      </c>
      <c r="E4139">
        <v>1</v>
      </c>
      <c r="F4139">
        <v>0</v>
      </c>
      <c r="G4139">
        <v>4</v>
      </c>
      <c r="H4139">
        <v>2</v>
      </c>
      <c r="I4139">
        <v>5000</v>
      </c>
      <c r="J4139">
        <v>4</v>
      </c>
      <c r="K4139">
        <v>0</v>
      </c>
      <c r="L4139" s="4">
        <v>0.95508891079409819</v>
      </c>
      <c r="M4139" s="4">
        <v>4.4911089205901839E-2</v>
      </c>
      <c r="N4139">
        <v>10</v>
      </c>
    </row>
    <row r="4140" spans="1:14" x14ac:dyDescent="0.35">
      <c r="A4140" s="1">
        <v>640</v>
      </c>
      <c r="B4140">
        <v>5</v>
      </c>
      <c r="C4140">
        <v>68</v>
      </c>
      <c r="D4140">
        <v>1</v>
      </c>
      <c r="E4140">
        <v>0</v>
      </c>
      <c r="F4140">
        <v>0</v>
      </c>
      <c r="G4140">
        <v>4</v>
      </c>
      <c r="H4140">
        <v>3</v>
      </c>
      <c r="I4140">
        <v>0.01</v>
      </c>
      <c r="J4140">
        <v>8</v>
      </c>
      <c r="K4140">
        <v>0</v>
      </c>
      <c r="L4140" s="4">
        <v>0.95514208632915942</v>
      </c>
      <c r="M4140" s="4">
        <v>4.4857913670840563E-2</v>
      </c>
      <c r="N4140">
        <v>10</v>
      </c>
    </row>
    <row r="4141" spans="1:14" x14ac:dyDescent="0.35">
      <c r="A4141" s="1">
        <v>154</v>
      </c>
      <c r="B4141">
        <v>8</v>
      </c>
      <c r="C4141">
        <v>71</v>
      </c>
      <c r="D4141">
        <v>2</v>
      </c>
      <c r="E4141">
        <v>2</v>
      </c>
      <c r="F4141">
        <v>3</v>
      </c>
      <c r="G4141">
        <v>3</v>
      </c>
      <c r="H4141">
        <v>0</v>
      </c>
      <c r="I4141">
        <v>6053.35</v>
      </c>
      <c r="J4141">
        <v>7</v>
      </c>
      <c r="K4141">
        <v>0</v>
      </c>
      <c r="L4141" s="4">
        <v>0.95539451398046626</v>
      </c>
      <c r="M4141" s="4">
        <v>4.4605486019533687E-2</v>
      </c>
      <c r="N4141">
        <v>10</v>
      </c>
    </row>
    <row r="4142" spans="1:14" x14ac:dyDescent="0.35">
      <c r="A4142" s="1">
        <v>3196</v>
      </c>
      <c r="B4142">
        <v>7</v>
      </c>
      <c r="C4142">
        <v>72</v>
      </c>
      <c r="D4142">
        <v>2</v>
      </c>
      <c r="E4142">
        <v>1</v>
      </c>
      <c r="F4142">
        <v>3</v>
      </c>
      <c r="G4142">
        <v>3</v>
      </c>
      <c r="H4142">
        <v>0</v>
      </c>
      <c r="I4142">
        <v>9000</v>
      </c>
      <c r="J4142">
        <v>9</v>
      </c>
      <c r="K4142">
        <v>0</v>
      </c>
      <c r="L4142" s="4">
        <v>0.95544122685597765</v>
      </c>
      <c r="M4142" s="4">
        <v>4.4558773144022353E-2</v>
      </c>
      <c r="N4142">
        <v>10</v>
      </c>
    </row>
    <row r="4143" spans="1:14" x14ac:dyDescent="0.35">
      <c r="A4143" s="1">
        <v>2187</v>
      </c>
      <c r="B4143">
        <v>7</v>
      </c>
      <c r="C4143">
        <v>77</v>
      </c>
      <c r="D4143">
        <v>1</v>
      </c>
      <c r="E4143">
        <v>0</v>
      </c>
      <c r="F4143">
        <v>3</v>
      </c>
      <c r="G4143">
        <v>8</v>
      </c>
      <c r="H4143">
        <v>0</v>
      </c>
      <c r="I4143">
        <v>15000</v>
      </c>
      <c r="J4143">
        <v>5</v>
      </c>
      <c r="K4143">
        <v>0</v>
      </c>
      <c r="L4143" s="4">
        <v>0.95552673870944438</v>
      </c>
      <c r="M4143" s="4">
        <v>4.4473261290555587E-2</v>
      </c>
      <c r="N4143">
        <v>10</v>
      </c>
    </row>
    <row r="4144" spans="1:14" x14ac:dyDescent="0.35">
      <c r="A4144" s="1">
        <v>3811</v>
      </c>
      <c r="B4144">
        <v>3</v>
      </c>
      <c r="C4144">
        <v>58</v>
      </c>
      <c r="D4144">
        <v>3</v>
      </c>
      <c r="E4144">
        <v>0</v>
      </c>
      <c r="F4144">
        <v>1</v>
      </c>
      <c r="G4144">
        <v>12</v>
      </c>
      <c r="H4144">
        <v>3</v>
      </c>
      <c r="I4144">
        <v>0.01</v>
      </c>
      <c r="J4144">
        <v>7</v>
      </c>
      <c r="K4144">
        <v>0</v>
      </c>
      <c r="L4144" s="4">
        <v>0.95565032534401706</v>
      </c>
      <c r="M4144" s="4">
        <v>4.4349674655982933E-2</v>
      </c>
      <c r="N4144">
        <v>10</v>
      </c>
    </row>
    <row r="4145" spans="1:14" x14ac:dyDescent="0.35">
      <c r="A4145" s="1">
        <v>176</v>
      </c>
      <c r="B4145">
        <v>7</v>
      </c>
      <c r="C4145">
        <v>74</v>
      </c>
      <c r="D4145">
        <v>1</v>
      </c>
      <c r="E4145">
        <v>1</v>
      </c>
      <c r="F4145">
        <v>0</v>
      </c>
      <c r="G4145">
        <v>4</v>
      </c>
      <c r="H4145">
        <v>0</v>
      </c>
      <c r="I4145">
        <v>14119</v>
      </c>
      <c r="J4145">
        <v>9</v>
      </c>
      <c r="K4145">
        <v>0</v>
      </c>
      <c r="L4145" s="4">
        <v>0.95569648277386743</v>
      </c>
      <c r="M4145" s="4">
        <v>4.4303517226132537E-2</v>
      </c>
      <c r="N4145">
        <v>10</v>
      </c>
    </row>
    <row r="4146" spans="1:14" x14ac:dyDescent="0.35">
      <c r="A4146" s="1">
        <v>1241</v>
      </c>
      <c r="B4146">
        <v>4</v>
      </c>
      <c r="C4146">
        <v>67</v>
      </c>
      <c r="D4146">
        <v>1</v>
      </c>
      <c r="E4146">
        <v>0</v>
      </c>
      <c r="F4146">
        <v>0</v>
      </c>
      <c r="G4146">
        <v>2</v>
      </c>
      <c r="H4146">
        <v>0</v>
      </c>
      <c r="I4146">
        <v>15861.88</v>
      </c>
      <c r="J4146">
        <v>9</v>
      </c>
      <c r="K4146">
        <v>0</v>
      </c>
      <c r="L4146" s="4">
        <v>0.95572488228038022</v>
      </c>
      <c r="M4146" s="4">
        <v>4.4275117719619728E-2</v>
      </c>
      <c r="N4146">
        <v>10</v>
      </c>
    </row>
    <row r="4147" spans="1:14" x14ac:dyDescent="0.35">
      <c r="A4147" s="1">
        <v>3890</v>
      </c>
      <c r="B4147">
        <v>6</v>
      </c>
      <c r="C4147">
        <v>72</v>
      </c>
      <c r="D4147">
        <v>4</v>
      </c>
      <c r="E4147">
        <v>0</v>
      </c>
      <c r="F4147">
        <v>1</v>
      </c>
      <c r="G4147">
        <v>12</v>
      </c>
      <c r="H4147">
        <v>0</v>
      </c>
      <c r="I4147">
        <v>6000</v>
      </c>
      <c r="J4147">
        <v>2</v>
      </c>
      <c r="K4147">
        <v>0</v>
      </c>
      <c r="L4147" s="4">
        <v>0.95574805144910224</v>
      </c>
      <c r="M4147" s="4">
        <v>4.4251948550897778E-2</v>
      </c>
      <c r="N4147">
        <v>10</v>
      </c>
    </row>
    <row r="4148" spans="1:14" x14ac:dyDescent="0.35">
      <c r="A4148" s="1">
        <v>1913</v>
      </c>
      <c r="B4148">
        <v>8</v>
      </c>
      <c r="C4148">
        <v>79</v>
      </c>
      <c r="D4148">
        <v>2</v>
      </c>
      <c r="E4148">
        <v>0</v>
      </c>
      <c r="F4148">
        <v>3</v>
      </c>
      <c r="G4148">
        <v>8</v>
      </c>
      <c r="H4148">
        <v>2</v>
      </c>
      <c r="I4148">
        <v>50.01</v>
      </c>
      <c r="J4148">
        <v>9</v>
      </c>
      <c r="K4148">
        <v>0</v>
      </c>
      <c r="L4148" s="4">
        <v>0.95594572271218214</v>
      </c>
      <c r="M4148" s="4">
        <v>4.4054277287817828E-2</v>
      </c>
      <c r="N4148">
        <v>10</v>
      </c>
    </row>
    <row r="4149" spans="1:14" x14ac:dyDescent="0.35">
      <c r="A4149" s="1">
        <v>1095</v>
      </c>
      <c r="B4149">
        <v>7</v>
      </c>
      <c r="C4149">
        <v>68</v>
      </c>
      <c r="D4149">
        <v>5</v>
      </c>
      <c r="E4149">
        <v>1</v>
      </c>
      <c r="F4149">
        <v>4</v>
      </c>
      <c r="G4149">
        <v>9</v>
      </c>
      <c r="H4149">
        <v>2</v>
      </c>
      <c r="I4149">
        <v>180</v>
      </c>
      <c r="J4149">
        <v>1</v>
      </c>
      <c r="K4149">
        <v>0</v>
      </c>
      <c r="L4149" s="4">
        <v>0.95595306300282967</v>
      </c>
      <c r="M4149" s="4">
        <v>4.4046936997170272E-2</v>
      </c>
      <c r="N4149">
        <v>10</v>
      </c>
    </row>
    <row r="4150" spans="1:14" x14ac:dyDescent="0.35">
      <c r="A4150" s="1">
        <v>520</v>
      </c>
      <c r="B4150">
        <v>6</v>
      </c>
      <c r="C4150">
        <v>73</v>
      </c>
      <c r="D4150">
        <v>0</v>
      </c>
      <c r="E4150">
        <v>0</v>
      </c>
      <c r="F4150">
        <v>1</v>
      </c>
      <c r="G4150">
        <v>7</v>
      </c>
      <c r="H4150">
        <v>2</v>
      </c>
      <c r="I4150">
        <v>1000</v>
      </c>
      <c r="J4150">
        <v>16</v>
      </c>
      <c r="K4150">
        <v>0</v>
      </c>
      <c r="L4150" s="4">
        <v>0.95598448393726598</v>
      </c>
      <c r="M4150" s="4">
        <v>4.4015516062734059E-2</v>
      </c>
      <c r="N4150">
        <v>10</v>
      </c>
    </row>
    <row r="4151" spans="1:14" x14ac:dyDescent="0.35">
      <c r="A4151" s="1">
        <v>3562</v>
      </c>
      <c r="B4151">
        <v>7</v>
      </c>
      <c r="C4151">
        <v>77</v>
      </c>
      <c r="D4151">
        <v>2</v>
      </c>
      <c r="E4151">
        <v>0</v>
      </c>
      <c r="F4151">
        <v>0</v>
      </c>
      <c r="G4151">
        <v>4</v>
      </c>
      <c r="H4151">
        <v>2</v>
      </c>
      <c r="I4151">
        <v>1000</v>
      </c>
      <c r="J4151">
        <v>18</v>
      </c>
      <c r="K4151">
        <v>0</v>
      </c>
      <c r="L4151" s="4">
        <v>0.95607360412910014</v>
      </c>
      <c r="M4151" s="4">
        <v>4.3926395870899873E-2</v>
      </c>
      <c r="N4151">
        <v>10</v>
      </c>
    </row>
    <row r="4152" spans="1:14" x14ac:dyDescent="0.35">
      <c r="A4152" s="1">
        <v>2747</v>
      </c>
      <c r="B4152">
        <v>2</v>
      </c>
      <c r="C4152">
        <v>58</v>
      </c>
      <c r="D4152">
        <v>1</v>
      </c>
      <c r="E4152">
        <v>0</v>
      </c>
      <c r="F4152">
        <v>1</v>
      </c>
      <c r="G4152">
        <v>7</v>
      </c>
      <c r="H4152">
        <v>0</v>
      </c>
      <c r="I4152">
        <v>12000.01</v>
      </c>
      <c r="J4152">
        <v>8</v>
      </c>
      <c r="K4152">
        <v>0</v>
      </c>
      <c r="L4152" s="4">
        <v>0.95611462012738135</v>
      </c>
      <c r="M4152" s="4">
        <v>4.3885379872618598E-2</v>
      </c>
      <c r="N4152">
        <v>10</v>
      </c>
    </row>
    <row r="4153" spans="1:14" x14ac:dyDescent="0.35">
      <c r="A4153" s="1">
        <v>3285</v>
      </c>
      <c r="B4153">
        <v>7</v>
      </c>
      <c r="C4153">
        <v>74</v>
      </c>
      <c r="D4153">
        <v>1</v>
      </c>
      <c r="E4153">
        <v>1</v>
      </c>
      <c r="F4153">
        <v>0</v>
      </c>
      <c r="G4153">
        <v>4</v>
      </c>
      <c r="H4153">
        <v>0</v>
      </c>
      <c r="I4153">
        <v>12000</v>
      </c>
      <c r="J4153">
        <v>3</v>
      </c>
      <c r="K4153">
        <v>1</v>
      </c>
      <c r="L4153" s="4">
        <v>0.95616512506456541</v>
      </c>
      <c r="M4153" s="4">
        <v>4.3834874935434601E-2</v>
      </c>
      <c r="N4153">
        <v>10</v>
      </c>
    </row>
    <row r="4154" spans="1:14" x14ac:dyDescent="0.35">
      <c r="A4154" s="1">
        <v>3787</v>
      </c>
      <c r="B4154">
        <v>7</v>
      </c>
      <c r="C4154">
        <v>71</v>
      </c>
      <c r="D4154">
        <v>1</v>
      </c>
      <c r="E4154">
        <v>1</v>
      </c>
      <c r="F4154">
        <v>3</v>
      </c>
      <c r="G4154">
        <v>3</v>
      </c>
      <c r="H4154">
        <v>2</v>
      </c>
      <c r="I4154">
        <v>50.01</v>
      </c>
      <c r="J4154">
        <v>8</v>
      </c>
      <c r="K4154">
        <v>0</v>
      </c>
      <c r="L4154" s="4">
        <v>0.9561699708478586</v>
      </c>
      <c r="M4154" s="4">
        <v>4.3830029152141438E-2</v>
      </c>
      <c r="N4154">
        <v>10</v>
      </c>
    </row>
    <row r="4155" spans="1:14" x14ac:dyDescent="0.35">
      <c r="A4155" s="1">
        <v>235</v>
      </c>
      <c r="B4155">
        <v>7</v>
      </c>
      <c r="C4155">
        <v>75</v>
      </c>
      <c r="D4155">
        <v>3</v>
      </c>
      <c r="E4155">
        <v>0</v>
      </c>
      <c r="F4155">
        <v>3</v>
      </c>
      <c r="G4155">
        <v>3</v>
      </c>
      <c r="H4155">
        <v>2</v>
      </c>
      <c r="I4155">
        <v>1000</v>
      </c>
      <c r="J4155">
        <v>4</v>
      </c>
      <c r="K4155">
        <v>0</v>
      </c>
      <c r="L4155" s="4">
        <v>0.95623001873705571</v>
      </c>
      <c r="M4155" s="4">
        <v>4.3769981262944249E-2</v>
      </c>
      <c r="N4155">
        <v>10</v>
      </c>
    </row>
    <row r="4156" spans="1:14" x14ac:dyDescent="0.35">
      <c r="A4156" s="1">
        <v>95</v>
      </c>
      <c r="B4156">
        <v>3</v>
      </c>
      <c r="C4156">
        <v>56</v>
      </c>
      <c r="D4156">
        <v>2</v>
      </c>
      <c r="E4156">
        <v>1</v>
      </c>
      <c r="F4156">
        <v>3</v>
      </c>
      <c r="G4156">
        <v>3</v>
      </c>
      <c r="H4156">
        <v>0</v>
      </c>
      <c r="I4156">
        <v>6000</v>
      </c>
      <c r="J4156">
        <v>5</v>
      </c>
      <c r="K4156">
        <v>0</v>
      </c>
      <c r="L4156" s="4">
        <v>0.95637105284442936</v>
      </c>
      <c r="M4156" s="4">
        <v>4.3628947155570627E-2</v>
      </c>
      <c r="N4156">
        <v>10</v>
      </c>
    </row>
    <row r="4157" spans="1:14" x14ac:dyDescent="0.35">
      <c r="A4157" s="1">
        <v>3965</v>
      </c>
      <c r="B4157">
        <v>4</v>
      </c>
      <c r="C4157">
        <v>53</v>
      </c>
      <c r="D4157">
        <v>5</v>
      </c>
      <c r="E4157">
        <v>2</v>
      </c>
      <c r="F4157">
        <v>0</v>
      </c>
      <c r="G4157">
        <v>2</v>
      </c>
      <c r="H4157">
        <v>3</v>
      </c>
      <c r="I4157">
        <v>0.01</v>
      </c>
      <c r="J4157">
        <v>5</v>
      </c>
      <c r="K4157">
        <v>0</v>
      </c>
      <c r="L4157" s="4">
        <v>0.95641624430529659</v>
      </c>
      <c r="M4157" s="4">
        <v>4.3583755694703442E-2</v>
      </c>
      <c r="N4157">
        <v>10</v>
      </c>
    </row>
    <row r="4158" spans="1:14" x14ac:dyDescent="0.35">
      <c r="A4158" s="1">
        <v>3915</v>
      </c>
      <c r="B4158">
        <v>4</v>
      </c>
      <c r="C4158">
        <v>63</v>
      </c>
      <c r="D4158">
        <v>3</v>
      </c>
      <c r="E4158">
        <v>0</v>
      </c>
      <c r="F4158">
        <v>3</v>
      </c>
      <c r="G4158">
        <v>3</v>
      </c>
      <c r="H4158">
        <v>2</v>
      </c>
      <c r="I4158">
        <v>3000</v>
      </c>
      <c r="J4158">
        <v>4</v>
      </c>
      <c r="K4158">
        <v>0</v>
      </c>
      <c r="L4158" s="4">
        <v>0.95647391059366282</v>
      </c>
      <c r="M4158" s="4">
        <v>4.3526089406337183E-2</v>
      </c>
      <c r="N4158">
        <v>10</v>
      </c>
    </row>
    <row r="4159" spans="1:14" x14ac:dyDescent="0.35">
      <c r="A4159" s="1">
        <v>4250</v>
      </c>
      <c r="B4159">
        <v>5</v>
      </c>
      <c r="C4159">
        <v>63</v>
      </c>
      <c r="D4159">
        <v>5</v>
      </c>
      <c r="E4159">
        <v>1</v>
      </c>
      <c r="F4159">
        <v>3</v>
      </c>
      <c r="G4159">
        <v>3</v>
      </c>
      <c r="H4159">
        <v>0</v>
      </c>
      <c r="I4159">
        <v>11755.49</v>
      </c>
      <c r="J4159">
        <v>4</v>
      </c>
      <c r="K4159">
        <v>0</v>
      </c>
      <c r="L4159" s="4">
        <v>0.9565668215954779</v>
      </c>
      <c r="M4159" s="4">
        <v>4.3433178404522113E-2</v>
      </c>
      <c r="N4159">
        <v>10</v>
      </c>
    </row>
    <row r="4160" spans="1:14" x14ac:dyDescent="0.35">
      <c r="A4160" s="1">
        <v>3864</v>
      </c>
      <c r="B4160">
        <v>5</v>
      </c>
      <c r="C4160">
        <v>61</v>
      </c>
      <c r="D4160">
        <v>3</v>
      </c>
      <c r="E4160">
        <v>1</v>
      </c>
      <c r="F4160">
        <v>3</v>
      </c>
      <c r="G4160">
        <v>8</v>
      </c>
      <c r="H4160">
        <v>3</v>
      </c>
      <c r="I4160">
        <v>0.01</v>
      </c>
      <c r="J4160">
        <v>5</v>
      </c>
      <c r="K4160">
        <v>0</v>
      </c>
      <c r="L4160" s="4">
        <v>0.95674036651619765</v>
      </c>
      <c r="M4160" s="4">
        <v>4.3259633483802351E-2</v>
      </c>
      <c r="N4160">
        <v>10</v>
      </c>
    </row>
    <row r="4161" spans="1:14" x14ac:dyDescent="0.35">
      <c r="A4161" s="1">
        <v>2822</v>
      </c>
      <c r="B4161">
        <v>5</v>
      </c>
      <c r="C4161">
        <v>64</v>
      </c>
      <c r="D4161">
        <v>2</v>
      </c>
      <c r="E4161">
        <v>1</v>
      </c>
      <c r="F4161">
        <v>0</v>
      </c>
      <c r="G4161">
        <v>4</v>
      </c>
      <c r="H4161">
        <v>2</v>
      </c>
      <c r="I4161">
        <v>1000</v>
      </c>
      <c r="J4161">
        <v>6</v>
      </c>
      <c r="K4161">
        <v>0</v>
      </c>
      <c r="L4161" s="4">
        <v>0.95674362564189386</v>
      </c>
      <c r="M4161" s="4">
        <v>4.3256374358106101E-2</v>
      </c>
      <c r="N4161">
        <v>10</v>
      </c>
    </row>
    <row r="4162" spans="1:14" x14ac:dyDescent="0.35">
      <c r="A4162" s="1">
        <v>3666</v>
      </c>
      <c r="B4162">
        <v>6</v>
      </c>
      <c r="C4162">
        <v>74</v>
      </c>
      <c r="D4162">
        <v>2</v>
      </c>
      <c r="E4162">
        <v>0</v>
      </c>
      <c r="F4162">
        <v>0</v>
      </c>
      <c r="G4162">
        <v>11</v>
      </c>
      <c r="H4162">
        <v>0</v>
      </c>
      <c r="I4162">
        <v>6053.35</v>
      </c>
      <c r="J4162">
        <v>6</v>
      </c>
      <c r="K4162">
        <v>0</v>
      </c>
      <c r="L4162" s="4">
        <v>0.95694208599736208</v>
      </c>
      <c r="M4162" s="4">
        <v>4.3057914002637913E-2</v>
      </c>
      <c r="N4162">
        <v>10</v>
      </c>
    </row>
    <row r="4163" spans="1:14" x14ac:dyDescent="0.35">
      <c r="A4163" s="1">
        <v>2775</v>
      </c>
      <c r="B4163">
        <v>2</v>
      </c>
      <c r="C4163">
        <v>54</v>
      </c>
      <c r="D4163">
        <v>4</v>
      </c>
      <c r="E4163">
        <v>0</v>
      </c>
      <c r="F4163">
        <v>3</v>
      </c>
      <c r="G4163">
        <v>3</v>
      </c>
      <c r="H4163">
        <v>3</v>
      </c>
      <c r="I4163">
        <v>0.01</v>
      </c>
      <c r="J4163">
        <v>8</v>
      </c>
      <c r="K4163">
        <v>0</v>
      </c>
      <c r="L4163" s="4">
        <v>0.95713013287624626</v>
      </c>
      <c r="M4163" s="4">
        <v>4.2869867123753708E-2</v>
      </c>
      <c r="N4163">
        <v>10</v>
      </c>
    </row>
    <row r="4164" spans="1:14" x14ac:dyDescent="0.35">
      <c r="A4164" s="1">
        <v>3545</v>
      </c>
      <c r="B4164">
        <v>8</v>
      </c>
      <c r="C4164">
        <v>76</v>
      </c>
      <c r="D4164">
        <v>1</v>
      </c>
      <c r="E4164">
        <v>1</v>
      </c>
      <c r="F4164">
        <v>0</v>
      </c>
      <c r="G4164">
        <v>4</v>
      </c>
      <c r="H4164">
        <v>3</v>
      </c>
      <c r="I4164">
        <v>0.01</v>
      </c>
      <c r="J4164">
        <v>6</v>
      </c>
      <c r="K4164">
        <v>0</v>
      </c>
      <c r="L4164" s="4">
        <v>0.9571660452434082</v>
      </c>
      <c r="M4164" s="4">
        <v>4.2833954756591748E-2</v>
      </c>
      <c r="N4164">
        <v>10</v>
      </c>
    </row>
    <row r="4165" spans="1:14" x14ac:dyDescent="0.35">
      <c r="A4165" s="1">
        <v>795</v>
      </c>
      <c r="B4165">
        <v>7</v>
      </c>
      <c r="C4165">
        <v>76</v>
      </c>
      <c r="D4165">
        <v>4</v>
      </c>
      <c r="E4165">
        <v>0</v>
      </c>
      <c r="F4165">
        <v>1</v>
      </c>
      <c r="G4165">
        <v>7</v>
      </c>
      <c r="H4165">
        <v>2</v>
      </c>
      <c r="I4165">
        <v>3426.88</v>
      </c>
      <c r="J4165">
        <v>23</v>
      </c>
      <c r="K4165">
        <v>0</v>
      </c>
      <c r="L4165" s="4">
        <v>0.95719320084740989</v>
      </c>
      <c r="M4165" s="4">
        <v>4.2806799152590121E-2</v>
      </c>
      <c r="N4165">
        <v>10</v>
      </c>
    </row>
    <row r="4166" spans="1:14" x14ac:dyDescent="0.35">
      <c r="A4166" s="1">
        <v>3020</v>
      </c>
      <c r="B4166">
        <v>4</v>
      </c>
      <c r="C4166">
        <v>61</v>
      </c>
      <c r="D4166">
        <v>2</v>
      </c>
      <c r="E4166">
        <v>1</v>
      </c>
      <c r="F4166">
        <v>1</v>
      </c>
      <c r="G4166">
        <v>7</v>
      </c>
      <c r="H4166">
        <v>0</v>
      </c>
      <c r="I4166">
        <v>5000.01</v>
      </c>
      <c r="J4166">
        <v>8</v>
      </c>
      <c r="K4166">
        <v>0</v>
      </c>
      <c r="L4166" s="4">
        <v>0.95719865502311618</v>
      </c>
      <c r="M4166" s="4">
        <v>4.2801344976883773E-2</v>
      </c>
      <c r="N4166">
        <v>10</v>
      </c>
    </row>
    <row r="4167" spans="1:14" x14ac:dyDescent="0.35">
      <c r="A4167" s="1">
        <v>2104</v>
      </c>
      <c r="B4167">
        <v>6</v>
      </c>
      <c r="C4167">
        <v>72</v>
      </c>
      <c r="D4167">
        <v>0</v>
      </c>
      <c r="E4167">
        <v>0</v>
      </c>
      <c r="F4167">
        <v>3</v>
      </c>
      <c r="G4167">
        <v>3</v>
      </c>
      <c r="H4167">
        <v>3</v>
      </c>
      <c r="I4167">
        <v>0.01</v>
      </c>
      <c r="J4167">
        <v>7</v>
      </c>
      <c r="K4167">
        <v>0</v>
      </c>
      <c r="L4167" s="4">
        <v>0.95730767192227439</v>
      </c>
      <c r="M4167" s="4">
        <v>4.269232807772564E-2</v>
      </c>
      <c r="N4167">
        <v>10</v>
      </c>
    </row>
    <row r="4168" spans="1:14" x14ac:dyDescent="0.35">
      <c r="A4168" s="1">
        <v>834</v>
      </c>
      <c r="B4168">
        <v>4</v>
      </c>
      <c r="C4168">
        <v>66</v>
      </c>
      <c r="D4168">
        <v>1</v>
      </c>
      <c r="E4168">
        <v>0</v>
      </c>
      <c r="F4168">
        <v>3</v>
      </c>
      <c r="G4168">
        <v>3</v>
      </c>
      <c r="H4168">
        <v>0</v>
      </c>
      <c r="I4168">
        <v>12000</v>
      </c>
      <c r="J4168">
        <v>8</v>
      </c>
      <c r="K4168">
        <v>0</v>
      </c>
      <c r="L4168" s="4">
        <v>0.95730926993214538</v>
      </c>
      <c r="M4168" s="4">
        <v>4.2690730067854663E-2</v>
      </c>
      <c r="N4168">
        <v>10</v>
      </c>
    </row>
    <row r="4169" spans="1:14" x14ac:dyDescent="0.35">
      <c r="A4169" s="1">
        <v>2094</v>
      </c>
      <c r="B4169">
        <v>6</v>
      </c>
      <c r="C4169">
        <v>74</v>
      </c>
      <c r="D4169">
        <v>0</v>
      </c>
      <c r="E4169">
        <v>0</v>
      </c>
      <c r="F4169">
        <v>3</v>
      </c>
      <c r="G4169">
        <v>3</v>
      </c>
      <c r="H4169">
        <v>1</v>
      </c>
      <c r="I4169">
        <v>20000.009999999998</v>
      </c>
      <c r="J4169">
        <v>7</v>
      </c>
      <c r="K4169">
        <v>0</v>
      </c>
      <c r="L4169" s="4">
        <v>0.95731174323264845</v>
      </c>
      <c r="M4169" s="4">
        <v>4.2688256767351503E-2</v>
      </c>
      <c r="N4169">
        <v>10</v>
      </c>
    </row>
    <row r="4170" spans="1:14" x14ac:dyDescent="0.35">
      <c r="A4170" s="1">
        <v>1344</v>
      </c>
      <c r="B4170">
        <v>2</v>
      </c>
      <c r="C4170">
        <v>55</v>
      </c>
      <c r="D4170">
        <v>2</v>
      </c>
      <c r="E4170">
        <v>0</v>
      </c>
      <c r="F4170">
        <v>3</v>
      </c>
      <c r="G4170">
        <v>3</v>
      </c>
      <c r="H4170">
        <v>3</v>
      </c>
      <c r="I4170">
        <v>0.01</v>
      </c>
      <c r="J4170">
        <v>8</v>
      </c>
      <c r="K4170">
        <v>0</v>
      </c>
      <c r="L4170" s="4">
        <v>0.95743961811281675</v>
      </c>
      <c r="M4170" s="4">
        <v>4.2560381887183293E-2</v>
      </c>
      <c r="N4170">
        <v>10</v>
      </c>
    </row>
    <row r="4171" spans="1:14" x14ac:dyDescent="0.35">
      <c r="A4171" s="1">
        <v>2864</v>
      </c>
      <c r="B4171">
        <v>5</v>
      </c>
      <c r="C4171">
        <v>65</v>
      </c>
      <c r="D4171">
        <v>0</v>
      </c>
      <c r="E4171">
        <v>1</v>
      </c>
      <c r="F4171">
        <v>2</v>
      </c>
      <c r="G4171">
        <v>1</v>
      </c>
      <c r="H4171">
        <v>2</v>
      </c>
      <c r="I4171">
        <v>1000</v>
      </c>
      <c r="J4171">
        <v>30</v>
      </c>
      <c r="K4171">
        <v>0</v>
      </c>
      <c r="L4171" s="4">
        <v>0.95744614870258304</v>
      </c>
      <c r="M4171" s="4">
        <v>4.2553851297416907E-2</v>
      </c>
      <c r="N4171">
        <v>10</v>
      </c>
    </row>
    <row r="4172" spans="1:14" x14ac:dyDescent="0.35">
      <c r="A4172" s="1">
        <v>3378</v>
      </c>
      <c r="B4172">
        <v>6</v>
      </c>
      <c r="C4172">
        <v>74</v>
      </c>
      <c r="D4172">
        <v>1</v>
      </c>
      <c r="E4172">
        <v>0</v>
      </c>
      <c r="F4172">
        <v>1</v>
      </c>
      <c r="G4172">
        <v>12</v>
      </c>
      <c r="H4172">
        <v>0</v>
      </c>
      <c r="I4172">
        <v>6000</v>
      </c>
      <c r="J4172">
        <v>2</v>
      </c>
      <c r="K4172">
        <v>0</v>
      </c>
      <c r="L4172" s="4">
        <v>0.957467965343614</v>
      </c>
      <c r="M4172" s="4">
        <v>4.2532034656386032E-2</v>
      </c>
      <c r="N4172">
        <v>10</v>
      </c>
    </row>
    <row r="4173" spans="1:14" x14ac:dyDescent="0.35">
      <c r="A4173" s="1">
        <v>2544</v>
      </c>
      <c r="B4173">
        <v>6</v>
      </c>
      <c r="C4173">
        <v>69</v>
      </c>
      <c r="D4173">
        <v>1</v>
      </c>
      <c r="E4173">
        <v>1</v>
      </c>
      <c r="F4173">
        <v>3</v>
      </c>
      <c r="G4173">
        <v>3</v>
      </c>
      <c r="H4173">
        <v>0</v>
      </c>
      <c r="I4173">
        <v>6000</v>
      </c>
      <c r="J4173">
        <v>1</v>
      </c>
      <c r="K4173">
        <v>0</v>
      </c>
      <c r="L4173" s="4">
        <v>0.95760363272014559</v>
      </c>
      <c r="M4173" s="4">
        <v>4.2396367279854387E-2</v>
      </c>
      <c r="N4173">
        <v>10</v>
      </c>
    </row>
    <row r="4174" spans="1:14" x14ac:dyDescent="0.35">
      <c r="A4174" s="1">
        <v>1283</v>
      </c>
      <c r="B4174">
        <v>8</v>
      </c>
      <c r="C4174">
        <v>76</v>
      </c>
      <c r="D4174">
        <v>2</v>
      </c>
      <c r="E4174">
        <v>1</v>
      </c>
      <c r="F4174">
        <v>0</v>
      </c>
      <c r="G4174">
        <v>2</v>
      </c>
      <c r="H4174">
        <v>3</v>
      </c>
      <c r="I4174">
        <v>0.01</v>
      </c>
      <c r="J4174">
        <v>8</v>
      </c>
      <c r="K4174">
        <v>0</v>
      </c>
      <c r="L4174" s="4">
        <v>0.95768588833512114</v>
      </c>
      <c r="M4174" s="4">
        <v>4.2314111664878813E-2</v>
      </c>
      <c r="N4174">
        <v>10</v>
      </c>
    </row>
    <row r="4175" spans="1:14" x14ac:dyDescent="0.35">
      <c r="A4175" s="1">
        <v>703</v>
      </c>
      <c r="B4175">
        <v>7</v>
      </c>
      <c r="C4175">
        <v>74</v>
      </c>
      <c r="D4175">
        <v>1</v>
      </c>
      <c r="E4175">
        <v>1</v>
      </c>
      <c r="F4175">
        <v>1</v>
      </c>
      <c r="G4175">
        <v>5</v>
      </c>
      <c r="H4175">
        <v>0</v>
      </c>
      <c r="I4175">
        <v>6053.35</v>
      </c>
      <c r="J4175">
        <v>7</v>
      </c>
      <c r="K4175">
        <v>0</v>
      </c>
      <c r="L4175" s="4">
        <v>0.95774489601678903</v>
      </c>
      <c r="M4175" s="4">
        <v>4.2255103983210987E-2</v>
      </c>
      <c r="N4175">
        <v>10</v>
      </c>
    </row>
    <row r="4176" spans="1:14" x14ac:dyDescent="0.35">
      <c r="A4176" s="1">
        <v>1038</v>
      </c>
      <c r="B4176">
        <v>7</v>
      </c>
      <c r="C4176">
        <v>69</v>
      </c>
      <c r="D4176">
        <v>1</v>
      </c>
      <c r="E4176">
        <v>2</v>
      </c>
      <c r="F4176">
        <v>1</v>
      </c>
      <c r="G4176">
        <v>7</v>
      </c>
      <c r="H4176">
        <v>0</v>
      </c>
      <c r="I4176">
        <v>6000</v>
      </c>
      <c r="J4176">
        <v>11</v>
      </c>
      <c r="K4176">
        <v>0</v>
      </c>
      <c r="L4176" s="4">
        <v>0.95776641211427882</v>
      </c>
      <c r="M4176" s="4">
        <v>4.2233587885721222E-2</v>
      </c>
      <c r="N4176">
        <v>10</v>
      </c>
    </row>
    <row r="4177" spans="1:14" x14ac:dyDescent="0.35">
      <c r="A4177" s="1">
        <v>1915</v>
      </c>
      <c r="B4177">
        <v>8</v>
      </c>
      <c r="C4177">
        <v>77</v>
      </c>
      <c r="D4177">
        <v>1</v>
      </c>
      <c r="E4177">
        <v>1</v>
      </c>
      <c r="F4177">
        <v>0</v>
      </c>
      <c r="G4177">
        <v>4</v>
      </c>
      <c r="H4177">
        <v>2</v>
      </c>
      <c r="I4177">
        <v>2400</v>
      </c>
      <c r="J4177">
        <v>4</v>
      </c>
      <c r="K4177">
        <v>1</v>
      </c>
      <c r="L4177" s="4">
        <v>0.95777138941616891</v>
      </c>
      <c r="M4177" s="4">
        <v>4.2228610583831067E-2</v>
      </c>
      <c r="N4177">
        <v>10</v>
      </c>
    </row>
    <row r="4178" spans="1:14" x14ac:dyDescent="0.35">
      <c r="A4178" s="1">
        <v>1516</v>
      </c>
      <c r="B4178">
        <v>6</v>
      </c>
      <c r="C4178">
        <v>67</v>
      </c>
      <c r="D4178">
        <v>3</v>
      </c>
      <c r="E4178">
        <v>1</v>
      </c>
      <c r="F4178">
        <v>3</v>
      </c>
      <c r="G4178">
        <v>3</v>
      </c>
      <c r="H4178">
        <v>2</v>
      </c>
      <c r="I4178">
        <v>780</v>
      </c>
      <c r="J4178">
        <v>20</v>
      </c>
      <c r="K4178">
        <v>0</v>
      </c>
      <c r="L4178" s="4">
        <v>0.95777685440379068</v>
      </c>
      <c r="M4178" s="4">
        <v>4.2223145596209322E-2</v>
      </c>
      <c r="N4178">
        <v>10</v>
      </c>
    </row>
    <row r="4179" spans="1:14" x14ac:dyDescent="0.35">
      <c r="A4179" s="1">
        <v>4441</v>
      </c>
      <c r="B4179">
        <v>4</v>
      </c>
      <c r="C4179">
        <v>65</v>
      </c>
      <c r="D4179">
        <v>0</v>
      </c>
      <c r="E4179">
        <v>0</v>
      </c>
      <c r="F4179">
        <v>3</v>
      </c>
      <c r="G4179">
        <v>3</v>
      </c>
      <c r="H4179">
        <v>2</v>
      </c>
      <c r="I4179">
        <v>3000</v>
      </c>
      <c r="J4179">
        <v>11</v>
      </c>
      <c r="K4179">
        <v>0</v>
      </c>
      <c r="L4179" s="4">
        <v>0.9578047932826621</v>
      </c>
      <c r="M4179" s="4">
        <v>4.2195206717337938E-2</v>
      </c>
      <c r="N4179">
        <v>10</v>
      </c>
    </row>
    <row r="4180" spans="1:14" x14ac:dyDescent="0.35">
      <c r="A4180" s="1">
        <v>3461</v>
      </c>
      <c r="B4180">
        <v>8</v>
      </c>
      <c r="C4180">
        <v>72</v>
      </c>
      <c r="D4180">
        <v>5</v>
      </c>
      <c r="E4180">
        <v>2</v>
      </c>
      <c r="F4180">
        <v>0</v>
      </c>
      <c r="G4180">
        <v>4</v>
      </c>
      <c r="H4180">
        <v>0</v>
      </c>
      <c r="I4180">
        <v>6000</v>
      </c>
      <c r="J4180">
        <v>8</v>
      </c>
      <c r="K4180">
        <v>0</v>
      </c>
      <c r="L4180" s="4">
        <v>0.95780590027406909</v>
      </c>
      <c r="M4180" s="4">
        <v>4.2194099725930967E-2</v>
      </c>
      <c r="N4180">
        <v>10</v>
      </c>
    </row>
    <row r="4181" spans="1:14" x14ac:dyDescent="0.35">
      <c r="A4181" s="1">
        <v>2386</v>
      </c>
      <c r="B4181">
        <v>8</v>
      </c>
      <c r="C4181">
        <v>72</v>
      </c>
      <c r="D4181">
        <v>2</v>
      </c>
      <c r="E4181">
        <v>2</v>
      </c>
      <c r="F4181">
        <v>3</v>
      </c>
      <c r="G4181">
        <v>3</v>
      </c>
      <c r="H4181">
        <v>0</v>
      </c>
      <c r="I4181">
        <v>5300</v>
      </c>
      <c r="J4181">
        <v>8</v>
      </c>
      <c r="K4181">
        <v>0</v>
      </c>
      <c r="L4181" s="4">
        <v>0.95788686027966752</v>
      </c>
      <c r="M4181" s="4">
        <v>4.2113139720332447E-2</v>
      </c>
      <c r="N4181">
        <v>10</v>
      </c>
    </row>
    <row r="4182" spans="1:14" x14ac:dyDescent="0.35">
      <c r="A4182" s="1">
        <v>3794</v>
      </c>
      <c r="B4182">
        <v>5</v>
      </c>
      <c r="C4182">
        <v>66</v>
      </c>
      <c r="D4182">
        <v>2</v>
      </c>
      <c r="E4182">
        <v>1</v>
      </c>
      <c r="F4182">
        <v>0</v>
      </c>
      <c r="G4182">
        <v>4</v>
      </c>
      <c r="H4182">
        <v>0</v>
      </c>
      <c r="I4182">
        <v>6000</v>
      </c>
      <c r="J4182">
        <v>2</v>
      </c>
      <c r="K4182">
        <v>0</v>
      </c>
      <c r="L4182" s="4">
        <v>0.95794448736246662</v>
      </c>
      <c r="M4182" s="4">
        <v>4.2055512637533377E-2</v>
      </c>
      <c r="N4182">
        <v>10</v>
      </c>
    </row>
    <row r="4183" spans="1:14" x14ac:dyDescent="0.35">
      <c r="A4183" s="1">
        <v>4377</v>
      </c>
      <c r="B4183">
        <v>4</v>
      </c>
      <c r="C4183">
        <v>57</v>
      </c>
      <c r="D4183">
        <v>3</v>
      </c>
      <c r="E4183">
        <v>1</v>
      </c>
      <c r="F4183">
        <v>4</v>
      </c>
      <c r="G4183">
        <v>9</v>
      </c>
      <c r="H4183">
        <v>3</v>
      </c>
      <c r="I4183">
        <v>0.01</v>
      </c>
      <c r="J4183">
        <v>8</v>
      </c>
      <c r="K4183">
        <v>0</v>
      </c>
      <c r="L4183" s="4">
        <v>0.95808901889363773</v>
      </c>
      <c r="M4183" s="4">
        <v>4.1910981106362273E-2</v>
      </c>
      <c r="N4183">
        <v>10</v>
      </c>
    </row>
    <row r="4184" spans="1:14" x14ac:dyDescent="0.35">
      <c r="A4184" s="1">
        <v>3951</v>
      </c>
      <c r="B4184">
        <v>3</v>
      </c>
      <c r="C4184">
        <v>62</v>
      </c>
      <c r="D4184">
        <v>1</v>
      </c>
      <c r="E4184">
        <v>0</v>
      </c>
      <c r="F4184">
        <v>3</v>
      </c>
      <c r="G4184">
        <v>3</v>
      </c>
      <c r="H4184">
        <v>0</v>
      </c>
      <c r="I4184">
        <v>6500</v>
      </c>
      <c r="J4184">
        <v>1</v>
      </c>
      <c r="K4184">
        <v>0</v>
      </c>
      <c r="L4184" s="4">
        <v>0.95815445683597356</v>
      </c>
      <c r="M4184" s="4">
        <v>4.1845543164026451E-2</v>
      </c>
      <c r="N4184">
        <v>10</v>
      </c>
    </row>
    <row r="4185" spans="1:14" x14ac:dyDescent="0.35">
      <c r="A4185" s="1">
        <v>1474</v>
      </c>
      <c r="B4185">
        <v>4</v>
      </c>
      <c r="C4185">
        <v>66</v>
      </c>
      <c r="D4185">
        <v>3</v>
      </c>
      <c r="E4185">
        <v>0</v>
      </c>
      <c r="F4185">
        <v>3</v>
      </c>
      <c r="G4185">
        <v>3</v>
      </c>
      <c r="H4185">
        <v>0</v>
      </c>
      <c r="I4185">
        <v>12000</v>
      </c>
      <c r="J4185">
        <v>32</v>
      </c>
      <c r="K4185">
        <v>0</v>
      </c>
      <c r="L4185" s="4">
        <v>0.95818990604962484</v>
      </c>
      <c r="M4185" s="4">
        <v>4.1810093950375098E-2</v>
      </c>
      <c r="N4185">
        <v>10</v>
      </c>
    </row>
    <row r="4186" spans="1:14" x14ac:dyDescent="0.35">
      <c r="A4186" s="1">
        <v>3540</v>
      </c>
      <c r="B4186">
        <v>1</v>
      </c>
      <c r="C4186">
        <v>46</v>
      </c>
      <c r="D4186">
        <v>3</v>
      </c>
      <c r="E4186">
        <v>1</v>
      </c>
      <c r="F4186">
        <v>1</v>
      </c>
      <c r="G4186">
        <v>12</v>
      </c>
      <c r="H4186">
        <v>3</v>
      </c>
      <c r="I4186">
        <v>0.01</v>
      </c>
      <c r="J4186">
        <v>5</v>
      </c>
      <c r="K4186">
        <v>0</v>
      </c>
      <c r="L4186" s="4">
        <v>0.95826087310078822</v>
      </c>
      <c r="M4186" s="4">
        <v>4.1739126899211818E-2</v>
      </c>
      <c r="N4186">
        <v>10</v>
      </c>
    </row>
    <row r="4187" spans="1:14" x14ac:dyDescent="0.35">
      <c r="A4187" s="1">
        <v>3963</v>
      </c>
      <c r="B4187">
        <v>8</v>
      </c>
      <c r="C4187">
        <v>75</v>
      </c>
      <c r="D4187">
        <v>2</v>
      </c>
      <c r="E4187">
        <v>1</v>
      </c>
      <c r="F4187">
        <v>3</v>
      </c>
      <c r="G4187">
        <v>8</v>
      </c>
      <c r="H4187">
        <v>2</v>
      </c>
      <c r="I4187">
        <v>2500</v>
      </c>
      <c r="J4187">
        <v>3</v>
      </c>
      <c r="K4187">
        <v>0</v>
      </c>
      <c r="L4187" s="4">
        <v>0.95834643137503728</v>
      </c>
      <c r="M4187" s="4">
        <v>4.1653568624962722E-2</v>
      </c>
      <c r="N4187">
        <v>10</v>
      </c>
    </row>
    <row r="4188" spans="1:14" x14ac:dyDescent="0.35">
      <c r="A4188" s="1">
        <v>1004</v>
      </c>
      <c r="B4188">
        <v>8</v>
      </c>
      <c r="C4188">
        <v>73</v>
      </c>
      <c r="D4188">
        <v>3</v>
      </c>
      <c r="E4188">
        <v>2</v>
      </c>
      <c r="F4188">
        <v>0</v>
      </c>
      <c r="G4188">
        <v>4</v>
      </c>
      <c r="H4188">
        <v>0</v>
      </c>
      <c r="I4188">
        <v>6000</v>
      </c>
      <c r="J4188">
        <v>3</v>
      </c>
      <c r="K4188">
        <v>0</v>
      </c>
      <c r="L4188" s="4">
        <v>0.95836783952084814</v>
      </c>
      <c r="M4188" s="4">
        <v>4.1632160479151838E-2</v>
      </c>
      <c r="N4188">
        <v>10</v>
      </c>
    </row>
    <row r="4189" spans="1:14" x14ac:dyDescent="0.35">
      <c r="A4189" s="1">
        <v>928</v>
      </c>
      <c r="B4189">
        <v>6</v>
      </c>
      <c r="C4189">
        <v>70</v>
      </c>
      <c r="D4189">
        <v>3</v>
      </c>
      <c r="E4189">
        <v>1</v>
      </c>
      <c r="F4189">
        <v>0</v>
      </c>
      <c r="G4189">
        <v>4</v>
      </c>
      <c r="H4189">
        <v>1</v>
      </c>
      <c r="I4189">
        <v>42000</v>
      </c>
      <c r="J4189">
        <v>1</v>
      </c>
      <c r="K4189">
        <v>0</v>
      </c>
      <c r="L4189" s="4">
        <v>0.95836836099949108</v>
      </c>
      <c r="M4189" s="4">
        <v>4.163163900050891E-2</v>
      </c>
      <c r="N4189">
        <v>10</v>
      </c>
    </row>
    <row r="4190" spans="1:14" x14ac:dyDescent="0.35">
      <c r="A4190" s="1">
        <v>1521</v>
      </c>
      <c r="B4190">
        <v>7</v>
      </c>
      <c r="C4190">
        <v>71</v>
      </c>
      <c r="D4190">
        <v>5</v>
      </c>
      <c r="E4190">
        <v>1</v>
      </c>
      <c r="F4190">
        <v>2</v>
      </c>
      <c r="G4190">
        <v>0</v>
      </c>
      <c r="H4190">
        <v>2</v>
      </c>
      <c r="I4190">
        <v>3000</v>
      </c>
      <c r="J4190">
        <v>6</v>
      </c>
      <c r="K4190">
        <v>0</v>
      </c>
      <c r="L4190" s="4">
        <v>0.95854270686060761</v>
      </c>
      <c r="M4190" s="4">
        <v>4.1457293139392372E-2</v>
      </c>
      <c r="N4190">
        <v>10</v>
      </c>
    </row>
    <row r="4191" spans="1:14" x14ac:dyDescent="0.35">
      <c r="A4191" s="1">
        <v>450</v>
      </c>
      <c r="B4191">
        <v>4</v>
      </c>
      <c r="C4191">
        <v>59</v>
      </c>
      <c r="D4191">
        <v>1</v>
      </c>
      <c r="E4191">
        <v>1</v>
      </c>
      <c r="F4191">
        <v>3</v>
      </c>
      <c r="G4191">
        <v>3</v>
      </c>
      <c r="H4191">
        <v>3</v>
      </c>
      <c r="I4191">
        <v>0.01</v>
      </c>
      <c r="J4191">
        <v>4</v>
      </c>
      <c r="K4191">
        <v>0</v>
      </c>
      <c r="L4191" s="4">
        <v>0.95854920740416028</v>
      </c>
      <c r="M4191" s="4">
        <v>4.1450792595839711E-2</v>
      </c>
      <c r="N4191">
        <v>10</v>
      </c>
    </row>
    <row r="4192" spans="1:14" x14ac:dyDescent="0.35">
      <c r="A4192" s="1">
        <v>267</v>
      </c>
      <c r="B4192">
        <v>5</v>
      </c>
      <c r="C4192">
        <v>70</v>
      </c>
      <c r="D4192">
        <v>2</v>
      </c>
      <c r="E4192">
        <v>0</v>
      </c>
      <c r="F4192">
        <v>3</v>
      </c>
      <c r="G4192">
        <v>8</v>
      </c>
      <c r="H4192">
        <v>1</v>
      </c>
      <c r="I4192">
        <v>53000</v>
      </c>
      <c r="J4192">
        <v>6</v>
      </c>
      <c r="K4192">
        <v>0</v>
      </c>
      <c r="L4192" s="4">
        <v>0.95856824913413852</v>
      </c>
      <c r="M4192" s="4">
        <v>4.1431750865861483E-2</v>
      </c>
      <c r="N4192">
        <v>10</v>
      </c>
    </row>
    <row r="4193" spans="1:14" x14ac:dyDescent="0.35">
      <c r="A4193" s="1">
        <v>1767</v>
      </c>
      <c r="B4193">
        <v>4</v>
      </c>
      <c r="C4193">
        <v>65</v>
      </c>
      <c r="D4193">
        <v>2</v>
      </c>
      <c r="E4193">
        <v>0</v>
      </c>
      <c r="F4193">
        <v>1</v>
      </c>
      <c r="G4193">
        <v>5</v>
      </c>
      <c r="H4193">
        <v>2</v>
      </c>
      <c r="I4193">
        <v>1500</v>
      </c>
      <c r="J4193">
        <v>2</v>
      </c>
      <c r="K4193">
        <v>0</v>
      </c>
      <c r="L4193" s="4">
        <v>0.95863416423076275</v>
      </c>
      <c r="M4193" s="4">
        <v>4.1365835769237302E-2</v>
      </c>
      <c r="N4193">
        <v>10</v>
      </c>
    </row>
    <row r="4194" spans="1:14" x14ac:dyDescent="0.35">
      <c r="A4194" s="1">
        <v>2378</v>
      </c>
      <c r="B4194">
        <v>5</v>
      </c>
      <c r="C4194">
        <v>71</v>
      </c>
      <c r="D4194">
        <v>0</v>
      </c>
      <c r="E4194">
        <v>0</v>
      </c>
      <c r="F4194">
        <v>3</v>
      </c>
      <c r="G4194">
        <v>3</v>
      </c>
      <c r="H4194">
        <v>0</v>
      </c>
      <c r="I4194">
        <v>6000</v>
      </c>
      <c r="J4194">
        <v>12</v>
      </c>
      <c r="K4194">
        <v>0</v>
      </c>
      <c r="L4194" s="4">
        <v>0.95873188565898115</v>
      </c>
      <c r="M4194" s="4">
        <v>4.1268114341018833E-2</v>
      </c>
      <c r="N4194">
        <v>10</v>
      </c>
    </row>
    <row r="4195" spans="1:14" x14ac:dyDescent="0.35">
      <c r="A4195" s="1">
        <v>657</v>
      </c>
      <c r="B4195">
        <v>4</v>
      </c>
      <c r="C4195">
        <v>64</v>
      </c>
      <c r="D4195">
        <v>3</v>
      </c>
      <c r="E4195">
        <v>0</v>
      </c>
      <c r="F4195">
        <v>3</v>
      </c>
      <c r="G4195">
        <v>3</v>
      </c>
      <c r="H4195">
        <v>2</v>
      </c>
      <c r="I4195">
        <v>2400</v>
      </c>
      <c r="J4195">
        <v>8</v>
      </c>
      <c r="K4195">
        <v>0</v>
      </c>
      <c r="L4195" s="4">
        <v>0.95874659325108325</v>
      </c>
      <c r="M4195" s="4">
        <v>4.125340674891672E-2</v>
      </c>
      <c r="N4195">
        <v>10</v>
      </c>
    </row>
    <row r="4196" spans="1:14" x14ac:dyDescent="0.35">
      <c r="A4196" s="1">
        <v>1670</v>
      </c>
      <c r="B4196">
        <v>6</v>
      </c>
      <c r="C4196">
        <v>68</v>
      </c>
      <c r="D4196">
        <v>0</v>
      </c>
      <c r="E4196">
        <v>1</v>
      </c>
      <c r="F4196">
        <v>3</v>
      </c>
      <c r="G4196">
        <v>8</v>
      </c>
      <c r="H4196">
        <v>2</v>
      </c>
      <c r="I4196">
        <v>2000</v>
      </c>
      <c r="J4196">
        <v>2</v>
      </c>
      <c r="K4196">
        <v>0</v>
      </c>
      <c r="L4196" s="4">
        <v>0.95896877306141526</v>
      </c>
      <c r="M4196" s="4">
        <v>4.10312269385847E-2</v>
      </c>
      <c r="N4196">
        <v>10</v>
      </c>
    </row>
    <row r="4197" spans="1:14" x14ac:dyDescent="0.35">
      <c r="A4197" s="1">
        <v>2498</v>
      </c>
      <c r="B4197">
        <v>6</v>
      </c>
      <c r="C4197">
        <v>67</v>
      </c>
      <c r="D4197">
        <v>4</v>
      </c>
      <c r="E4197">
        <v>1</v>
      </c>
      <c r="F4197">
        <v>1</v>
      </c>
      <c r="G4197">
        <v>12</v>
      </c>
      <c r="H4197">
        <v>2</v>
      </c>
      <c r="I4197">
        <v>3000</v>
      </c>
      <c r="J4197">
        <v>8</v>
      </c>
      <c r="K4197">
        <v>0</v>
      </c>
      <c r="L4197" s="4">
        <v>0.95900114728193397</v>
      </c>
      <c r="M4197" s="4">
        <v>4.0998852718065977E-2</v>
      </c>
      <c r="N4197">
        <v>10</v>
      </c>
    </row>
    <row r="4198" spans="1:14" x14ac:dyDescent="0.35">
      <c r="A4198" s="1">
        <v>16</v>
      </c>
      <c r="B4198">
        <v>5</v>
      </c>
      <c r="C4198">
        <v>62</v>
      </c>
      <c r="D4198">
        <v>4</v>
      </c>
      <c r="E4198">
        <v>1</v>
      </c>
      <c r="F4198">
        <v>3</v>
      </c>
      <c r="G4198">
        <v>3</v>
      </c>
      <c r="H4198">
        <v>3</v>
      </c>
      <c r="I4198">
        <v>0.01</v>
      </c>
      <c r="J4198">
        <v>7</v>
      </c>
      <c r="K4198">
        <v>0</v>
      </c>
      <c r="L4198" s="4">
        <v>0.95901775989757709</v>
      </c>
      <c r="M4198" s="4">
        <v>4.0982240102422858E-2</v>
      </c>
      <c r="N4198">
        <v>10</v>
      </c>
    </row>
    <row r="4199" spans="1:14" x14ac:dyDescent="0.35">
      <c r="A4199" s="1">
        <v>820</v>
      </c>
      <c r="B4199">
        <v>6</v>
      </c>
      <c r="C4199">
        <v>74</v>
      </c>
      <c r="D4199">
        <v>2</v>
      </c>
      <c r="E4199">
        <v>0</v>
      </c>
      <c r="F4199">
        <v>0</v>
      </c>
      <c r="G4199">
        <v>2</v>
      </c>
      <c r="H4199">
        <v>2</v>
      </c>
      <c r="I4199">
        <v>50</v>
      </c>
      <c r="J4199">
        <v>2</v>
      </c>
      <c r="K4199">
        <v>0</v>
      </c>
      <c r="L4199" s="4">
        <v>0.95909067408837279</v>
      </c>
      <c r="M4199" s="4">
        <v>4.0909325911627208E-2</v>
      </c>
      <c r="N4199">
        <v>10</v>
      </c>
    </row>
    <row r="4200" spans="1:14" x14ac:dyDescent="0.35">
      <c r="A4200" s="1">
        <v>2917</v>
      </c>
      <c r="B4200">
        <v>5</v>
      </c>
      <c r="C4200">
        <v>58</v>
      </c>
      <c r="D4200">
        <v>2</v>
      </c>
      <c r="E4200">
        <v>2</v>
      </c>
      <c r="F4200">
        <v>3</v>
      </c>
      <c r="G4200">
        <v>3</v>
      </c>
      <c r="H4200">
        <v>3</v>
      </c>
      <c r="I4200">
        <v>0.01</v>
      </c>
      <c r="J4200">
        <v>5</v>
      </c>
      <c r="K4200">
        <v>0</v>
      </c>
      <c r="L4200" s="4">
        <v>0.95920388243134713</v>
      </c>
      <c r="M4200" s="4">
        <v>4.0796117568652902E-2</v>
      </c>
      <c r="N4200">
        <v>10</v>
      </c>
    </row>
    <row r="4201" spans="1:14" x14ac:dyDescent="0.35">
      <c r="A4201" s="1">
        <v>462</v>
      </c>
      <c r="B4201">
        <v>8</v>
      </c>
      <c r="C4201">
        <v>77</v>
      </c>
      <c r="D4201">
        <v>0</v>
      </c>
      <c r="E4201">
        <v>1</v>
      </c>
      <c r="F4201">
        <v>3</v>
      </c>
      <c r="G4201">
        <v>3</v>
      </c>
      <c r="H4201">
        <v>2</v>
      </c>
      <c r="I4201">
        <v>5000</v>
      </c>
      <c r="J4201">
        <v>14</v>
      </c>
      <c r="K4201">
        <v>0</v>
      </c>
      <c r="L4201" s="4">
        <v>0.95922097074643253</v>
      </c>
      <c r="M4201" s="4">
        <v>4.0779029253567467E-2</v>
      </c>
      <c r="N4201">
        <v>10</v>
      </c>
    </row>
    <row r="4202" spans="1:14" x14ac:dyDescent="0.35">
      <c r="A4202" s="1">
        <v>3931</v>
      </c>
      <c r="B4202">
        <v>4</v>
      </c>
      <c r="C4202">
        <v>64</v>
      </c>
      <c r="D4202">
        <v>5</v>
      </c>
      <c r="E4202">
        <v>0</v>
      </c>
      <c r="F4202">
        <v>2</v>
      </c>
      <c r="G4202">
        <v>0</v>
      </c>
      <c r="H4202">
        <v>2</v>
      </c>
      <c r="I4202">
        <v>360</v>
      </c>
      <c r="J4202">
        <v>5</v>
      </c>
      <c r="K4202">
        <v>0</v>
      </c>
      <c r="L4202" s="4">
        <v>0.95933010493301452</v>
      </c>
      <c r="M4202" s="4">
        <v>4.0669895066985449E-2</v>
      </c>
      <c r="N4202">
        <v>10</v>
      </c>
    </row>
    <row r="4203" spans="1:14" x14ac:dyDescent="0.35">
      <c r="A4203" s="1">
        <v>1510</v>
      </c>
      <c r="B4203">
        <v>6</v>
      </c>
      <c r="C4203">
        <v>75</v>
      </c>
      <c r="D4203">
        <v>1</v>
      </c>
      <c r="E4203">
        <v>0</v>
      </c>
      <c r="F4203">
        <v>3</v>
      </c>
      <c r="G4203">
        <v>3</v>
      </c>
      <c r="H4203">
        <v>0</v>
      </c>
      <c r="I4203">
        <v>6105.32</v>
      </c>
      <c r="J4203">
        <v>16</v>
      </c>
      <c r="K4203">
        <v>0</v>
      </c>
      <c r="L4203" s="4">
        <v>0.95943706883572377</v>
      </c>
      <c r="M4203" s="4">
        <v>4.05629311642762E-2</v>
      </c>
      <c r="N4203">
        <v>10</v>
      </c>
    </row>
    <row r="4204" spans="1:14" x14ac:dyDescent="0.35">
      <c r="A4204" s="1">
        <v>4410</v>
      </c>
      <c r="B4204">
        <v>4</v>
      </c>
      <c r="C4204">
        <v>66</v>
      </c>
      <c r="D4204">
        <v>1</v>
      </c>
      <c r="E4204">
        <v>0</v>
      </c>
      <c r="F4204">
        <v>0</v>
      </c>
      <c r="G4204">
        <v>11</v>
      </c>
      <c r="H4204">
        <v>2</v>
      </c>
      <c r="I4204">
        <v>1500</v>
      </c>
      <c r="J4204">
        <v>11</v>
      </c>
      <c r="K4204">
        <v>1</v>
      </c>
      <c r="L4204" s="4">
        <v>0.95968462526847587</v>
      </c>
      <c r="M4204" s="4">
        <v>4.0315374731524141E-2</v>
      </c>
      <c r="N4204">
        <v>10</v>
      </c>
    </row>
    <row r="4205" spans="1:14" x14ac:dyDescent="0.35">
      <c r="A4205" s="1">
        <v>1349</v>
      </c>
      <c r="B4205">
        <v>4</v>
      </c>
      <c r="C4205">
        <v>59</v>
      </c>
      <c r="D4205">
        <v>3</v>
      </c>
      <c r="E4205">
        <v>1</v>
      </c>
      <c r="F4205">
        <v>3</v>
      </c>
      <c r="G4205">
        <v>8</v>
      </c>
      <c r="H4205">
        <v>2</v>
      </c>
      <c r="I4205">
        <v>2500</v>
      </c>
      <c r="J4205">
        <v>6</v>
      </c>
      <c r="K4205">
        <v>0</v>
      </c>
      <c r="L4205" s="4">
        <v>0.95970337489446778</v>
      </c>
      <c r="M4205" s="4">
        <v>4.0296625105532252E-2</v>
      </c>
      <c r="N4205">
        <v>10</v>
      </c>
    </row>
    <row r="4206" spans="1:14" x14ac:dyDescent="0.35">
      <c r="A4206" s="1">
        <v>1296</v>
      </c>
      <c r="B4206">
        <v>5</v>
      </c>
      <c r="C4206">
        <v>69</v>
      </c>
      <c r="D4206">
        <v>0</v>
      </c>
      <c r="E4206">
        <v>0</v>
      </c>
      <c r="F4206">
        <v>3</v>
      </c>
      <c r="G4206">
        <v>3</v>
      </c>
      <c r="H4206">
        <v>3</v>
      </c>
      <c r="I4206">
        <v>0.01</v>
      </c>
      <c r="J4206">
        <v>9</v>
      </c>
      <c r="K4206">
        <v>0</v>
      </c>
      <c r="L4206" s="4">
        <v>0.95971784722786657</v>
      </c>
      <c r="M4206" s="4">
        <v>4.0282152772133442E-2</v>
      </c>
      <c r="N4206">
        <v>10</v>
      </c>
    </row>
    <row r="4207" spans="1:14" x14ac:dyDescent="0.35">
      <c r="A4207" s="1">
        <v>33</v>
      </c>
      <c r="B4207">
        <v>5</v>
      </c>
      <c r="C4207">
        <v>66</v>
      </c>
      <c r="D4207">
        <v>1</v>
      </c>
      <c r="E4207">
        <v>1</v>
      </c>
      <c r="F4207">
        <v>3</v>
      </c>
      <c r="G4207">
        <v>3</v>
      </c>
      <c r="H4207">
        <v>0</v>
      </c>
      <c r="I4207">
        <v>7000</v>
      </c>
      <c r="J4207">
        <v>6</v>
      </c>
      <c r="K4207">
        <v>0</v>
      </c>
      <c r="L4207" s="4">
        <v>0.95978734747895267</v>
      </c>
      <c r="M4207" s="4">
        <v>4.0212652521047297E-2</v>
      </c>
      <c r="N4207">
        <v>10</v>
      </c>
    </row>
    <row r="4208" spans="1:14" x14ac:dyDescent="0.35">
      <c r="A4208" s="1">
        <v>2300</v>
      </c>
      <c r="B4208">
        <v>6</v>
      </c>
      <c r="C4208">
        <v>68</v>
      </c>
      <c r="D4208">
        <v>2</v>
      </c>
      <c r="E4208">
        <v>1</v>
      </c>
      <c r="F4208">
        <v>3</v>
      </c>
      <c r="G4208">
        <v>3</v>
      </c>
      <c r="H4208">
        <v>2</v>
      </c>
      <c r="I4208">
        <v>3000</v>
      </c>
      <c r="J4208">
        <v>3</v>
      </c>
      <c r="K4208">
        <v>0</v>
      </c>
      <c r="L4208" s="4">
        <v>0.95983581145783148</v>
      </c>
      <c r="M4208" s="4">
        <v>4.0164188542168473E-2</v>
      </c>
      <c r="N4208">
        <v>10</v>
      </c>
    </row>
    <row r="4209" spans="1:14" x14ac:dyDescent="0.35">
      <c r="A4209" s="1">
        <v>468</v>
      </c>
      <c r="B4209">
        <v>5</v>
      </c>
      <c r="C4209">
        <v>69</v>
      </c>
      <c r="D4209">
        <v>5</v>
      </c>
      <c r="E4209">
        <v>0</v>
      </c>
      <c r="F4209">
        <v>3</v>
      </c>
      <c r="G4209">
        <v>8</v>
      </c>
      <c r="H4209">
        <v>0</v>
      </c>
      <c r="I4209">
        <v>10000</v>
      </c>
      <c r="J4209">
        <v>15</v>
      </c>
      <c r="K4209">
        <v>0</v>
      </c>
      <c r="L4209" s="4">
        <v>0.95983762739336387</v>
      </c>
      <c r="M4209" s="4">
        <v>4.0162372606636132E-2</v>
      </c>
      <c r="N4209">
        <v>10</v>
      </c>
    </row>
    <row r="4210" spans="1:14" x14ac:dyDescent="0.35">
      <c r="A4210" s="1">
        <v>4088</v>
      </c>
      <c r="B4210">
        <v>7</v>
      </c>
      <c r="C4210">
        <v>75</v>
      </c>
      <c r="D4210">
        <v>3</v>
      </c>
      <c r="E4210">
        <v>1</v>
      </c>
      <c r="F4210">
        <v>0</v>
      </c>
      <c r="G4210">
        <v>4</v>
      </c>
      <c r="H4210">
        <v>0</v>
      </c>
      <c r="I4210">
        <v>6000</v>
      </c>
      <c r="J4210">
        <v>25</v>
      </c>
      <c r="K4210">
        <v>0</v>
      </c>
      <c r="L4210" s="4">
        <v>0.95994704089740823</v>
      </c>
      <c r="M4210" s="4">
        <v>4.0052959102591823E-2</v>
      </c>
      <c r="N4210">
        <v>10</v>
      </c>
    </row>
    <row r="4211" spans="1:14" x14ac:dyDescent="0.35">
      <c r="A4211" s="1">
        <v>3003</v>
      </c>
      <c r="B4211">
        <v>4</v>
      </c>
      <c r="C4211">
        <v>59</v>
      </c>
      <c r="D4211">
        <v>4</v>
      </c>
      <c r="E4211">
        <v>1</v>
      </c>
      <c r="F4211">
        <v>3</v>
      </c>
      <c r="G4211">
        <v>3</v>
      </c>
      <c r="H4211">
        <v>2</v>
      </c>
      <c r="I4211">
        <v>1000</v>
      </c>
      <c r="J4211">
        <v>2</v>
      </c>
      <c r="K4211">
        <v>0</v>
      </c>
      <c r="L4211" s="4">
        <v>0.95995062714049062</v>
      </c>
      <c r="M4211" s="4">
        <v>4.0049372859509373E-2</v>
      </c>
      <c r="N4211">
        <v>10</v>
      </c>
    </row>
    <row r="4212" spans="1:14" x14ac:dyDescent="0.35">
      <c r="A4212" s="1">
        <v>2152</v>
      </c>
      <c r="B4212">
        <v>8</v>
      </c>
      <c r="C4212">
        <v>78</v>
      </c>
      <c r="D4212">
        <v>1</v>
      </c>
      <c r="E4212">
        <v>1</v>
      </c>
      <c r="F4212">
        <v>0</v>
      </c>
      <c r="G4212">
        <v>4</v>
      </c>
      <c r="H4212">
        <v>2</v>
      </c>
      <c r="I4212">
        <v>3000</v>
      </c>
      <c r="J4212">
        <v>2</v>
      </c>
      <c r="K4212">
        <v>1</v>
      </c>
      <c r="L4212" s="4">
        <v>0.96020051363820691</v>
      </c>
      <c r="M4212" s="4">
        <v>3.9799486361793097E-2</v>
      </c>
      <c r="N4212">
        <v>10</v>
      </c>
    </row>
    <row r="4213" spans="1:14" x14ac:dyDescent="0.35">
      <c r="A4213" s="1">
        <v>4000</v>
      </c>
      <c r="B4213">
        <v>5</v>
      </c>
      <c r="C4213">
        <v>67</v>
      </c>
      <c r="D4213">
        <v>1</v>
      </c>
      <c r="E4213">
        <v>1</v>
      </c>
      <c r="F4213">
        <v>1</v>
      </c>
      <c r="G4213">
        <v>5</v>
      </c>
      <c r="H4213">
        <v>0</v>
      </c>
      <c r="I4213">
        <v>12000</v>
      </c>
      <c r="J4213">
        <v>2</v>
      </c>
      <c r="K4213">
        <v>0</v>
      </c>
      <c r="L4213" s="4">
        <v>0.96022454664856782</v>
      </c>
      <c r="M4213" s="4">
        <v>3.9775453351432212E-2</v>
      </c>
      <c r="N4213">
        <v>10</v>
      </c>
    </row>
    <row r="4214" spans="1:14" x14ac:dyDescent="0.35">
      <c r="A4214" s="1">
        <v>2164</v>
      </c>
      <c r="B4214">
        <v>6</v>
      </c>
      <c r="C4214">
        <v>67</v>
      </c>
      <c r="D4214">
        <v>0</v>
      </c>
      <c r="E4214">
        <v>2</v>
      </c>
      <c r="F4214">
        <v>2</v>
      </c>
      <c r="G4214">
        <v>1</v>
      </c>
      <c r="H4214">
        <v>0</v>
      </c>
      <c r="I4214">
        <v>8198.0499999999993</v>
      </c>
      <c r="J4214">
        <v>31</v>
      </c>
      <c r="K4214">
        <v>0</v>
      </c>
      <c r="L4214" s="4">
        <v>0.96025442444431031</v>
      </c>
      <c r="M4214" s="4">
        <v>3.974557555568968E-2</v>
      </c>
      <c r="N4214">
        <v>10</v>
      </c>
    </row>
    <row r="4215" spans="1:14" x14ac:dyDescent="0.35">
      <c r="A4215" s="1">
        <v>1546</v>
      </c>
      <c r="B4215">
        <v>6</v>
      </c>
      <c r="C4215">
        <v>69</v>
      </c>
      <c r="D4215">
        <v>2</v>
      </c>
      <c r="E4215">
        <v>1</v>
      </c>
      <c r="F4215">
        <v>0</v>
      </c>
      <c r="G4215">
        <v>11</v>
      </c>
      <c r="H4215">
        <v>2</v>
      </c>
      <c r="I4215">
        <v>600</v>
      </c>
      <c r="J4215">
        <v>9</v>
      </c>
      <c r="K4215">
        <v>0</v>
      </c>
      <c r="L4215" s="4">
        <v>0.96040903014071644</v>
      </c>
      <c r="M4215" s="4">
        <v>3.9590969859283551E-2</v>
      </c>
      <c r="N4215">
        <v>10</v>
      </c>
    </row>
    <row r="4216" spans="1:14" x14ac:dyDescent="0.35">
      <c r="A4216" s="1">
        <v>1495</v>
      </c>
      <c r="B4216">
        <v>7</v>
      </c>
      <c r="C4216">
        <v>67</v>
      </c>
      <c r="D4216">
        <v>1</v>
      </c>
      <c r="E4216">
        <v>2</v>
      </c>
      <c r="F4216">
        <v>4</v>
      </c>
      <c r="G4216">
        <v>9</v>
      </c>
      <c r="H4216">
        <v>2</v>
      </c>
      <c r="I4216">
        <v>4500</v>
      </c>
      <c r="J4216">
        <v>10</v>
      </c>
      <c r="K4216">
        <v>1</v>
      </c>
      <c r="L4216" s="4">
        <v>0.96041892879465196</v>
      </c>
      <c r="M4216" s="4">
        <v>3.9581071205347998E-2</v>
      </c>
      <c r="N4216">
        <v>10</v>
      </c>
    </row>
    <row r="4217" spans="1:14" x14ac:dyDescent="0.35">
      <c r="A4217" s="1">
        <v>4149</v>
      </c>
      <c r="B4217">
        <v>3</v>
      </c>
      <c r="C4217">
        <v>62</v>
      </c>
      <c r="D4217">
        <v>3</v>
      </c>
      <c r="E4217">
        <v>0</v>
      </c>
      <c r="F4217">
        <v>0</v>
      </c>
      <c r="G4217">
        <v>4</v>
      </c>
      <c r="H4217">
        <v>2</v>
      </c>
      <c r="I4217">
        <v>50.01</v>
      </c>
      <c r="J4217">
        <v>10</v>
      </c>
      <c r="K4217">
        <v>0</v>
      </c>
      <c r="L4217" s="4">
        <v>0.96048255739741017</v>
      </c>
      <c r="M4217" s="4">
        <v>3.9517442602589818E-2</v>
      </c>
      <c r="N4217">
        <v>10</v>
      </c>
    </row>
    <row r="4218" spans="1:14" x14ac:dyDescent="0.35">
      <c r="A4218" s="1">
        <v>1869</v>
      </c>
      <c r="B4218">
        <v>5</v>
      </c>
      <c r="C4218">
        <v>71</v>
      </c>
      <c r="D4218">
        <v>4</v>
      </c>
      <c r="E4218">
        <v>0</v>
      </c>
      <c r="F4218">
        <v>0</v>
      </c>
      <c r="G4218">
        <v>2</v>
      </c>
      <c r="H4218">
        <v>1</v>
      </c>
      <c r="I4218">
        <v>20308.509999999998</v>
      </c>
      <c r="J4218">
        <v>3</v>
      </c>
      <c r="K4218">
        <v>0</v>
      </c>
      <c r="L4218" s="4">
        <v>0.96055068439843605</v>
      </c>
      <c r="M4218" s="4">
        <v>3.9449315601563943E-2</v>
      </c>
      <c r="N4218">
        <v>10</v>
      </c>
    </row>
    <row r="4219" spans="1:14" x14ac:dyDescent="0.35">
      <c r="A4219" s="1">
        <v>1660</v>
      </c>
      <c r="B4219">
        <v>7</v>
      </c>
      <c r="C4219">
        <v>79</v>
      </c>
      <c r="D4219">
        <v>3</v>
      </c>
      <c r="E4219">
        <v>0</v>
      </c>
      <c r="F4219">
        <v>2</v>
      </c>
      <c r="G4219">
        <v>6</v>
      </c>
      <c r="H4219">
        <v>0</v>
      </c>
      <c r="I4219">
        <v>16105.32</v>
      </c>
      <c r="J4219">
        <v>8</v>
      </c>
      <c r="K4219">
        <v>0</v>
      </c>
      <c r="L4219" s="4">
        <v>0.96065653367792159</v>
      </c>
      <c r="M4219" s="4">
        <v>3.9343466322078392E-2</v>
      </c>
      <c r="N4219">
        <v>10</v>
      </c>
    </row>
    <row r="4220" spans="1:14" x14ac:dyDescent="0.35">
      <c r="A4220" s="1">
        <v>2575</v>
      </c>
      <c r="B4220">
        <v>6</v>
      </c>
      <c r="C4220">
        <v>69</v>
      </c>
      <c r="D4220">
        <v>2</v>
      </c>
      <c r="E4220">
        <v>1</v>
      </c>
      <c r="F4220">
        <v>0</v>
      </c>
      <c r="G4220">
        <v>4</v>
      </c>
      <c r="H4220">
        <v>3</v>
      </c>
      <c r="I4220">
        <v>0.01</v>
      </c>
      <c r="J4220">
        <v>9</v>
      </c>
      <c r="K4220">
        <v>0</v>
      </c>
      <c r="L4220" s="4">
        <v>0.96065740703679448</v>
      </c>
      <c r="M4220" s="4">
        <v>3.9342592963205539E-2</v>
      </c>
      <c r="N4220">
        <v>10</v>
      </c>
    </row>
    <row r="4221" spans="1:14" x14ac:dyDescent="0.35">
      <c r="A4221" s="1">
        <v>2724</v>
      </c>
      <c r="B4221">
        <v>6</v>
      </c>
      <c r="C4221">
        <v>68</v>
      </c>
      <c r="D4221">
        <v>2</v>
      </c>
      <c r="E4221">
        <v>1</v>
      </c>
      <c r="F4221">
        <v>3</v>
      </c>
      <c r="G4221">
        <v>8</v>
      </c>
      <c r="H4221">
        <v>2</v>
      </c>
      <c r="I4221">
        <v>1600</v>
      </c>
      <c r="J4221">
        <v>9</v>
      </c>
      <c r="K4221">
        <v>0</v>
      </c>
      <c r="L4221" s="4">
        <v>0.96067512868685467</v>
      </c>
      <c r="M4221" s="4">
        <v>3.9324871313145278E-2</v>
      </c>
      <c r="N4221">
        <v>10</v>
      </c>
    </row>
    <row r="4222" spans="1:14" x14ac:dyDescent="0.35">
      <c r="A4222" s="1">
        <v>2337</v>
      </c>
      <c r="B4222">
        <v>4</v>
      </c>
      <c r="C4222">
        <v>64</v>
      </c>
      <c r="D4222">
        <v>2</v>
      </c>
      <c r="E4222">
        <v>0</v>
      </c>
      <c r="F4222">
        <v>3</v>
      </c>
      <c r="G4222">
        <v>8</v>
      </c>
      <c r="H4222">
        <v>3</v>
      </c>
      <c r="I4222">
        <v>0.01</v>
      </c>
      <c r="J4222">
        <v>5</v>
      </c>
      <c r="K4222">
        <v>0</v>
      </c>
      <c r="L4222" s="4">
        <v>0.96078801703980987</v>
      </c>
      <c r="M4222" s="4">
        <v>3.9211982960190163E-2</v>
      </c>
      <c r="N4222">
        <v>10</v>
      </c>
    </row>
    <row r="4223" spans="1:14" x14ac:dyDescent="0.35">
      <c r="A4223" s="1">
        <v>1082</v>
      </c>
      <c r="B4223">
        <v>4</v>
      </c>
      <c r="C4223">
        <v>62</v>
      </c>
      <c r="D4223">
        <v>3</v>
      </c>
      <c r="E4223">
        <v>1</v>
      </c>
      <c r="F4223">
        <v>1</v>
      </c>
      <c r="G4223">
        <v>7</v>
      </c>
      <c r="H4223">
        <v>0</v>
      </c>
      <c r="I4223">
        <v>6000</v>
      </c>
      <c r="J4223">
        <v>2</v>
      </c>
      <c r="K4223">
        <v>0</v>
      </c>
      <c r="L4223" s="4">
        <v>0.960834903043713</v>
      </c>
      <c r="M4223" s="4">
        <v>3.9165096956286997E-2</v>
      </c>
      <c r="N4223">
        <v>10</v>
      </c>
    </row>
    <row r="4224" spans="1:14" x14ac:dyDescent="0.35">
      <c r="A4224" s="1">
        <v>3008</v>
      </c>
      <c r="B4224">
        <v>8</v>
      </c>
      <c r="C4224">
        <v>77</v>
      </c>
      <c r="D4224">
        <v>3</v>
      </c>
      <c r="E4224">
        <v>1</v>
      </c>
      <c r="F4224">
        <v>2</v>
      </c>
      <c r="G4224">
        <v>1</v>
      </c>
      <c r="H4224">
        <v>2</v>
      </c>
      <c r="I4224">
        <v>120</v>
      </c>
      <c r="J4224">
        <v>17</v>
      </c>
      <c r="K4224">
        <v>0</v>
      </c>
      <c r="L4224" s="4">
        <v>0.96088937012176689</v>
      </c>
      <c r="M4224" s="4">
        <v>3.9110629878233147E-2</v>
      </c>
      <c r="N4224">
        <v>10</v>
      </c>
    </row>
    <row r="4225" spans="1:14" x14ac:dyDescent="0.35">
      <c r="A4225" s="1">
        <v>3197</v>
      </c>
      <c r="B4225">
        <v>5</v>
      </c>
      <c r="C4225">
        <v>71</v>
      </c>
      <c r="D4225">
        <v>0</v>
      </c>
      <c r="E4225">
        <v>0</v>
      </c>
      <c r="F4225">
        <v>0</v>
      </c>
      <c r="G4225">
        <v>2</v>
      </c>
      <c r="H4225">
        <v>3</v>
      </c>
      <c r="I4225">
        <v>0.01</v>
      </c>
      <c r="J4225">
        <v>8</v>
      </c>
      <c r="K4225">
        <v>0</v>
      </c>
      <c r="L4225" s="4">
        <v>0.9608944253314522</v>
      </c>
      <c r="M4225" s="4">
        <v>3.910557466854777E-2</v>
      </c>
      <c r="N4225">
        <v>10</v>
      </c>
    </row>
    <row r="4226" spans="1:14" x14ac:dyDescent="0.35">
      <c r="A4226" s="1">
        <v>2600</v>
      </c>
      <c r="B4226">
        <v>6</v>
      </c>
      <c r="C4226">
        <v>74</v>
      </c>
      <c r="D4226">
        <v>1</v>
      </c>
      <c r="E4226">
        <v>0</v>
      </c>
      <c r="F4226">
        <v>1</v>
      </c>
      <c r="G4226">
        <v>12</v>
      </c>
      <c r="H4226">
        <v>2</v>
      </c>
      <c r="I4226">
        <v>1000</v>
      </c>
      <c r="J4226">
        <v>6</v>
      </c>
      <c r="K4226">
        <v>0</v>
      </c>
      <c r="L4226" s="4">
        <v>0.96102100728409645</v>
      </c>
      <c r="M4226" s="4">
        <v>3.897899271590357E-2</v>
      </c>
      <c r="N4226">
        <v>10</v>
      </c>
    </row>
    <row r="4227" spans="1:14" x14ac:dyDescent="0.35">
      <c r="A4227" s="1">
        <v>671</v>
      </c>
      <c r="B4227">
        <v>6</v>
      </c>
      <c r="C4227">
        <v>76</v>
      </c>
      <c r="D4227">
        <v>2</v>
      </c>
      <c r="E4227">
        <v>0</v>
      </c>
      <c r="F4227">
        <v>0</v>
      </c>
      <c r="G4227">
        <v>11</v>
      </c>
      <c r="H4227">
        <v>0</v>
      </c>
      <c r="I4227">
        <v>20000</v>
      </c>
      <c r="J4227">
        <v>1</v>
      </c>
      <c r="K4227">
        <v>0</v>
      </c>
      <c r="L4227" s="4">
        <v>0.96104064927800903</v>
      </c>
      <c r="M4227" s="4">
        <v>3.8959350721990943E-2</v>
      </c>
      <c r="N4227">
        <v>10</v>
      </c>
    </row>
    <row r="4228" spans="1:14" x14ac:dyDescent="0.35">
      <c r="A4228" s="1">
        <v>739</v>
      </c>
      <c r="B4228">
        <v>6</v>
      </c>
      <c r="C4228">
        <v>70</v>
      </c>
      <c r="D4228">
        <v>4</v>
      </c>
      <c r="E4228">
        <v>1</v>
      </c>
      <c r="F4228">
        <v>2</v>
      </c>
      <c r="G4228">
        <v>1</v>
      </c>
      <c r="H4228">
        <v>0</v>
      </c>
      <c r="I4228">
        <v>10000</v>
      </c>
      <c r="J4228">
        <v>4</v>
      </c>
      <c r="K4228">
        <v>1</v>
      </c>
      <c r="L4228" s="4">
        <v>0.9610874475142771</v>
      </c>
      <c r="M4228" s="4">
        <v>3.8912552485722847E-2</v>
      </c>
      <c r="N4228">
        <v>10</v>
      </c>
    </row>
    <row r="4229" spans="1:14" x14ac:dyDescent="0.35">
      <c r="A4229" s="1">
        <v>921</v>
      </c>
      <c r="B4229">
        <v>4</v>
      </c>
      <c r="C4229">
        <v>61</v>
      </c>
      <c r="D4229">
        <v>5</v>
      </c>
      <c r="E4229">
        <v>1</v>
      </c>
      <c r="F4229">
        <v>3</v>
      </c>
      <c r="G4229">
        <v>3</v>
      </c>
      <c r="H4229">
        <v>0</v>
      </c>
      <c r="I4229">
        <v>18000</v>
      </c>
      <c r="J4229">
        <v>2</v>
      </c>
      <c r="K4229">
        <v>0</v>
      </c>
      <c r="L4229" s="4">
        <v>0.96113439796645772</v>
      </c>
      <c r="M4229" s="4">
        <v>3.8865602033542238E-2</v>
      </c>
      <c r="N4229">
        <v>10</v>
      </c>
    </row>
    <row r="4230" spans="1:14" x14ac:dyDescent="0.35">
      <c r="A4230" s="1">
        <v>4025</v>
      </c>
      <c r="B4230">
        <v>6</v>
      </c>
      <c r="C4230">
        <v>75</v>
      </c>
      <c r="D4230">
        <v>1</v>
      </c>
      <c r="E4230">
        <v>0</v>
      </c>
      <c r="F4230">
        <v>3</v>
      </c>
      <c r="G4230">
        <v>8</v>
      </c>
      <c r="H4230">
        <v>0</v>
      </c>
      <c r="I4230">
        <v>6000</v>
      </c>
      <c r="J4230">
        <v>2</v>
      </c>
      <c r="K4230">
        <v>0</v>
      </c>
      <c r="L4230" s="4">
        <v>0.96117529052884021</v>
      </c>
      <c r="M4230" s="4">
        <v>3.8824709471159853E-2</v>
      </c>
      <c r="N4230">
        <v>10</v>
      </c>
    </row>
    <row r="4231" spans="1:14" x14ac:dyDescent="0.35">
      <c r="A4231" s="1">
        <v>651</v>
      </c>
      <c r="B4231">
        <v>5</v>
      </c>
      <c r="C4231">
        <v>64</v>
      </c>
      <c r="D4231">
        <v>5</v>
      </c>
      <c r="E4231">
        <v>1</v>
      </c>
      <c r="F4231">
        <v>2</v>
      </c>
      <c r="G4231">
        <v>1</v>
      </c>
      <c r="H4231">
        <v>2</v>
      </c>
      <c r="I4231">
        <v>1200</v>
      </c>
      <c r="J4231">
        <v>9</v>
      </c>
      <c r="K4231">
        <v>0</v>
      </c>
      <c r="L4231" s="4">
        <v>0.96126482673198632</v>
      </c>
      <c r="M4231" s="4">
        <v>3.8735173268013671E-2</v>
      </c>
      <c r="N4231">
        <v>10</v>
      </c>
    </row>
    <row r="4232" spans="1:14" x14ac:dyDescent="0.35">
      <c r="A4232" s="1">
        <v>3226</v>
      </c>
      <c r="B4232">
        <v>4</v>
      </c>
      <c r="C4232">
        <v>66</v>
      </c>
      <c r="D4232">
        <v>4</v>
      </c>
      <c r="E4232">
        <v>0</v>
      </c>
      <c r="F4232">
        <v>3</v>
      </c>
      <c r="G4232">
        <v>3</v>
      </c>
      <c r="H4232">
        <v>1</v>
      </c>
      <c r="I4232">
        <v>27000</v>
      </c>
      <c r="J4232">
        <v>4</v>
      </c>
      <c r="K4232">
        <v>0</v>
      </c>
      <c r="L4232" s="4">
        <v>0.96135903958920887</v>
      </c>
      <c r="M4232" s="4">
        <v>3.8640960410791167E-2</v>
      </c>
      <c r="N4232">
        <v>10</v>
      </c>
    </row>
    <row r="4233" spans="1:14" x14ac:dyDescent="0.35">
      <c r="A4233" s="1">
        <v>3577</v>
      </c>
      <c r="B4233">
        <v>7</v>
      </c>
      <c r="C4233">
        <v>78</v>
      </c>
      <c r="D4233">
        <v>5</v>
      </c>
      <c r="E4233">
        <v>0</v>
      </c>
      <c r="F4233">
        <v>3</v>
      </c>
      <c r="G4233">
        <v>3</v>
      </c>
      <c r="H4233">
        <v>0</v>
      </c>
      <c r="I4233">
        <v>10000</v>
      </c>
      <c r="J4233">
        <v>4</v>
      </c>
      <c r="K4233">
        <v>0</v>
      </c>
      <c r="L4233" s="4">
        <v>0.96138195372020607</v>
      </c>
      <c r="M4233" s="4">
        <v>3.8618046279793948E-2</v>
      </c>
      <c r="N4233">
        <v>10</v>
      </c>
    </row>
    <row r="4234" spans="1:14" x14ac:dyDescent="0.35">
      <c r="A4234" s="1">
        <v>2018</v>
      </c>
      <c r="B4234">
        <v>6</v>
      </c>
      <c r="C4234">
        <v>69</v>
      </c>
      <c r="D4234">
        <v>0</v>
      </c>
      <c r="E4234">
        <v>1</v>
      </c>
      <c r="F4234">
        <v>1</v>
      </c>
      <c r="G4234">
        <v>12</v>
      </c>
      <c r="H4234">
        <v>3</v>
      </c>
      <c r="I4234">
        <v>0.01</v>
      </c>
      <c r="J4234">
        <v>8</v>
      </c>
      <c r="K4234">
        <v>0</v>
      </c>
      <c r="L4234" s="4">
        <v>0.96144422198304547</v>
      </c>
      <c r="M4234" s="4">
        <v>3.8555778016954548E-2</v>
      </c>
      <c r="N4234">
        <v>10</v>
      </c>
    </row>
    <row r="4235" spans="1:14" x14ac:dyDescent="0.35">
      <c r="A4235" s="1">
        <v>1443</v>
      </c>
      <c r="B4235">
        <v>3</v>
      </c>
      <c r="C4235">
        <v>61</v>
      </c>
      <c r="D4235">
        <v>3</v>
      </c>
      <c r="E4235">
        <v>0</v>
      </c>
      <c r="F4235">
        <v>0</v>
      </c>
      <c r="G4235">
        <v>11</v>
      </c>
      <c r="H4235">
        <v>3</v>
      </c>
      <c r="I4235">
        <v>0.01</v>
      </c>
      <c r="J4235">
        <v>7</v>
      </c>
      <c r="K4235">
        <v>0</v>
      </c>
      <c r="L4235" s="4">
        <v>0.96146507790287306</v>
      </c>
      <c r="M4235" s="4">
        <v>3.8534922097126972E-2</v>
      </c>
      <c r="N4235">
        <v>10</v>
      </c>
    </row>
    <row r="4236" spans="1:14" x14ac:dyDescent="0.35">
      <c r="A4236" s="1">
        <v>2353</v>
      </c>
      <c r="B4236">
        <v>7</v>
      </c>
      <c r="C4236">
        <v>78</v>
      </c>
      <c r="D4236">
        <v>5</v>
      </c>
      <c r="E4236">
        <v>0</v>
      </c>
      <c r="F4236">
        <v>3</v>
      </c>
      <c r="G4236">
        <v>3</v>
      </c>
      <c r="H4236">
        <v>0</v>
      </c>
      <c r="I4236">
        <v>6000</v>
      </c>
      <c r="J4236">
        <v>5</v>
      </c>
      <c r="K4236">
        <v>0</v>
      </c>
      <c r="L4236" s="4">
        <v>0.96157306868742354</v>
      </c>
      <c r="M4236" s="4">
        <v>3.8426931312576407E-2</v>
      </c>
      <c r="N4236">
        <v>10</v>
      </c>
    </row>
    <row r="4237" spans="1:14" x14ac:dyDescent="0.35">
      <c r="A4237" s="1">
        <v>1362</v>
      </c>
      <c r="B4237">
        <v>8</v>
      </c>
      <c r="C4237">
        <v>73</v>
      </c>
      <c r="D4237">
        <v>3</v>
      </c>
      <c r="E4237">
        <v>2</v>
      </c>
      <c r="F4237">
        <v>0</v>
      </c>
      <c r="G4237">
        <v>4</v>
      </c>
      <c r="H4237">
        <v>2</v>
      </c>
      <c r="I4237">
        <v>3000</v>
      </c>
      <c r="J4237">
        <v>7</v>
      </c>
      <c r="K4237">
        <v>0</v>
      </c>
      <c r="L4237" s="4">
        <v>0.96173027539163491</v>
      </c>
      <c r="M4237" s="4">
        <v>3.8269724608365072E-2</v>
      </c>
      <c r="N4237">
        <v>10</v>
      </c>
    </row>
    <row r="4238" spans="1:14" x14ac:dyDescent="0.35">
      <c r="A4238" s="1">
        <v>2434</v>
      </c>
      <c r="B4238">
        <v>8</v>
      </c>
      <c r="C4238">
        <v>77</v>
      </c>
      <c r="D4238">
        <v>2</v>
      </c>
      <c r="E4238">
        <v>1</v>
      </c>
      <c r="F4238">
        <v>3</v>
      </c>
      <c r="G4238">
        <v>3</v>
      </c>
      <c r="H4238">
        <v>2</v>
      </c>
      <c r="I4238">
        <v>3000</v>
      </c>
      <c r="J4238">
        <v>5</v>
      </c>
      <c r="K4238">
        <v>0</v>
      </c>
      <c r="L4238" s="4">
        <v>0.9617770473956222</v>
      </c>
      <c r="M4238" s="4">
        <v>3.8222952604377768E-2</v>
      </c>
      <c r="N4238">
        <v>10</v>
      </c>
    </row>
    <row r="4239" spans="1:14" x14ac:dyDescent="0.35">
      <c r="A4239" s="1">
        <v>2511</v>
      </c>
      <c r="B4239">
        <v>6</v>
      </c>
      <c r="C4239">
        <v>76</v>
      </c>
      <c r="D4239">
        <v>2</v>
      </c>
      <c r="E4239">
        <v>0</v>
      </c>
      <c r="F4239">
        <v>2</v>
      </c>
      <c r="G4239">
        <v>1</v>
      </c>
      <c r="H4239">
        <v>1</v>
      </c>
      <c r="I4239">
        <v>24000</v>
      </c>
      <c r="J4239">
        <v>14</v>
      </c>
      <c r="K4239">
        <v>0</v>
      </c>
      <c r="L4239" s="4">
        <v>0.9618859672162422</v>
      </c>
      <c r="M4239" s="4">
        <v>3.8114032783757822E-2</v>
      </c>
      <c r="N4239">
        <v>10</v>
      </c>
    </row>
    <row r="4240" spans="1:14" x14ac:dyDescent="0.35">
      <c r="A4240" s="1">
        <v>3200</v>
      </c>
      <c r="B4240">
        <v>7</v>
      </c>
      <c r="C4240">
        <v>78</v>
      </c>
      <c r="D4240">
        <v>2</v>
      </c>
      <c r="E4240">
        <v>0</v>
      </c>
      <c r="F4240">
        <v>1</v>
      </c>
      <c r="G4240">
        <v>12</v>
      </c>
      <c r="H4240">
        <v>2</v>
      </c>
      <c r="I4240">
        <v>2400</v>
      </c>
      <c r="J4240">
        <v>4</v>
      </c>
      <c r="K4240">
        <v>0</v>
      </c>
      <c r="L4240" s="4">
        <v>0.96189532031986946</v>
      </c>
      <c r="M4240" s="4">
        <v>3.8104679680130503E-2</v>
      </c>
      <c r="N4240">
        <v>10</v>
      </c>
    </row>
    <row r="4241" spans="1:14" x14ac:dyDescent="0.35">
      <c r="A4241" s="1">
        <v>578</v>
      </c>
      <c r="B4241">
        <v>6</v>
      </c>
      <c r="C4241">
        <v>65</v>
      </c>
      <c r="D4241">
        <v>2</v>
      </c>
      <c r="E4241">
        <v>2</v>
      </c>
      <c r="F4241">
        <v>0</v>
      </c>
      <c r="G4241">
        <v>10</v>
      </c>
      <c r="H4241">
        <v>2</v>
      </c>
      <c r="I4241">
        <v>3000</v>
      </c>
      <c r="J4241">
        <v>10</v>
      </c>
      <c r="K4241">
        <v>0</v>
      </c>
      <c r="L4241" s="4">
        <v>0.96205367111417872</v>
      </c>
      <c r="M4241" s="4">
        <v>3.79463288858213E-2</v>
      </c>
      <c r="N4241">
        <v>10</v>
      </c>
    </row>
    <row r="4242" spans="1:14" x14ac:dyDescent="0.35">
      <c r="A4242" s="1">
        <v>1417</v>
      </c>
      <c r="B4242">
        <v>5</v>
      </c>
      <c r="C4242">
        <v>66</v>
      </c>
      <c r="D4242">
        <v>0</v>
      </c>
      <c r="E4242">
        <v>1</v>
      </c>
      <c r="F4242">
        <v>3</v>
      </c>
      <c r="G4242">
        <v>3</v>
      </c>
      <c r="H4242">
        <v>2</v>
      </c>
      <c r="I4242">
        <v>3865.53</v>
      </c>
      <c r="J4242">
        <v>9</v>
      </c>
      <c r="K4242">
        <v>0</v>
      </c>
      <c r="L4242" s="4">
        <v>0.96214658194675717</v>
      </c>
      <c r="M4242" s="4">
        <v>3.785341805324282E-2</v>
      </c>
      <c r="N4242">
        <v>10</v>
      </c>
    </row>
    <row r="4243" spans="1:14" x14ac:dyDescent="0.35">
      <c r="A4243" s="1">
        <v>38</v>
      </c>
      <c r="B4243">
        <v>5</v>
      </c>
      <c r="C4243">
        <v>67</v>
      </c>
      <c r="D4243">
        <v>1</v>
      </c>
      <c r="E4243">
        <v>1</v>
      </c>
      <c r="F4243">
        <v>3</v>
      </c>
      <c r="G4243">
        <v>3</v>
      </c>
      <c r="H4243">
        <v>0</v>
      </c>
      <c r="I4243">
        <v>8000</v>
      </c>
      <c r="J4243">
        <v>0</v>
      </c>
      <c r="K4243">
        <v>0</v>
      </c>
      <c r="L4243" s="4">
        <v>0.96226866529219746</v>
      </c>
      <c r="M4243" s="4">
        <v>3.7731334707802558E-2</v>
      </c>
      <c r="N4243">
        <v>10</v>
      </c>
    </row>
    <row r="4244" spans="1:14" x14ac:dyDescent="0.35">
      <c r="A4244" s="1">
        <v>1836</v>
      </c>
      <c r="B4244">
        <v>4</v>
      </c>
      <c r="C4244">
        <v>65</v>
      </c>
      <c r="D4244">
        <v>3</v>
      </c>
      <c r="E4244">
        <v>0</v>
      </c>
      <c r="F4244">
        <v>3</v>
      </c>
      <c r="G4244">
        <v>8</v>
      </c>
      <c r="H4244">
        <v>2</v>
      </c>
      <c r="I4244">
        <v>4420</v>
      </c>
      <c r="J4244">
        <v>1</v>
      </c>
      <c r="K4244">
        <v>0</v>
      </c>
      <c r="L4244" s="4">
        <v>0.96228506938267744</v>
      </c>
      <c r="M4244" s="4">
        <v>3.7714930617322513E-2</v>
      </c>
      <c r="N4244">
        <v>10</v>
      </c>
    </row>
    <row r="4245" spans="1:14" x14ac:dyDescent="0.35">
      <c r="A4245" s="1">
        <v>2435</v>
      </c>
      <c r="B4245">
        <v>8</v>
      </c>
      <c r="C4245">
        <v>77</v>
      </c>
      <c r="D4245">
        <v>5</v>
      </c>
      <c r="E4245">
        <v>1</v>
      </c>
      <c r="F4245">
        <v>0</v>
      </c>
      <c r="G4245">
        <v>11</v>
      </c>
      <c r="H4245">
        <v>2</v>
      </c>
      <c r="I4245">
        <v>5000</v>
      </c>
      <c r="J4245">
        <v>15</v>
      </c>
      <c r="K4245">
        <v>1</v>
      </c>
      <c r="L4245" s="4">
        <v>0.96255875900011734</v>
      </c>
      <c r="M4245" s="4">
        <v>3.7441240999882643E-2</v>
      </c>
      <c r="N4245">
        <v>10</v>
      </c>
    </row>
    <row r="4246" spans="1:14" x14ac:dyDescent="0.35">
      <c r="A4246" s="1">
        <v>4153</v>
      </c>
      <c r="B4246">
        <v>6</v>
      </c>
      <c r="C4246">
        <v>76</v>
      </c>
      <c r="D4246">
        <v>2</v>
      </c>
      <c r="E4246">
        <v>0</v>
      </c>
      <c r="F4246">
        <v>3</v>
      </c>
      <c r="G4246">
        <v>3</v>
      </c>
      <c r="H4246">
        <v>0</v>
      </c>
      <c r="I4246">
        <v>6500</v>
      </c>
      <c r="J4246">
        <v>16</v>
      </c>
      <c r="K4246">
        <v>0</v>
      </c>
      <c r="L4246" s="4">
        <v>0.96264911050504609</v>
      </c>
      <c r="M4246" s="4">
        <v>3.7350889494953923E-2</v>
      </c>
      <c r="N4246">
        <v>10</v>
      </c>
    </row>
    <row r="4247" spans="1:14" x14ac:dyDescent="0.35">
      <c r="A4247" s="1">
        <v>3340</v>
      </c>
      <c r="B4247">
        <v>6</v>
      </c>
      <c r="C4247">
        <v>68</v>
      </c>
      <c r="D4247">
        <v>5</v>
      </c>
      <c r="E4247">
        <v>1</v>
      </c>
      <c r="F4247">
        <v>1</v>
      </c>
      <c r="G4247">
        <v>5</v>
      </c>
      <c r="H4247">
        <v>3</v>
      </c>
      <c r="I4247">
        <v>0.01</v>
      </c>
      <c r="J4247">
        <v>7</v>
      </c>
      <c r="K4247">
        <v>0</v>
      </c>
      <c r="L4247" s="4">
        <v>0.9626920888243935</v>
      </c>
      <c r="M4247" s="4">
        <v>3.7307911175606452E-2</v>
      </c>
      <c r="N4247">
        <v>10</v>
      </c>
    </row>
    <row r="4248" spans="1:14" x14ac:dyDescent="0.35">
      <c r="A4248" s="1">
        <v>3365</v>
      </c>
      <c r="B4248">
        <v>6</v>
      </c>
      <c r="C4248">
        <v>72</v>
      </c>
      <c r="D4248">
        <v>0</v>
      </c>
      <c r="E4248">
        <v>1</v>
      </c>
      <c r="F4248">
        <v>3</v>
      </c>
      <c r="G4248">
        <v>3</v>
      </c>
      <c r="H4248">
        <v>0</v>
      </c>
      <c r="I4248">
        <v>16000</v>
      </c>
      <c r="J4248">
        <v>4</v>
      </c>
      <c r="K4248">
        <v>0</v>
      </c>
      <c r="L4248" s="4">
        <v>0.96273135286911593</v>
      </c>
      <c r="M4248" s="4">
        <v>3.7268647130884042E-2</v>
      </c>
      <c r="N4248">
        <v>10</v>
      </c>
    </row>
    <row r="4249" spans="1:14" x14ac:dyDescent="0.35">
      <c r="A4249" s="1">
        <v>2700</v>
      </c>
      <c r="B4249">
        <v>5</v>
      </c>
      <c r="C4249">
        <v>61</v>
      </c>
      <c r="D4249">
        <v>4</v>
      </c>
      <c r="E4249">
        <v>2</v>
      </c>
      <c r="F4249">
        <v>0</v>
      </c>
      <c r="G4249">
        <v>2</v>
      </c>
      <c r="H4249">
        <v>2</v>
      </c>
      <c r="I4249">
        <v>1500</v>
      </c>
      <c r="J4249">
        <v>4</v>
      </c>
      <c r="K4249">
        <v>0</v>
      </c>
      <c r="L4249" s="4">
        <v>0.96284291292172353</v>
      </c>
      <c r="M4249" s="4">
        <v>3.7157087078276509E-2</v>
      </c>
      <c r="N4249">
        <v>10</v>
      </c>
    </row>
    <row r="4250" spans="1:14" x14ac:dyDescent="0.35">
      <c r="A4250" s="1">
        <v>4258</v>
      </c>
      <c r="B4250">
        <v>6</v>
      </c>
      <c r="C4250">
        <v>71</v>
      </c>
      <c r="D4250">
        <v>1</v>
      </c>
      <c r="E4250">
        <v>1</v>
      </c>
      <c r="F4250">
        <v>3</v>
      </c>
      <c r="G4250">
        <v>8</v>
      </c>
      <c r="H4250">
        <v>0</v>
      </c>
      <c r="I4250">
        <v>10000</v>
      </c>
      <c r="J4250">
        <v>4</v>
      </c>
      <c r="K4250">
        <v>0</v>
      </c>
      <c r="L4250" s="4">
        <v>0.96284755752424545</v>
      </c>
      <c r="M4250" s="4">
        <v>3.7152442475754562E-2</v>
      </c>
      <c r="N4250">
        <v>10</v>
      </c>
    </row>
    <row r="4251" spans="1:14" x14ac:dyDescent="0.35">
      <c r="A4251" s="1">
        <v>3595</v>
      </c>
      <c r="B4251">
        <v>6</v>
      </c>
      <c r="C4251">
        <v>73</v>
      </c>
      <c r="D4251">
        <v>1</v>
      </c>
      <c r="E4251">
        <v>1</v>
      </c>
      <c r="F4251">
        <v>0</v>
      </c>
      <c r="G4251">
        <v>2</v>
      </c>
      <c r="H4251">
        <v>0</v>
      </c>
      <c r="I4251">
        <v>9000</v>
      </c>
      <c r="J4251">
        <v>4</v>
      </c>
      <c r="K4251">
        <v>0</v>
      </c>
      <c r="L4251" s="4">
        <v>0.96298138509719278</v>
      </c>
      <c r="M4251" s="4">
        <v>3.7018614902807202E-2</v>
      </c>
      <c r="N4251">
        <v>10</v>
      </c>
    </row>
    <row r="4252" spans="1:14" x14ac:dyDescent="0.35">
      <c r="A4252" s="1">
        <v>1816</v>
      </c>
      <c r="B4252">
        <v>5</v>
      </c>
      <c r="C4252">
        <v>73</v>
      </c>
      <c r="D4252">
        <v>1</v>
      </c>
      <c r="E4252">
        <v>0</v>
      </c>
      <c r="F4252">
        <v>2</v>
      </c>
      <c r="G4252">
        <v>1</v>
      </c>
      <c r="H4252">
        <v>0</v>
      </c>
      <c r="I4252">
        <v>6000</v>
      </c>
      <c r="J4252">
        <v>6</v>
      </c>
      <c r="K4252">
        <v>0</v>
      </c>
      <c r="L4252" s="4">
        <v>0.96304779523087325</v>
      </c>
      <c r="M4252" s="4">
        <v>3.6952204769126709E-2</v>
      </c>
      <c r="N4252">
        <v>10</v>
      </c>
    </row>
    <row r="4253" spans="1:14" x14ac:dyDescent="0.35">
      <c r="A4253" s="1">
        <v>3046</v>
      </c>
      <c r="B4253">
        <v>6</v>
      </c>
      <c r="C4253">
        <v>76</v>
      </c>
      <c r="D4253">
        <v>2</v>
      </c>
      <c r="E4253">
        <v>0</v>
      </c>
      <c r="F4253">
        <v>0</v>
      </c>
      <c r="G4253">
        <v>4</v>
      </c>
      <c r="H4253">
        <v>2</v>
      </c>
      <c r="I4253">
        <v>500</v>
      </c>
      <c r="J4253">
        <v>20</v>
      </c>
      <c r="K4253">
        <v>0</v>
      </c>
      <c r="L4253" s="4">
        <v>0.96310539548191942</v>
      </c>
      <c r="M4253" s="4">
        <v>3.6894604518080583E-2</v>
      </c>
      <c r="N4253">
        <v>10</v>
      </c>
    </row>
    <row r="4254" spans="1:14" x14ac:dyDescent="0.35">
      <c r="A4254" s="1">
        <v>1394</v>
      </c>
      <c r="B4254">
        <v>3</v>
      </c>
      <c r="C4254">
        <v>56</v>
      </c>
      <c r="D4254">
        <v>5</v>
      </c>
      <c r="E4254">
        <v>1</v>
      </c>
      <c r="F4254">
        <v>1</v>
      </c>
      <c r="G4254">
        <v>5</v>
      </c>
      <c r="H4254">
        <v>3</v>
      </c>
      <c r="I4254">
        <v>0.01</v>
      </c>
      <c r="J4254">
        <v>5</v>
      </c>
      <c r="K4254">
        <v>0</v>
      </c>
      <c r="L4254" s="4">
        <v>0.96310774156019618</v>
      </c>
      <c r="M4254" s="4">
        <v>3.6892258439803857E-2</v>
      </c>
      <c r="N4254">
        <v>10</v>
      </c>
    </row>
    <row r="4255" spans="1:14" x14ac:dyDescent="0.35">
      <c r="A4255" s="1">
        <v>2185</v>
      </c>
      <c r="B4255">
        <v>5</v>
      </c>
      <c r="C4255">
        <v>71</v>
      </c>
      <c r="D4255">
        <v>1</v>
      </c>
      <c r="E4255">
        <v>0</v>
      </c>
      <c r="F4255">
        <v>3</v>
      </c>
      <c r="G4255">
        <v>3</v>
      </c>
      <c r="H4255">
        <v>2</v>
      </c>
      <c r="I4255">
        <v>3000</v>
      </c>
      <c r="J4255">
        <v>12</v>
      </c>
      <c r="K4255">
        <v>0</v>
      </c>
      <c r="L4255" s="4">
        <v>0.96319705807962508</v>
      </c>
      <c r="M4255" s="4">
        <v>3.6802941920374921E-2</v>
      </c>
      <c r="N4255">
        <v>10</v>
      </c>
    </row>
    <row r="4256" spans="1:14" x14ac:dyDescent="0.35">
      <c r="A4256" s="1">
        <v>1860</v>
      </c>
      <c r="B4256">
        <v>5</v>
      </c>
      <c r="C4256">
        <v>68</v>
      </c>
      <c r="D4256">
        <v>0</v>
      </c>
      <c r="E4256">
        <v>1</v>
      </c>
      <c r="F4256">
        <v>3</v>
      </c>
      <c r="G4256">
        <v>3</v>
      </c>
      <c r="H4256">
        <v>0</v>
      </c>
      <c r="I4256">
        <v>6000</v>
      </c>
      <c r="J4256">
        <v>4</v>
      </c>
      <c r="K4256">
        <v>0</v>
      </c>
      <c r="L4256" s="4">
        <v>0.96341183508379891</v>
      </c>
      <c r="M4256" s="4">
        <v>3.6588164916201073E-2</v>
      </c>
      <c r="N4256">
        <v>10</v>
      </c>
    </row>
    <row r="4257" spans="1:14" x14ac:dyDescent="0.35">
      <c r="A4257" s="1">
        <v>2776</v>
      </c>
      <c r="B4257">
        <v>3</v>
      </c>
      <c r="C4257">
        <v>63</v>
      </c>
      <c r="D4257">
        <v>2</v>
      </c>
      <c r="E4257">
        <v>0</v>
      </c>
      <c r="F4257">
        <v>0</v>
      </c>
      <c r="G4257">
        <v>4</v>
      </c>
      <c r="H4257">
        <v>3</v>
      </c>
      <c r="I4257">
        <v>0.01</v>
      </c>
      <c r="J4257">
        <v>8</v>
      </c>
      <c r="K4257">
        <v>0</v>
      </c>
      <c r="L4257" s="4">
        <v>0.96342842288638741</v>
      </c>
      <c r="M4257" s="4">
        <v>3.6571577113612627E-2</v>
      </c>
      <c r="N4257">
        <v>10</v>
      </c>
    </row>
    <row r="4258" spans="1:14" x14ac:dyDescent="0.35">
      <c r="A4258" s="1">
        <v>3608</v>
      </c>
      <c r="B4258">
        <v>5</v>
      </c>
      <c r="C4258">
        <v>72</v>
      </c>
      <c r="D4258">
        <v>0</v>
      </c>
      <c r="E4258">
        <v>0</v>
      </c>
      <c r="F4258">
        <v>1</v>
      </c>
      <c r="G4258">
        <v>7</v>
      </c>
      <c r="H4258">
        <v>2</v>
      </c>
      <c r="I4258">
        <v>3000</v>
      </c>
      <c r="J4258">
        <v>5</v>
      </c>
      <c r="K4258">
        <v>0</v>
      </c>
      <c r="L4258" s="4">
        <v>0.96347871625803194</v>
      </c>
      <c r="M4258" s="4">
        <v>3.6521283741968051E-2</v>
      </c>
      <c r="N4258">
        <v>10</v>
      </c>
    </row>
    <row r="4259" spans="1:14" x14ac:dyDescent="0.35">
      <c r="A4259" s="1">
        <v>1731</v>
      </c>
      <c r="B4259">
        <v>2</v>
      </c>
      <c r="C4259">
        <v>60</v>
      </c>
      <c r="D4259">
        <v>1</v>
      </c>
      <c r="E4259">
        <v>0</v>
      </c>
      <c r="F4259">
        <v>3</v>
      </c>
      <c r="G4259">
        <v>8</v>
      </c>
      <c r="H4259">
        <v>0</v>
      </c>
      <c r="I4259">
        <v>6000</v>
      </c>
      <c r="J4259">
        <v>3</v>
      </c>
      <c r="K4259">
        <v>1</v>
      </c>
      <c r="L4259" s="4">
        <v>0.96373891885828855</v>
      </c>
      <c r="M4259" s="4">
        <v>3.6261081141711449E-2</v>
      </c>
      <c r="N4259">
        <v>10</v>
      </c>
    </row>
    <row r="4260" spans="1:14" x14ac:dyDescent="0.35">
      <c r="A4260" s="1">
        <v>2812</v>
      </c>
      <c r="B4260">
        <v>3</v>
      </c>
      <c r="C4260">
        <v>62</v>
      </c>
      <c r="D4260">
        <v>5</v>
      </c>
      <c r="E4260">
        <v>0</v>
      </c>
      <c r="F4260">
        <v>0</v>
      </c>
      <c r="G4260">
        <v>2</v>
      </c>
      <c r="H4260">
        <v>3</v>
      </c>
      <c r="I4260">
        <v>0.01</v>
      </c>
      <c r="J4260">
        <v>4</v>
      </c>
      <c r="K4260">
        <v>0</v>
      </c>
      <c r="L4260" s="4">
        <v>0.96388006647151658</v>
      </c>
      <c r="M4260" s="4">
        <v>3.6119933528483389E-2</v>
      </c>
      <c r="N4260">
        <v>10</v>
      </c>
    </row>
    <row r="4261" spans="1:14" x14ac:dyDescent="0.35">
      <c r="A4261" s="1">
        <v>1945</v>
      </c>
      <c r="B4261">
        <v>5</v>
      </c>
      <c r="C4261">
        <v>61</v>
      </c>
      <c r="D4261">
        <v>2</v>
      </c>
      <c r="E4261">
        <v>2</v>
      </c>
      <c r="F4261">
        <v>3</v>
      </c>
      <c r="G4261">
        <v>3</v>
      </c>
      <c r="H4261">
        <v>2</v>
      </c>
      <c r="I4261">
        <v>500</v>
      </c>
      <c r="J4261">
        <v>9</v>
      </c>
      <c r="K4261">
        <v>0</v>
      </c>
      <c r="L4261" s="4">
        <v>0.96401762426334048</v>
      </c>
      <c r="M4261" s="4">
        <v>3.5982375736659578E-2</v>
      </c>
      <c r="N4261">
        <v>10</v>
      </c>
    </row>
    <row r="4262" spans="1:14" x14ac:dyDescent="0.35">
      <c r="A4262" s="1">
        <v>2136</v>
      </c>
      <c r="B4262">
        <v>5</v>
      </c>
      <c r="C4262">
        <v>73</v>
      </c>
      <c r="D4262">
        <v>1</v>
      </c>
      <c r="E4262">
        <v>0</v>
      </c>
      <c r="F4262">
        <v>3</v>
      </c>
      <c r="G4262">
        <v>3</v>
      </c>
      <c r="H4262">
        <v>0</v>
      </c>
      <c r="I4262">
        <v>6053.35</v>
      </c>
      <c r="J4262">
        <v>5</v>
      </c>
      <c r="K4262">
        <v>1</v>
      </c>
      <c r="L4262" s="4">
        <v>0.96446585759482106</v>
      </c>
      <c r="M4262" s="4">
        <v>3.5534142405178923E-2</v>
      </c>
      <c r="N4262">
        <v>10</v>
      </c>
    </row>
    <row r="4263" spans="1:14" x14ac:dyDescent="0.35">
      <c r="A4263" s="1">
        <v>2507</v>
      </c>
      <c r="B4263">
        <v>6</v>
      </c>
      <c r="C4263">
        <v>64</v>
      </c>
      <c r="D4263">
        <v>5</v>
      </c>
      <c r="E4263">
        <v>2</v>
      </c>
      <c r="F4263">
        <v>3</v>
      </c>
      <c r="G4263">
        <v>3</v>
      </c>
      <c r="H4263">
        <v>2</v>
      </c>
      <c r="I4263">
        <v>970.01</v>
      </c>
      <c r="J4263">
        <v>8</v>
      </c>
      <c r="K4263">
        <v>0</v>
      </c>
      <c r="L4263" s="4">
        <v>0.96457672047071918</v>
      </c>
      <c r="M4263" s="4">
        <v>3.542327952928085E-2</v>
      </c>
      <c r="N4263">
        <v>10</v>
      </c>
    </row>
    <row r="4264" spans="1:14" x14ac:dyDescent="0.35">
      <c r="A4264" s="1">
        <v>1956</v>
      </c>
      <c r="B4264">
        <v>5</v>
      </c>
      <c r="C4264">
        <v>70</v>
      </c>
      <c r="D4264">
        <v>2</v>
      </c>
      <c r="E4264">
        <v>0</v>
      </c>
      <c r="F4264">
        <v>4</v>
      </c>
      <c r="G4264">
        <v>9</v>
      </c>
      <c r="H4264">
        <v>2</v>
      </c>
      <c r="I4264">
        <v>1000</v>
      </c>
      <c r="J4264">
        <v>5</v>
      </c>
      <c r="K4264">
        <v>0</v>
      </c>
      <c r="L4264" s="4">
        <v>0.96457905356712492</v>
      </c>
      <c r="M4264" s="4">
        <v>3.5420946432875043E-2</v>
      </c>
      <c r="N4264">
        <v>10</v>
      </c>
    </row>
    <row r="4265" spans="1:14" x14ac:dyDescent="0.35">
      <c r="A4265" s="1">
        <v>3062</v>
      </c>
      <c r="B4265">
        <v>6</v>
      </c>
      <c r="C4265">
        <v>74</v>
      </c>
      <c r="D4265">
        <v>3</v>
      </c>
      <c r="E4265">
        <v>0</v>
      </c>
      <c r="F4265">
        <v>3</v>
      </c>
      <c r="G4265">
        <v>3</v>
      </c>
      <c r="H4265">
        <v>3</v>
      </c>
      <c r="I4265">
        <v>0.01</v>
      </c>
      <c r="J4265">
        <v>9</v>
      </c>
      <c r="K4265">
        <v>0</v>
      </c>
      <c r="L4265" s="4">
        <v>0.96466101774649726</v>
      </c>
      <c r="M4265" s="4">
        <v>3.5338982253502717E-2</v>
      </c>
      <c r="N4265">
        <v>10</v>
      </c>
    </row>
    <row r="4266" spans="1:14" x14ac:dyDescent="0.35">
      <c r="A4266" s="1">
        <v>1164</v>
      </c>
      <c r="B4266">
        <v>7</v>
      </c>
      <c r="C4266">
        <v>78</v>
      </c>
      <c r="D4266">
        <v>5</v>
      </c>
      <c r="E4266">
        <v>0</v>
      </c>
      <c r="F4266">
        <v>1</v>
      </c>
      <c r="G4266">
        <v>12</v>
      </c>
      <c r="H4266">
        <v>2</v>
      </c>
      <c r="I4266">
        <v>200</v>
      </c>
      <c r="J4266">
        <v>7</v>
      </c>
      <c r="K4266">
        <v>0</v>
      </c>
      <c r="L4266" s="4">
        <v>0.96467381295098065</v>
      </c>
      <c r="M4266" s="4">
        <v>3.5326187049019367E-2</v>
      </c>
      <c r="N4266">
        <v>10</v>
      </c>
    </row>
    <row r="4267" spans="1:14" x14ac:dyDescent="0.35">
      <c r="A4267" s="1">
        <v>3243</v>
      </c>
      <c r="B4267">
        <v>8</v>
      </c>
      <c r="C4267">
        <v>76</v>
      </c>
      <c r="D4267">
        <v>0</v>
      </c>
      <c r="E4267">
        <v>2</v>
      </c>
      <c r="F4267">
        <v>3</v>
      </c>
      <c r="G4267">
        <v>3</v>
      </c>
      <c r="H4267">
        <v>0</v>
      </c>
      <c r="I4267">
        <v>11000</v>
      </c>
      <c r="J4267">
        <v>2</v>
      </c>
      <c r="K4267">
        <v>0</v>
      </c>
      <c r="L4267" s="4">
        <v>0.96480376493559916</v>
      </c>
      <c r="M4267" s="4">
        <v>3.5196235064400803E-2</v>
      </c>
      <c r="N4267">
        <v>10</v>
      </c>
    </row>
    <row r="4268" spans="1:14" x14ac:dyDescent="0.35">
      <c r="A4268" s="1">
        <v>4135</v>
      </c>
      <c r="B4268">
        <v>2</v>
      </c>
      <c r="C4268">
        <v>51</v>
      </c>
      <c r="D4268">
        <v>2</v>
      </c>
      <c r="E4268">
        <v>2</v>
      </c>
      <c r="F4268">
        <v>1</v>
      </c>
      <c r="G4268">
        <v>12</v>
      </c>
      <c r="H4268">
        <v>0</v>
      </c>
      <c r="I4268">
        <v>10000</v>
      </c>
      <c r="J4268">
        <v>5</v>
      </c>
      <c r="K4268">
        <v>0</v>
      </c>
      <c r="L4268" s="4">
        <v>0.96483341505828712</v>
      </c>
      <c r="M4268" s="4">
        <v>3.5166584941712889E-2</v>
      </c>
      <c r="N4268">
        <v>10</v>
      </c>
    </row>
    <row r="4269" spans="1:14" x14ac:dyDescent="0.35">
      <c r="A4269" s="1">
        <v>464</v>
      </c>
      <c r="B4269">
        <v>7</v>
      </c>
      <c r="C4269">
        <v>77</v>
      </c>
      <c r="D4269">
        <v>1</v>
      </c>
      <c r="E4269">
        <v>1</v>
      </c>
      <c r="F4269">
        <v>2</v>
      </c>
      <c r="G4269">
        <v>1</v>
      </c>
      <c r="H4269">
        <v>0</v>
      </c>
      <c r="I4269">
        <v>6000</v>
      </c>
      <c r="J4269">
        <v>2</v>
      </c>
      <c r="K4269">
        <v>0</v>
      </c>
      <c r="L4269" s="4">
        <v>0.96491801050123915</v>
      </c>
      <c r="M4269" s="4">
        <v>3.5081989498760853E-2</v>
      </c>
      <c r="N4269">
        <v>10</v>
      </c>
    </row>
    <row r="4270" spans="1:14" x14ac:dyDescent="0.35">
      <c r="A4270" s="1">
        <v>633</v>
      </c>
      <c r="B4270">
        <v>4</v>
      </c>
      <c r="C4270">
        <v>60</v>
      </c>
      <c r="D4270">
        <v>3</v>
      </c>
      <c r="E4270">
        <v>2</v>
      </c>
      <c r="F4270">
        <v>0</v>
      </c>
      <c r="G4270">
        <v>4</v>
      </c>
      <c r="H4270">
        <v>0</v>
      </c>
      <c r="I4270">
        <v>6000</v>
      </c>
      <c r="J4270">
        <v>14</v>
      </c>
      <c r="K4270">
        <v>0</v>
      </c>
      <c r="L4270" s="4">
        <v>0.9649341048979988</v>
      </c>
      <c r="M4270" s="4">
        <v>3.5065895102001157E-2</v>
      </c>
      <c r="N4270">
        <v>10</v>
      </c>
    </row>
    <row r="4271" spans="1:14" x14ac:dyDescent="0.35">
      <c r="A4271" s="1">
        <v>2851</v>
      </c>
      <c r="B4271">
        <v>6</v>
      </c>
      <c r="C4271">
        <v>74</v>
      </c>
      <c r="D4271">
        <v>4</v>
      </c>
      <c r="E4271">
        <v>0</v>
      </c>
      <c r="F4271">
        <v>3</v>
      </c>
      <c r="G4271">
        <v>8</v>
      </c>
      <c r="H4271">
        <v>2</v>
      </c>
      <c r="I4271">
        <v>4000</v>
      </c>
      <c r="J4271">
        <v>5</v>
      </c>
      <c r="K4271">
        <v>0</v>
      </c>
      <c r="L4271" s="4">
        <v>0.96494739849634847</v>
      </c>
      <c r="M4271" s="4">
        <v>3.5052601503651568E-2</v>
      </c>
      <c r="N4271">
        <v>10</v>
      </c>
    </row>
    <row r="4272" spans="1:14" x14ac:dyDescent="0.35">
      <c r="A4272" s="1">
        <v>2302</v>
      </c>
      <c r="B4272">
        <v>6</v>
      </c>
      <c r="C4272">
        <v>72</v>
      </c>
      <c r="D4272">
        <v>2</v>
      </c>
      <c r="E4272">
        <v>1</v>
      </c>
      <c r="F4272">
        <v>3</v>
      </c>
      <c r="G4272">
        <v>3</v>
      </c>
      <c r="H4272">
        <v>0</v>
      </c>
      <c r="I4272">
        <v>6000</v>
      </c>
      <c r="J4272">
        <v>2</v>
      </c>
      <c r="K4272">
        <v>1</v>
      </c>
      <c r="L4272" s="4">
        <v>0.96520643274022044</v>
      </c>
      <c r="M4272" s="4">
        <v>3.479356725977955E-2</v>
      </c>
      <c r="N4272">
        <v>10</v>
      </c>
    </row>
    <row r="4273" spans="1:14" x14ac:dyDescent="0.35">
      <c r="A4273" s="1">
        <v>1411</v>
      </c>
      <c r="B4273">
        <v>5</v>
      </c>
      <c r="C4273">
        <v>74</v>
      </c>
      <c r="D4273">
        <v>3</v>
      </c>
      <c r="E4273">
        <v>0</v>
      </c>
      <c r="F4273">
        <v>0</v>
      </c>
      <c r="G4273">
        <v>2</v>
      </c>
      <c r="H4273">
        <v>0</v>
      </c>
      <c r="I4273">
        <v>6000</v>
      </c>
      <c r="J4273">
        <v>3</v>
      </c>
      <c r="K4273">
        <v>0</v>
      </c>
      <c r="L4273" s="4">
        <v>0.96530175003278684</v>
      </c>
      <c r="M4273" s="4">
        <v>3.4698249967213123E-2</v>
      </c>
      <c r="N4273">
        <v>10</v>
      </c>
    </row>
    <row r="4274" spans="1:14" x14ac:dyDescent="0.35">
      <c r="A4274" s="1">
        <v>1556</v>
      </c>
      <c r="B4274">
        <v>8</v>
      </c>
      <c r="C4274">
        <v>76</v>
      </c>
      <c r="D4274">
        <v>2</v>
      </c>
      <c r="E4274">
        <v>2</v>
      </c>
      <c r="F4274">
        <v>1</v>
      </c>
      <c r="G4274">
        <v>12</v>
      </c>
      <c r="H4274">
        <v>0</v>
      </c>
      <c r="I4274">
        <v>5364</v>
      </c>
      <c r="J4274">
        <v>32</v>
      </c>
      <c r="K4274">
        <v>0</v>
      </c>
      <c r="L4274" s="4">
        <v>0.96533268155902208</v>
      </c>
      <c r="M4274" s="4">
        <v>3.4667318440977882E-2</v>
      </c>
      <c r="N4274">
        <v>10</v>
      </c>
    </row>
    <row r="4275" spans="1:14" x14ac:dyDescent="0.35">
      <c r="A4275" s="1">
        <v>1172</v>
      </c>
      <c r="B4275">
        <v>5</v>
      </c>
      <c r="C4275">
        <v>59</v>
      </c>
      <c r="D4275">
        <v>4</v>
      </c>
      <c r="E4275">
        <v>2</v>
      </c>
      <c r="F4275">
        <v>4</v>
      </c>
      <c r="G4275">
        <v>9</v>
      </c>
      <c r="H4275">
        <v>3</v>
      </c>
      <c r="I4275">
        <v>0.01</v>
      </c>
      <c r="J4275">
        <v>7</v>
      </c>
      <c r="K4275">
        <v>0</v>
      </c>
      <c r="L4275" s="4">
        <v>0.9654132831703307</v>
      </c>
      <c r="M4275" s="4">
        <v>3.4586716829669309E-2</v>
      </c>
      <c r="N4275">
        <v>10</v>
      </c>
    </row>
    <row r="4276" spans="1:14" x14ac:dyDescent="0.35">
      <c r="A4276" s="1">
        <v>2408</v>
      </c>
      <c r="B4276">
        <v>6</v>
      </c>
      <c r="C4276">
        <v>75</v>
      </c>
      <c r="D4276">
        <v>5</v>
      </c>
      <c r="E4276">
        <v>0</v>
      </c>
      <c r="F4276">
        <v>3</v>
      </c>
      <c r="G4276">
        <v>8</v>
      </c>
      <c r="H4276">
        <v>1</v>
      </c>
      <c r="I4276">
        <v>24000</v>
      </c>
      <c r="J4276">
        <v>2</v>
      </c>
      <c r="K4276">
        <v>1</v>
      </c>
      <c r="L4276" s="4">
        <v>0.96542103608504015</v>
      </c>
      <c r="M4276" s="4">
        <v>3.4578963914959827E-2</v>
      </c>
      <c r="N4276">
        <v>10</v>
      </c>
    </row>
    <row r="4277" spans="1:14" x14ac:dyDescent="0.35">
      <c r="A4277" s="1">
        <v>1118</v>
      </c>
      <c r="B4277">
        <v>3</v>
      </c>
      <c r="C4277">
        <v>60</v>
      </c>
      <c r="D4277">
        <v>4</v>
      </c>
      <c r="E4277">
        <v>1</v>
      </c>
      <c r="F4277">
        <v>0</v>
      </c>
      <c r="G4277">
        <v>11</v>
      </c>
      <c r="H4277">
        <v>0</v>
      </c>
      <c r="I4277">
        <v>8000</v>
      </c>
      <c r="J4277">
        <v>6</v>
      </c>
      <c r="K4277">
        <v>0</v>
      </c>
      <c r="L4277" s="4">
        <v>0.96560549091628878</v>
      </c>
      <c r="M4277" s="4">
        <v>3.4394509083711187E-2</v>
      </c>
      <c r="N4277">
        <v>10</v>
      </c>
    </row>
    <row r="4278" spans="1:14" x14ac:dyDescent="0.35">
      <c r="A4278" s="1">
        <v>1059</v>
      </c>
      <c r="B4278">
        <v>4</v>
      </c>
      <c r="C4278">
        <v>62</v>
      </c>
      <c r="D4278">
        <v>5</v>
      </c>
      <c r="E4278">
        <v>1</v>
      </c>
      <c r="F4278">
        <v>2</v>
      </c>
      <c r="G4278">
        <v>1</v>
      </c>
      <c r="H4278">
        <v>2</v>
      </c>
      <c r="I4278">
        <v>2500</v>
      </c>
      <c r="J4278">
        <v>6</v>
      </c>
      <c r="K4278">
        <v>0</v>
      </c>
      <c r="L4278" s="4">
        <v>0.96566432531570179</v>
      </c>
      <c r="M4278" s="4">
        <v>3.4335674684298267E-2</v>
      </c>
      <c r="N4278">
        <v>10</v>
      </c>
    </row>
    <row r="4279" spans="1:14" x14ac:dyDescent="0.35">
      <c r="A4279" s="1">
        <v>2066</v>
      </c>
      <c r="B4279">
        <v>6</v>
      </c>
      <c r="C4279">
        <v>72</v>
      </c>
      <c r="D4279">
        <v>1</v>
      </c>
      <c r="E4279">
        <v>1</v>
      </c>
      <c r="F4279">
        <v>1</v>
      </c>
      <c r="G4279">
        <v>5</v>
      </c>
      <c r="H4279">
        <v>2</v>
      </c>
      <c r="I4279">
        <v>300</v>
      </c>
      <c r="J4279">
        <v>10</v>
      </c>
      <c r="K4279">
        <v>0</v>
      </c>
      <c r="L4279" s="4">
        <v>0.96569850808903746</v>
      </c>
      <c r="M4279" s="4">
        <v>3.4301491910962587E-2</v>
      </c>
      <c r="N4279">
        <v>10</v>
      </c>
    </row>
    <row r="4280" spans="1:14" x14ac:dyDescent="0.35">
      <c r="A4280" s="1">
        <v>1705</v>
      </c>
      <c r="B4280">
        <v>8</v>
      </c>
      <c r="C4280">
        <v>76</v>
      </c>
      <c r="D4280">
        <v>5</v>
      </c>
      <c r="E4280">
        <v>2</v>
      </c>
      <c r="F4280">
        <v>0</v>
      </c>
      <c r="G4280">
        <v>4</v>
      </c>
      <c r="H4280">
        <v>0</v>
      </c>
      <c r="I4280">
        <v>6000</v>
      </c>
      <c r="J4280">
        <v>25</v>
      </c>
      <c r="K4280">
        <v>0</v>
      </c>
      <c r="L4280" s="4">
        <v>0.96581591704028646</v>
      </c>
      <c r="M4280" s="4">
        <v>3.4184082959713542E-2</v>
      </c>
      <c r="N4280">
        <v>10</v>
      </c>
    </row>
    <row r="4281" spans="1:14" x14ac:dyDescent="0.35">
      <c r="A4281" s="1">
        <v>977</v>
      </c>
      <c r="B4281">
        <v>4</v>
      </c>
      <c r="C4281">
        <v>57</v>
      </c>
      <c r="D4281">
        <v>5</v>
      </c>
      <c r="E4281">
        <v>2</v>
      </c>
      <c r="F4281">
        <v>0</v>
      </c>
      <c r="G4281">
        <v>4</v>
      </c>
      <c r="H4281">
        <v>3</v>
      </c>
      <c r="I4281">
        <v>0.01</v>
      </c>
      <c r="J4281">
        <v>4</v>
      </c>
      <c r="K4281">
        <v>0</v>
      </c>
      <c r="L4281" s="4">
        <v>0.96582430048718682</v>
      </c>
      <c r="M4281" s="4">
        <v>3.4175699512813233E-2</v>
      </c>
      <c r="N4281">
        <v>10</v>
      </c>
    </row>
    <row r="4282" spans="1:14" x14ac:dyDescent="0.35">
      <c r="A4282" s="1">
        <v>2319</v>
      </c>
      <c r="B4282">
        <v>2</v>
      </c>
      <c r="C4282">
        <v>62</v>
      </c>
      <c r="D4282">
        <v>0</v>
      </c>
      <c r="E4282">
        <v>0</v>
      </c>
      <c r="F4282">
        <v>3</v>
      </c>
      <c r="G4282">
        <v>3</v>
      </c>
      <c r="H4282">
        <v>0</v>
      </c>
      <c r="I4282">
        <v>6000</v>
      </c>
      <c r="J4282">
        <v>6</v>
      </c>
      <c r="K4282">
        <v>0</v>
      </c>
      <c r="L4282" s="4">
        <v>0.96586885275154899</v>
      </c>
      <c r="M4282" s="4">
        <v>3.4131147248451031E-2</v>
      </c>
      <c r="N4282">
        <v>10</v>
      </c>
    </row>
    <row r="4283" spans="1:14" x14ac:dyDescent="0.35">
      <c r="A4283" s="1">
        <v>2816</v>
      </c>
      <c r="B4283">
        <v>7</v>
      </c>
      <c r="C4283">
        <v>68</v>
      </c>
      <c r="D4283">
        <v>5</v>
      </c>
      <c r="E4283">
        <v>2</v>
      </c>
      <c r="F4283">
        <v>3</v>
      </c>
      <c r="G4283">
        <v>3</v>
      </c>
      <c r="H4283">
        <v>3</v>
      </c>
      <c r="I4283">
        <v>0.01</v>
      </c>
      <c r="J4283">
        <v>10</v>
      </c>
      <c r="K4283">
        <v>0</v>
      </c>
      <c r="L4283" s="4">
        <v>0.9659177697983512</v>
      </c>
      <c r="M4283" s="4">
        <v>3.4082230201648793E-2</v>
      </c>
      <c r="N4283">
        <v>10</v>
      </c>
    </row>
    <row r="4284" spans="1:14" x14ac:dyDescent="0.35">
      <c r="A4284" s="1">
        <v>1410</v>
      </c>
      <c r="B4284">
        <v>5</v>
      </c>
      <c r="C4284">
        <v>72</v>
      </c>
      <c r="D4284">
        <v>3</v>
      </c>
      <c r="E4284">
        <v>0</v>
      </c>
      <c r="F4284">
        <v>2</v>
      </c>
      <c r="G4284">
        <v>1</v>
      </c>
      <c r="H4284">
        <v>2</v>
      </c>
      <c r="I4284">
        <v>500</v>
      </c>
      <c r="J4284">
        <v>8</v>
      </c>
      <c r="K4284">
        <v>0</v>
      </c>
      <c r="L4284" s="4">
        <v>0.96601379842420287</v>
      </c>
      <c r="M4284" s="4">
        <v>3.3986201575797147E-2</v>
      </c>
      <c r="N4284">
        <v>10</v>
      </c>
    </row>
    <row r="4285" spans="1:14" x14ac:dyDescent="0.35">
      <c r="A4285" s="1">
        <v>1491</v>
      </c>
      <c r="B4285">
        <v>6</v>
      </c>
      <c r="C4285">
        <v>75</v>
      </c>
      <c r="D4285">
        <v>5</v>
      </c>
      <c r="E4285">
        <v>0</v>
      </c>
      <c r="F4285">
        <v>3</v>
      </c>
      <c r="G4285">
        <v>3</v>
      </c>
      <c r="H4285">
        <v>2</v>
      </c>
      <c r="I4285">
        <v>180</v>
      </c>
      <c r="J4285">
        <v>30</v>
      </c>
      <c r="K4285">
        <v>0</v>
      </c>
      <c r="L4285" s="4">
        <v>0.96604849980030283</v>
      </c>
      <c r="M4285" s="4">
        <v>3.3951500199697199E-2</v>
      </c>
      <c r="N4285">
        <v>10</v>
      </c>
    </row>
    <row r="4286" spans="1:14" x14ac:dyDescent="0.35">
      <c r="A4286" s="1">
        <v>728</v>
      </c>
      <c r="B4286">
        <v>5</v>
      </c>
      <c r="C4286">
        <v>67</v>
      </c>
      <c r="D4286">
        <v>3</v>
      </c>
      <c r="E4286">
        <v>1</v>
      </c>
      <c r="F4286">
        <v>3</v>
      </c>
      <c r="G4286">
        <v>3</v>
      </c>
      <c r="H4286">
        <v>2</v>
      </c>
      <c r="I4286">
        <v>4000</v>
      </c>
      <c r="J4286">
        <v>26</v>
      </c>
      <c r="K4286">
        <v>0</v>
      </c>
      <c r="L4286" s="4">
        <v>0.96618542531483076</v>
      </c>
      <c r="M4286" s="4">
        <v>3.3814574685169248E-2</v>
      </c>
      <c r="N4286">
        <v>10</v>
      </c>
    </row>
    <row r="4287" spans="1:14" x14ac:dyDescent="0.35">
      <c r="A4287" s="1">
        <v>1702</v>
      </c>
      <c r="B4287">
        <v>7</v>
      </c>
      <c r="C4287">
        <v>77</v>
      </c>
      <c r="D4287">
        <v>2</v>
      </c>
      <c r="E4287">
        <v>1</v>
      </c>
      <c r="F4287">
        <v>3</v>
      </c>
      <c r="G4287">
        <v>3</v>
      </c>
      <c r="H4287">
        <v>0</v>
      </c>
      <c r="I4287">
        <v>17963.349999999999</v>
      </c>
      <c r="J4287">
        <v>8</v>
      </c>
      <c r="K4287">
        <v>0</v>
      </c>
      <c r="L4287" s="4">
        <v>0.96620539036188924</v>
      </c>
      <c r="M4287" s="4">
        <v>3.3794609638110741E-2</v>
      </c>
      <c r="N4287">
        <v>10</v>
      </c>
    </row>
    <row r="4288" spans="1:14" x14ac:dyDescent="0.35">
      <c r="A4288" s="1">
        <v>1605</v>
      </c>
      <c r="B4288">
        <v>5</v>
      </c>
      <c r="C4288">
        <v>68</v>
      </c>
      <c r="D4288">
        <v>3</v>
      </c>
      <c r="E4288">
        <v>1</v>
      </c>
      <c r="F4288">
        <v>3</v>
      </c>
      <c r="G4288">
        <v>3</v>
      </c>
      <c r="H4288">
        <v>0</v>
      </c>
      <c r="I4288">
        <v>6000</v>
      </c>
      <c r="J4288">
        <v>1</v>
      </c>
      <c r="K4288">
        <v>0</v>
      </c>
      <c r="L4288" s="4">
        <v>0.96621987295397882</v>
      </c>
      <c r="M4288" s="4">
        <v>3.3780127046021222E-2</v>
      </c>
      <c r="N4288">
        <v>10</v>
      </c>
    </row>
    <row r="4289" spans="1:14" x14ac:dyDescent="0.35">
      <c r="A4289" s="1">
        <v>4325</v>
      </c>
      <c r="B4289">
        <v>6</v>
      </c>
      <c r="C4289">
        <v>76</v>
      </c>
      <c r="D4289">
        <v>4</v>
      </c>
      <c r="E4289">
        <v>0</v>
      </c>
      <c r="F4289">
        <v>0</v>
      </c>
      <c r="G4289">
        <v>11</v>
      </c>
      <c r="H4289">
        <v>2</v>
      </c>
      <c r="I4289">
        <v>1750</v>
      </c>
      <c r="J4289">
        <v>18</v>
      </c>
      <c r="K4289">
        <v>0</v>
      </c>
      <c r="L4289" s="4">
        <v>0.96622528954101128</v>
      </c>
      <c r="M4289" s="4">
        <v>3.377471045898868E-2</v>
      </c>
      <c r="N4289">
        <v>10</v>
      </c>
    </row>
    <row r="4290" spans="1:14" x14ac:dyDescent="0.35">
      <c r="A4290" s="1">
        <v>1708</v>
      </c>
      <c r="B4290">
        <v>3</v>
      </c>
      <c r="C4290">
        <v>63</v>
      </c>
      <c r="D4290">
        <v>4</v>
      </c>
      <c r="E4290">
        <v>0</v>
      </c>
      <c r="F4290">
        <v>3</v>
      </c>
      <c r="G4290">
        <v>3</v>
      </c>
      <c r="H4290">
        <v>2</v>
      </c>
      <c r="I4290">
        <v>3000.01</v>
      </c>
      <c r="J4290">
        <v>8</v>
      </c>
      <c r="K4290">
        <v>0</v>
      </c>
      <c r="L4290" s="4">
        <v>0.96626073283063274</v>
      </c>
      <c r="M4290" s="4">
        <v>3.3739267169367301E-2</v>
      </c>
      <c r="N4290">
        <v>10</v>
      </c>
    </row>
    <row r="4291" spans="1:14" x14ac:dyDescent="0.35">
      <c r="A4291" s="1">
        <v>2230</v>
      </c>
      <c r="B4291">
        <v>5</v>
      </c>
      <c r="C4291">
        <v>73</v>
      </c>
      <c r="D4291">
        <v>3</v>
      </c>
      <c r="E4291">
        <v>0</v>
      </c>
      <c r="F4291">
        <v>3</v>
      </c>
      <c r="G4291">
        <v>3</v>
      </c>
      <c r="H4291">
        <v>0</v>
      </c>
      <c r="I4291">
        <v>6000</v>
      </c>
      <c r="J4291">
        <v>1</v>
      </c>
      <c r="K4291">
        <v>0</v>
      </c>
      <c r="L4291" s="4">
        <v>0.96639544802138222</v>
      </c>
      <c r="M4291" s="4">
        <v>3.3604551978617753E-2</v>
      </c>
      <c r="N4291">
        <v>10</v>
      </c>
    </row>
    <row r="4292" spans="1:14" x14ac:dyDescent="0.35">
      <c r="A4292" s="1">
        <v>1974</v>
      </c>
      <c r="B4292">
        <v>6</v>
      </c>
      <c r="C4292">
        <v>77</v>
      </c>
      <c r="D4292">
        <v>0</v>
      </c>
      <c r="E4292">
        <v>0</v>
      </c>
      <c r="F4292">
        <v>3</v>
      </c>
      <c r="G4292">
        <v>3</v>
      </c>
      <c r="H4292">
        <v>2</v>
      </c>
      <c r="I4292">
        <v>3000</v>
      </c>
      <c r="J4292">
        <v>8</v>
      </c>
      <c r="K4292">
        <v>0</v>
      </c>
      <c r="L4292" s="4">
        <v>0.96645812996923031</v>
      </c>
      <c r="M4292" s="4">
        <v>3.3541870030769742E-2</v>
      </c>
      <c r="N4292">
        <v>10</v>
      </c>
    </row>
    <row r="4293" spans="1:14" x14ac:dyDescent="0.35">
      <c r="A4293" s="1">
        <v>3574</v>
      </c>
      <c r="B4293">
        <v>3</v>
      </c>
      <c r="C4293">
        <v>54</v>
      </c>
      <c r="D4293">
        <v>4</v>
      </c>
      <c r="E4293">
        <v>2</v>
      </c>
      <c r="F4293">
        <v>0</v>
      </c>
      <c r="G4293">
        <v>2</v>
      </c>
      <c r="H4293">
        <v>3</v>
      </c>
      <c r="I4293">
        <v>0.01</v>
      </c>
      <c r="J4293">
        <v>9</v>
      </c>
      <c r="K4293">
        <v>0</v>
      </c>
      <c r="L4293" s="4">
        <v>0.96646176940000128</v>
      </c>
      <c r="M4293" s="4">
        <v>3.3538230599998761E-2</v>
      </c>
      <c r="N4293">
        <v>10</v>
      </c>
    </row>
    <row r="4294" spans="1:14" x14ac:dyDescent="0.35">
      <c r="A4294" s="1">
        <v>1027</v>
      </c>
      <c r="B4294">
        <v>6</v>
      </c>
      <c r="C4294">
        <v>75</v>
      </c>
      <c r="D4294">
        <v>4</v>
      </c>
      <c r="E4294">
        <v>0</v>
      </c>
      <c r="F4294">
        <v>3</v>
      </c>
      <c r="G4294">
        <v>8</v>
      </c>
      <c r="H4294">
        <v>2</v>
      </c>
      <c r="I4294">
        <v>1000</v>
      </c>
      <c r="J4294">
        <v>16</v>
      </c>
      <c r="K4294">
        <v>0</v>
      </c>
      <c r="L4294" s="4">
        <v>0.96662796515215577</v>
      </c>
      <c r="M4294" s="4">
        <v>3.3372034847844269E-2</v>
      </c>
      <c r="N4294">
        <v>10</v>
      </c>
    </row>
    <row r="4295" spans="1:14" x14ac:dyDescent="0.35">
      <c r="A4295" s="1">
        <v>1950</v>
      </c>
      <c r="B4295">
        <v>7</v>
      </c>
      <c r="C4295">
        <v>71</v>
      </c>
      <c r="D4295">
        <v>1</v>
      </c>
      <c r="E4295">
        <v>2</v>
      </c>
      <c r="F4295">
        <v>1</v>
      </c>
      <c r="G4295">
        <v>12</v>
      </c>
      <c r="H4295">
        <v>2</v>
      </c>
      <c r="I4295">
        <v>2500</v>
      </c>
      <c r="J4295">
        <v>8</v>
      </c>
      <c r="K4295">
        <v>0</v>
      </c>
      <c r="L4295" s="4">
        <v>0.96664745659768003</v>
      </c>
      <c r="M4295" s="4">
        <v>3.3352543402320002E-2</v>
      </c>
      <c r="N4295">
        <v>10</v>
      </c>
    </row>
    <row r="4296" spans="1:14" x14ac:dyDescent="0.35">
      <c r="A4296" s="1">
        <v>1888</v>
      </c>
      <c r="B4296">
        <v>7</v>
      </c>
      <c r="C4296">
        <v>73</v>
      </c>
      <c r="D4296">
        <v>0</v>
      </c>
      <c r="E4296">
        <v>2</v>
      </c>
      <c r="F4296">
        <v>3</v>
      </c>
      <c r="G4296">
        <v>3</v>
      </c>
      <c r="H4296">
        <v>0</v>
      </c>
      <c r="I4296">
        <v>11400</v>
      </c>
      <c r="J4296">
        <v>7</v>
      </c>
      <c r="K4296">
        <v>0</v>
      </c>
      <c r="L4296" s="4">
        <v>0.9666607153575455</v>
      </c>
      <c r="M4296" s="4">
        <v>3.3339284642454517E-2</v>
      </c>
      <c r="N4296">
        <v>10</v>
      </c>
    </row>
    <row r="4297" spans="1:14" x14ac:dyDescent="0.35">
      <c r="A4297" s="1">
        <v>4047</v>
      </c>
      <c r="B4297">
        <v>3</v>
      </c>
      <c r="C4297">
        <v>62</v>
      </c>
      <c r="D4297">
        <v>2</v>
      </c>
      <c r="E4297">
        <v>1</v>
      </c>
      <c r="F4297">
        <v>0</v>
      </c>
      <c r="G4297">
        <v>4</v>
      </c>
      <c r="H4297">
        <v>0</v>
      </c>
      <c r="I4297">
        <v>6053.35</v>
      </c>
      <c r="J4297">
        <v>5</v>
      </c>
      <c r="K4297">
        <v>0</v>
      </c>
      <c r="L4297" s="4">
        <v>0.96670853858681205</v>
      </c>
      <c r="M4297" s="4">
        <v>3.3291461413187999E-2</v>
      </c>
      <c r="N4297">
        <v>10</v>
      </c>
    </row>
    <row r="4298" spans="1:14" x14ac:dyDescent="0.35">
      <c r="A4298" s="1">
        <v>72</v>
      </c>
      <c r="B4298">
        <v>4</v>
      </c>
      <c r="C4298">
        <v>60</v>
      </c>
      <c r="D4298">
        <v>2</v>
      </c>
      <c r="E4298">
        <v>2</v>
      </c>
      <c r="F4298">
        <v>1</v>
      </c>
      <c r="G4298">
        <v>12</v>
      </c>
      <c r="H4298">
        <v>0</v>
      </c>
      <c r="I4298">
        <v>5035.37</v>
      </c>
      <c r="J4298">
        <v>9</v>
      </c>
      <c r="K4298">
        <v>0</v>
      </c>
      <c r="L4298" s="4">
        <v>0.96671665200250934</v>
      </c>
      <c r="M4298" s="4">
        <v>3.3283347997490671E-2</v>
      </c>
      <c r="N4298">
        <v>10</v>
      </c>
    </row>
    <row r="4299" spans="1:14" x14ac:dyDescent="0.35">
      <c r="A4299" s="1">
        <v>3337</v>
      </c>
      <c r="B4299">
        <v>6</v>
      </c>
      <c r="C4299">
        <v>74</v>
      </c>
      <c r="D4299">
        <v>1</v>
      </c>
      <c r="E4299">
        <v>1</v>
      </c>
      <c r="F4299">
        <v>1</v>
      </c>
      <c r="G4299">
        <v>7</v>
      </c>
      <c r="H4299">
        <v>0</v>
      </c>
      <c r="I4299">
        <v>8000</v>
      </c>
      <c r="J4299">
        <v>8</v>
      </c>
      <c r="K4299">
        <v>0</v>
      </c>
      <c r="L4299" s="4">
        <v>0.96678998377384007</v>
      </c>
      <c r="M4299" s="4">
        <v>3.321001622615994E-2</v>
      </c>
      <c r="N4299">
        <v>10</v>
      </c>
    </row>
    <row r="4300" spans="1:14" x14ac:dyDescent="0.35">
      <c r="A4300" s="1">
        <v>529</v>
      </c>
      <c r="B4300">
        <v>4</v>
      </c>
      <c r="C4300">
        <v>66</v>
      </c>
      <c r="D4300">
        <v>2</v>
      </c>
      <c r="E4300">
        <v>1</v>
      </c>
      <c r="F4300">
        <v>0</v>
      </c>
      <c r="G4300">
        <v>4</v>
      </c>
      <c r="H4300">
        <v>1</v>
      </c>
      <c r="I4300">
        <v>28000</v>
      </c>
      <c r="J4300">
        <v>4</v>
      </c>
      <c r="K4300">
        <v>0</v>
      </c>
      <c r="L4300" s="4">
        <v>0.96693031422559705</v>
      </c>
      <c r="M4300" s="4">
        <v>3.3069685774402897E-2</v>
      </c>
      <c r="N4300">
        <v>10</v>
      </c>
    </row>
    <row r="4301" spans="1:14" x14ac:dyDescent="0.35">
      <c r="A4301" s="1">
        <v>2653</v>
      </c>
      <c r="B4301">
        <v>5</v>
      </c>
      <c r="C4301">
        <v>72</v>
      </c>
      <c r="D4301">
        <v>5</v>
      </c>
      <c r="E4301">
        <v>0</v>
      </c>
      <c r="F4301">
        <v>0</v>
      </c>
      <c r="G4301">
        <v>11</v>
      </c>
      <c r="H4301">
        <v>2</v>
      </c>
      <c r="I4301">
        <v>3000</v>
      </c>
      <c r="J4301">
        <v>14</v>
      </c>
      <c r="K4301">
        <v>0</v>
      </c>
      <c r="L4301" s="4">
        <v>0.96726840217109811</v>
      </c>
      <c r="M4301" s="4">
        <v>3.2731597828901893E-2</v>
      </c>
      <c r="N4301">
        <v>10</v>
      </c>
    </row>
    <row r="4302" spans="1:14" x14ac:dyDescent="0.35">
      <c r="A4302" s="1">
        <v>401</v>
      </c>
      <c r="B4302">
        <v>6</v>
      </c>
      <c r="C4302">
        <v>76</v>
      </c>
      <c r="D4302">
        <v>5</v>
      </c>
      <c r="E4302">
        <v>0</v>
      </c>
      <c r="F4302">
        <v>1</v>
      </c>
      <c r="G4302">
        <v>5</v>
      </c>
      <c r="H4302">
        <v>2</v>
      </c>
      <c r="I4302">
        <v>2000</v>
      </c>
      <c r="J4302">
        <v>8</v>
      </c>
      <c r="K4302">
        <v>0</v>
      </c>
      <c r="L4302" s="4">
        <v>0.96732495861960244</v>
      </c>
      <c r="M4302" s="4">
        <v>3.2675041380397611E-2</v>
      </c>
      <c r="N4302">
        <v>10</v>
      </c>
    </row>
    <row r="4303" spans="1:14" x14ac:dyDescent="0.35">
      <c r="A4303" s="1">
        <v>691</v>
      </c>
      <c r="B4303">
        <v>8</v>
      </c>
      <c r="C4303">
        <v>74</v>
      </c>
      <c r="D4303">
        <v>4</v>
      </c>
      <c r="E4303">
        <v>2</v>
      </c>
      <c r="F4303">
        <v>3</v>
      </c>
      <c r="G4303">
        <v>8</v>
      </c>
      <c r="H4303">
        <v>2</v>
      </c>
      <c r="I4303">
        <v>1000</v>
      </c>
      <c r="J4303">
        <v>32</v>
      </c>
      <c r="K4303">
        <v>0</v>
      </c>
      <c r="L4303" s="4">
        <v>0.96735516006597744</v>
      </c>
      <c r="M4303" s="4">
        <v>3.2644839934022549E-2</v>
      </c>
      <c r="N4303">
        <v>10</v>
      </c>
    </row>
    <row r="4304" spans="1:14" x14ac:dyDescent="0.35">
      <c r="A4304" s="1">
        <v>2903</v>
      </c>
      <c r="B4304">
        <v>5</v>
      </c>
      <c r="C4304">
        <v>74</v>
      </c>
      <c r="D4304">
        <v>1</v>
      </c>
      <c r="E4304">
        <v>0</v>
      </c>
      <c r="F4304">
        <v>0</v>
      </c>
      <c r="G4304">
        <v>11</v>
      </c>
      <c r="H4304">
        <v>2</v>
      </c>
      <c r="I4304">
        <v>2000</v>
      </c>
      <c r="J4304">
        <v>21</v>
      </c>
      <c r="K4304">
        <v>0</v>
      </c>
      <c r="L4304" s="4">
        <v>0.96751298104462491</v>
      </c>
      <c r="M4304" s="4">
        <v>3.2487018955375042E-2</v>
      </c>
      <c r="N4304">
        <v>10</v>
      </c>
    </row>
    <row r="4305" spans="1:14" x14ac:dyDescent="0.35">
      <c r="A4305" s="1">
        <v>2473</v>
      </c>
      <c r="B4305">
        <v>4</v>
      </c>
      <c r="C4305">
        <v>66</v>
      </c>
      <c r="D4305">
        <v>2</v>
      </c>
      <c r="E4305">
        <v>1</v>
      </c>
      <c r="F4305">
        <v>0</v>
      </c>
      <c r="G4305">
        <v>10</v>
      </c>
      <c r="H4305">
        <v>0</v>
      </c>
      <c r="I4305">
        <v>9000</v>
      </c>
      <c r="J4305">
        <v>3</v>
      </c>
      <c r="K4305">
        <v>0</v>
      </c>
      <c r="L4305" s="4">
        <v>0.96758974917597673</v>
      </c>
      <c r="M4305" s="4">
        <v>3.2410250824023303E-2</v>
      </c>
      <c r="N4305">
        <v>10</v>
      </c>
    </row>
    <row r="4306" spans="1:14" x14ac:dyDescent="0.35">
      <c r="A4306" s="1">
        <v>1121</v>
      </c>
      <c r="B4306">
        <v>5</v>
      </c>
      <c r="C4306">
        <v>73</v>
      </c>
      <c r="D4306">
        <v>5</v>
      </c>
      <c r="E4306">
        <v>0</v>
      </c>
      <c r="F4306">
        <v>3</v>
      </c>
      <c r="G4306">
        <v>3</v>
      </c>
      <c r="H4306">
        <v>0</v>
      </c>
      <c r="I4306">
        <v>6000</v>
      </c>
      <c r="J4306">
        <v>12</v>
      </c>
      <c r="K4306">
        <v>0</v>
      </c>
      <c r="L4306" s="4">
        <v>0.96762258043641924</v>
      </c>
      <c r="M4306" s="4">
        <v>3.2377419563580798E-2</v>
      </c>
      <c r="N4306">
        <v>10</v>
      </c>
    </row>
    <row r="4307" spans="1:14" x14ac:dyDescent="0.35">
      <c r="A4307" s="1">
        <v>2232</v>
      </c>
      <c r="B4307">
        <v>8</v>
      </c>
      <c r="C4307">
        <v>75</v>
      </c>
      <c r="D4307">
        <v>1</v>
      </c>
      <c r="E4307">
        <v>2</v>
      </c>
      <c r="F4307">
        <v>3</v>
      </c>
      <c r="G4307">
        <v>8</v>
      </c>
      <c r="H4307">
        <v>2</v>
      </c>
      <c r="I4307">
        <v>2000</v>
      </c>
      <c r="J4307">
        <v>7</v>
      </c>
      <c r="K4307">
        <v>0</v>
      </c>
      <c r="L4307" s="4">
        <v>0.96772516678474418</v>
      </c>
      <c r="M4307" s="4">
        <v>3.2274833215255802E-2</v>
      </c>
      <c r="N4307">
        <v>10</v>
      </c>
    </row>
    <row r="4308" spans="1:14" x14ac:dyDescent="0.35">
      <c r="A4308" s="1">
        <v>1067</v>
      </c>
      <c r="B4308">
        <v>5</v>
      </c>
      <c r="C4308">
        <v>73</v>
      </c>
      <c r="D4308">
        <v>5</v>
      </c>
      <c r="E4308">
        <v>0</v>
      </c>
      <c r="F4308">
        <v>1</v>
      </c>
      <c r="G4308">
        <v>12</v>
      </c>
      <c r="H4308">
        <v>0</v>
      </c>
      <c r="I4308">
        <v>6000</v>
      </c>
      <c r="J4308">
        <v>1</v>
      </c>
      <c r="K4308">
        <v>0</v>
      </c>
      <c r="L4308" s="4">
        <v>0.96783155945946886</v>
      </c>
      <c r="M4308" s="4">
        <v>3.216844054053114E-2</v>
      </c>
      <c r="N4308">
        <v>10</v>
      </c>
    </row>
    <row r="4309" spans="1:14" x14ac:dyDescent="0.35">
      <c r="A4309" s="1">
        <v>371</v>
      </c>
      <c r="B4309">
        <v>4</v>
      </c>
      <c r="C4309">
        <v>70</v>
      </c>
      <c r="D4309">
        <v>1</v>
      </c>
      <c r="E4309">
        <v>0</v>
      </c>
      <c r="F4309">
        <v>1</v>
      </c>
      <c r="G4309">
        <v>5</v>
      </c>
      <c r="H4309">
        <v>2</v>
      </c>
      <c r="I4309">
        <v>500</v>
      </c>
      <c r="J4309">
        <v>9</v>
      </c>
      <c r="K4309">
        <v>0</v>
      </c>
      <c r="L4309" s="4">
        <v>0.96802289491894755</v>
      </c>
      <c r="M4309" s="4">
        <v>3.1977105081052469E-2</v>
      </c>
      <c r="N4309">
        <v>10</v>
      </c>
    </row>
    <row r="4310" spans="1:14" x14ac:dyDescent="0.35">
      <c r="A4310" s="1">
        <v>1070</v>
      </c>
      <c r="B4310">
        <v>5</v>
      </c>
      <c r="C4310">
        <v>74</v>
      </c>
      <c r="D4310">
        <v>2</v>
      </c>
      <c r="E4310">
        <v>0</v>
      </c>
      <c r="F4310">
        <v>3</v>
      </c>
      <c r="G4310">
        <v>8</v>
      </c>
      <c r="H4310">
        <v>0</v>
      </c>
      <c r="I4310">
        <v>6000.01</v>
      </c>
      <c r="J4310">
        <v>6</v>
      </c>
      <c r="K4310">
        <v>0</v>
      </c>
      <c r="L4310" s="4">
        <v>0.96813319067480241</v>
      </c>
      <c r="M4310" s="4">
        <v>3.1866809325197552E-2</v>
      </c>
      <c r="N4310">
        <v>10</v>
      </c>
    </row>
    <row r="4311" spans="1:14" x14ac:dyDescent="0.35">
      <c r="A4311" s="1">
        <v>1978</v>
      </c>
      <c r="B4311">
        <v>4</v>
      </c>
      <c r="C4311">
        <v>65</v>
      </c>
      <c r="D4311">
        <v>2</v>
      </c>
      <c r="E4311">
        <v>1</v>
      </c>
      <c r="F4311">
        <v>3</v>
      </c>
      <c r="G4311">
        <v>8</v>
      </c>
      <c r="H4311">
        <v>0</v>
      </c>
      <c r="I4311">
        <v>6000</v>
      </c>
      <c r="J4311">
        <v>1</v>
      </c>
      <c r="K4311">
        <v>0</v>
      </c>
      <c r="L4311" s="4">
        <v>0.96825803160635282</v>
      </c>
      <c r="M4311" s="4">
        <v>3.174196839364718E-2</v>
      </c>
      <c r="N4311">
        <v>10</v>
      </c>
    </row>
    <row r="4312" spans="1:14" x14ac:dyDescent="0.35">
      <c r="A4312" s="1">
        <v>3529</v>
      </c>
      <c r="B4312">
        <v>4</v>
      </c>
      <c r="C4312">
        <v>70</v>
      </c>
      <c r="D4312">
        <v>3</v>
      </c>
      <c r="E4312">
        <v>0</v>
      </c>
      <c r="F4312">
        <v>0</v>
      </c>
      <c r="G4312">
        <v>2</v>
      </c>
      <c r="H4312">
        <v>2</v>
      </c>
      <c r="I4312">
        <v>3000</v>
      </c>
      <c r="J4312">
        <v>4</v>
      </c>
      <c r="K4312">
        <v>0</v>
      </c>
      <c r="L4312" s="4">
        <v>0.96833434068758328</v>
      </c>
      <c r="M4312" s="4">
        <v>3.1665659312416723E-2</v>
      </c>
      <c r="N4312">
        <v>10</v>
      </c>
    </row>
    <row r="4313" spans="1:14" x14ac:dyDescent="0.35">
      <c r="A4313" s="1">
        <v>3472</v>
      </c>
      <c r="B4313">
        <v>7</v>
      </c>
      <c r="C4313">
        <v>79</v>
      </c>
      <c r="D4313">
        <v>2</v>
      </c>
      <c r="E4313">
        <v>1</v>
      </c>
      <c r="F4313">
        <v>2</v>
      </c>
      <c r="G4313">
        <v>0</v>
      </c>
      <c r="H4313">
        <v>0</v>
      </c>
      <c r="I4313">
        <v>18500</v>
      </c>
      <c r="J4313">
        <v>12</v>
      </c>
      <c r="K4313">
        <v>0</v>
      </c>
      <c r="L4313" s="4">
        <v>0.96840110881009767</v>
      </c>
      <c r="M4313" s="4">
        <v>3.1598891189902292E-2</v>
      </c>
      <c r="N4313">
        <v>10</v>
      </c>
    </row>
    <row r="4314" spans="1:14" x14ac:dyDescent="0.35">
      <c r="A4314" s="1">
        <v>2614</v>
      </c>
      <c r="B4314">
        <v>6</v>
      </c>
      <c r="C4314">
        <v>69</v>
      </c>
      <c r="D4314">
        <v>1</v>
      </c>
      <c r="E4314">
        <v>2</v>
      </c>
      <c r="F4314">
        <v>3</v>
      </c>
      <c r="G4314">
        <v>8</v>
      </c>
      <c r="H4314">
        <v>0</v>
      </c>
      <c r="I4314">
        <v>12000</v>
      </c>
      <c r="J4314">
        <v>6</v>
      </c>
      <c r="K4314">
        <v>0</v>
      </c>
      <c r="L4314" s="4">
        <v>0.96845237330000888</v>
      </c>
      <c r="M4314" s="4">
        <v>3.1547626699991067E-2</v>
      </c>
      <c r="N4314">
        <v>10</v>
      </c>
    </row>
    <row r="4315" spans="1:14" x14ac:dyDescent="0.35">
      <c r="A4315" s="1">
        <v>1916</v>
      </c>
      <c r="B4315">
        <v>6</v>
      </c>
      <c r="C4315">
        <v>78</v>
      </c>
      <c r="D4315">
        <v>5</v>
      </c>
      <c r="E4315">
        <v>0</v>
      </c>
      <c r="F4315">
        <v>0</v>
      </c>
      <c r="G4315">
        <v>11</v>
      </c>
      <c r="H4315">
        <v>1</v>
      </c>
      <c r="I4315">
        <v>24053.35</v>
      </c>
      <c r="J4315">
        <v>12</v>
      </c>
      <c r="K4315">
        <v>0</v>
      </c>
      <c r="L4315" s="4">
        <v>0.96857119855875162</v>
      </c>
      <c r="M4315" s="4">
        <v>3.1428801441248412E-2</v>
      </c>
      <c r="N4315">
        <v>10</v>
      </c>
    </row>
    <row r="4316" spans="1:14" x14ac:dyDescent="0.35">
      <c r="A4316" s="1">
        <v>4320</v>
      </c>
      <c r="B4316">
        <v>2</v>
      </c>
      <c r="C4316">
        <v>61</v>
      </c>
      <c r="D4316">
        <v>2</v>
      </c>
      <c r="E4316">
        <v>0</v>
      </c>
      <c r="F4316">
        <v>0</v>
      </c>
      <c r="G4316">
        <v>10</v>
      </c>
      <c r="H4316">
        <v>3</v>
      </c>
      <c r="I4316">
        <v>0.01</v>
      </c>
      <c r="J4316">
        <v>3</v>
      </c>
      <c r="K4316">
        <v>0</v>
      </c>
      <c r="L4316" s="4">
        <v>0.96874910987216689</v>
      </c>
      <c r="M4316" s="4">
        <v>3.1250890127833143E-2</v>
      </c>
      <c r="N4316">
        <v>10</v>
      </c>
    </row>
    <row r="4317" spans="1:14" x14ac:dyDescent="0.35">
      <c r="A4317" s="1">
        <v>1026</v>
      </c>
      <c r="B4317">
        <v>5</v>
      </c>
      <c r="C4317">
        <v>67</v>
      </c>
      <c r="D4317">
        <v>5</v>
      </c>
      <c r="E4317">
        <v>1</v>
      </c>
      <c r="F4317">
        <v>1</v>
      </c>
      <c r="G4317">
        <v>12</v>
      </c>
      <c r="H4317">
        <v>2</v>
      </c>
      <c r="I4317">
        <v>100</v>
      </c>
      <c r="J4317">
        <v>1</v>
      </c>
      <c r="K4317">
        <v>0</v>
      </c>
      <c r="L4317" s="4">
        <v>0.96881192898495549</v>
      </c>
      <c r="M4317" s="4">
        <v>3.1188071015044529E-2</v>
      </c>
      <c r="N4317">
        <v>10</v>
      </c>
    </row>
    <row r="4318" spans="1:14" x14ac:dyDescent="0.35">
      <c r="A4318" s="1">
        <v>2981</v>
      </c>
      <c r="B4318">
        <v>5</v>
      </c>
      <c r="C4318">
        <v>72</v>
      </c>
      <c r="D4318">
        <v>1</v>
      </c>
      <c r="E4318">
        <v>1</v>
      </c>
      <c r="F4318">
        <v>0</v>
      </c>
      <c r="G4318">
        <v>2</v>
      </c>
      <c r="H4318">
        <v>0</v>
      </c>
      <c r="I4318">
        <v>9000</v>
      </c>
      <c r="J4318">
        <v>8</v>
      </c>
      <c r="K4318">
        <v>0</v>
      </c>
      <c r="L4318" s="4">
        <v>0.96884154652070964</v>
      </c>
      <c r="M4318" s="4">
        <v>3.1158453479290301E-2</v>
      </c>
      <c r="N4318">
        <v>10</v>
      </c>
    </row>
    <row r="4319" spans="1:14" x14ac:dyDescent="0.35">
      <c r="A4319" s="1">
        <v>2308</v>
      </c>
      <c r="B4319">
        <v>5</v>
      </c>
      <c r="C4319">
        <v>73</v>
      </c>
      <c r="D4319">
        <v>1</v>
      </c>
      <c r="E4319">
        <v>0</v>
      </c>
      <c r="F4319">
        <v>3</v>
      </c>
      <c r="G4319">
        <v>3</v>
      </c>
      <c r="H4319">
        <v>3</v>
      </c>
      <c r="I4319">
        <v>0.01</v>
      </c>
      <c r="J4319">
        <v>8</v>
      </c>
      <c r="K4319">
        <v>0</v>
      </c>
      <c r="L4319" s="4">
        <v>0.96890178272624605</v>
      </c>
      <c r="M4319" s="4">
        <v>3.1098217273754E-2</v>
      </c>
      <c r="N4319">
        <v>10</v>
      </c>
    </row>
    <row r="4320" spans="1:14" x14ac:dyDescent="0.35">
      <c r="A4320" s="1">
        <v>3133</v>
      </c>
      <c r="B4320">
        <v>5</v>
      </c>
      <c r="C4320">
        <v>76</v>
      </c>
      <c r="D4320">
        <v>1</v>
      </c>
      <c r="E4320">
        <v>0</v>
      </c>
      <c r="F4320">
        <v>1</v>
      </c>
      <c r="G4320">
        <v>5</v>
      </c>
      <c r="H4320">
        <v>0</v>
      </c>
      <c r="I4320">
        <v>6000</v>
      </c>
      <c r="J4320">
        <v>2</v>
      </c>
      <c r="K4320">
        <v>0</v>
      </c>
      <c r="L4320" s="4">
        <v>0.96892163681092502</v>
      </c>
      <c r="M4320" s="4">
        <v>3.1078363189074941E-2</v>
      </c>
      <c r="N4320">
        <v>10</v>
      </c>
    </row>
    <row r="4321" spans="1:14" x14ac:dyDescent="0.35">
      <c r="A4321" s="1">
        <v>4297</v>
      </c>
      <c r="B4321">
        <v>6</v>
      </c>
      <c r="C4321">
        <v>78</v>
      </c>
      <c r="D4321">
        <v>4</v>
      </c>
      <c r="E4321">
        <v>0</v>
      </c>
      <c r="F4321">
        <v>3</v>
      </c>
      <c r="G4321">
        <v>3</v>
      </c>
      <c r="H4321">
        <v>0</v>
      </c>
      <c r="I4321">
        <v>6000</v>
      </c>
      <c r="J4321">
        <v>2</v>
      </c>
      <c r="K4321">
        <v>0</v>
      </c>
      <c r="L4321" s="4">
        <v>0.96896403660223296</v>
      </c>
      <c r="M4321" s="4">
        <v>3.1035963397767069E-2</v>
      </c>
      <c r="N4321">
        <v>10</v>
      </c>
    </row>
    <row r="4322" spans="1:14" x14ac:dyDescent="0.35">
      <c r="A4322" s="1">
        <v>1119</v>
      </c>
      <c r="B4322">
        <v>3</v>
      </c>
      <c r="C4322">
        <v>64</v>
      </c>
      <c r="D4322">
        <v>2</v>
      </c>
      <c r="E4322">
        <v>0</v>
      </c>
      <c r="F4322">
        <v>3</v>
      </c>
      <c r="G4322">
        <v>8</v>
      </c>
      <c r="H4322">
        <v>3</v>
      </c>
      <c r="I4322">
        <v>0.01</v>
      </c>
      <c r="J4322">
        <v>6</v>
      </c>
      <c r="K4322">
        <v>0</v>
      </c>
      <c r="L4322" s="4">
        <v>0.96896769426629425</v>
      </c>
      <c r="M4322" s="4">
        <v>3.10323057337057E-2</v>
      </c>
      <c r="N4322">
        <v>10</v>
      </c>
    </row>
    <row r="4323" spans="1:14" x14ac:dyDescent="0.35">
      <c r="A4323" s="1">
        <v>360</v>
      </c>
      <c r="B4323">
        <v>5</v>
      </c>
      <c r="C4323">
        <v>64</v>
      </c>
      <c r="D4323">
        <v>4</v>
      </c>
      <c r="E4323">
        <v>2</v>
      </c>
      <c r="F4323">
        <v>3</v>
      </c>
      <c r="G4323">
        <v>8</v>
      </c>
      <c r="H4323">
        <v>0</v>
      </c>
      <c r="I4323">
        <v>15000</v>
      </c>
      <c r="J4323">
        <v>4</v>
      </c>
      <c r="K4323">
        <v>0</v>
      </c>
      <c r="L4323" s="4">
        <v>0.96904249141403087</v>
      </c>
      <c r="M4323" s="4">
        <v>3.0957508585969171E-2</v>
      </c>
      <c r="N4323">
        <v>10</v>
      </c>
    </row>
    <row r="4324" spans="1:14" x14ac:dyDescent="0.35">
      <c r="A4324" s="1">
        <v>978</v>
      </c>
      <c r="B4324">
        <v>5</v>
      </c>
      <c r="C4324">
        <v>76</v>
      </c>
      <c r="D4324">
        <v>2</v>
      </c>
      <c r="E4324">
        <v>0</v>
      </c>
      <c r="F4324">
        <v>0</v>
      </c>
      <c r="G4324">
        <v>11</v>
      </c>
      <c r="H4324">
        <v>0</v>
      </c>
      <c r="I4324">
        <v>17000</v>
      </c>
      <c r="J4324">
        <v>9</v>
      </c>
      <c r="K4324">
        <v>0</v>
      </c>
      <c r="L4324" s="4">
        <v>0.96904472295335231</v>
      </c>
      <c r="M4324" s="4">
        <v>3.0955277046647699E-2</v>
      </c>
      <c r="N4324">
        <v>10</v>
      </c>
    </row>
    <row r="4325" spans="1:14" x14ac:dyDescent="0.35">
      <c r="A4325" s="1">
        <v>2367</v>
      </c>
      <c r="B4325">
        <v>6</v>
      </c>
      <c r="C4325">
        <v>74</v>
      </c>
      <c r="D4325">
        <v>3</v>
      </c>
      <c r="E4325">
        <v>1</v>
      </c>
      <c r="F4325">
        <v>1</v>
      </c>
      <c r="G4325">
        <v>12</v>
      </c>
      <c r="H4325">
        <v>0</v>
      </c>
      <c r="I4325">
        <v>6000</v>
      </c>
      <c r="J4325">
        <v>16</v>
      </c>
      <c r="K4325">
        <v>0</v>
      </c>
      <c r="L4325" s="4">
        <v>0.96905542110777332</v>
      </c>
      <c r="M4325" s="4">
        <v>3.0944578892226689E-2</v>
      </c>
      <c r="N4325">
        <v>10</v>
      </c>
    </row>
    <row r="4326" spans="1:14" x14ac:dyDescent="0.35">
      <c r="A4326" s="1">
        <v>944</v>
      </c>
      <c r="B4326">
        <v>5</v>
      </c>
      <c r="C4326">
        <v>69</v>
      </c>
      <c r="D4326">
        <v>1</v>
      </c>
      <c r="E4326">
        <v>1</v>
      </c>
      <c r="F4326">
        <v>3</v>
      </c>
      <c r="G4326">
        <v>3</v>
      </c>
      <c r="H4326">
        <v>2</v>
      </c>
      <c r="I4326">
        <v>3000</v>
      </c>
      <c r="J4326">
        <v>5</v>
      </c>
      <c r="K4326">
        <v>0</v>
      </c>
      <c r="L4326" s="4">
        <v>0.96919544203812724</v>
      </c>
      <c r="M4326" s="4">
        <v>3.0804557961872741E-2</v>
      </c>
      <c r="N4326">
        <v>10</v>
      </c>
    </row>
    <row r="4327" spans="1:14" x14ac:dyDescent="0.35">
      <c r="A4327" s="1">
        <v>195</v>
      </c>
      <c r="B4327">
        <v>5</v>
      </c>
      <c r="C4327">
        <v>75</v>
      </c>
      <c r="D4327">
        <v>2</v>
      </c>
      <c r="E4327">
        <v>0</v>
      </c>
      <c r="F4327">
        <v>0</v>
      </c>
      <c r="G4327">
        <v>4</v>
      </c>
      <c r="H4327">
        <v>2</v>
      </c>
      <c r="I4327">
        <v>1000</v>
      </c>
      <c r="J4327">
        <v>16</v>
      </c>
      <c r="K4327">
        <v>0</v>
      </c>
      <c r="L4327" s="4">
        <v>0.96923038579002108</v>
      </c>
      <c r="M4327" s="4">
        <v>3.0769614209978889E-2</v>
      </c>
      <c r="N4327">
        <v>10</v>
      </c>
    </row>
    <row r="4328" spans="1:14" x14ac:dyDescent="0.35">
      <c r="A4328" s="1">
        <v>3954</v>
      </c>
      <c r="B4328">
        <v>4</v>
      </c>
      <c r="C4328">
        <v>71</v>
      </c>
      <c r="D4328">
        <v>5</v>
      </c>
      <c r="E4328">
        <v>0</v>
      </c>
      <c r="F4328">
        <v>1</v>
      </c>
      <c r="G4328">
        <v>5</v>
      </c>
      <c r="H4328">
        <v>1</v>
      </c>
      <c r="I4328">
        <v>40919.71</v>
      </c>
      <c r="J4328">
        <v>16</v>
      </c>
      <c r="K4328">
        <v>0</v>
      </c>
      <c r="L4328" s="4">
        <v>0.96945361562539756</v>
      </c>
      <c r="M4328" s="4">
        <v>3.0546384374602421E-2</v>
      </c>
      <c r="N4328">
        <v>10</v>
      </c>
    </row>
    <row r="4329" spans="1:14" x14ac:dyDescent="0.35">
      <c r="A4329" s="1">
        <v>373</v>
      </c>
      <c r="B4329">
        <v>5</v>
      </c>
      <c r="C4329">
        <v>64</v>
      </c>
      <c r="D4329">
        <v>4</v>
      </c>
      <c r="E4329">
        <v>2</v>
      </c>
      <c r="F4329">
        <v>3</v>
      </c>
      <c r="G4329">
        <v>8</v>
      </c>
      <c r="H4329">
        <v>0</v>
      </c>
      <c r="I4329">
        <v>6000</v>
      </c>
      <c r="J4329">
        <v>2</v>
      </c>
      <c r="K4329">
        <v>0</v>
      </c>
      <c r="L4329" s="4">
        <v>0.96955053550657044</v>
      </c>
      <c r="M4329" s="4">
        <v>3.044946449342955E-2</v>
      </c>
      <c r="N4329">
        <v>10</v>
      </c>
    </row>
    <row r="4330" spans="1:14" x14ac:dyDescent="0.35">
      <c r="A4330" s="1">
        <v>1525</v>
      </c>
      <c r="B4330">
        <v>5</v>
      </c>
      <c r="C4330">
        <v>65</v>
      </c>
      <c r="D4330">
        <v>3</v>
      </c>
      <c r="E4330">
        <v>2</v>
      </c>
      <c r="F4330">
        <v>0</v>
      </c>
      <c r="G4330">
        <v>4</v>
      </c>
      <c r="H4330">
        <v>2</v>
      </c>
      <c r="I4330">
        <v>1000</v>
      </c>
      <c r="J4330">
        <v>14</v>
      </c>
      <c r="K4330">
        <v>0</v>
      </c>
      <c r="L4330" s="4">
        <v>0.96976523538738235</v>
      </c>
      <c r="M4330" s="4">
        <v>3.0234764612617621E-2</v>
      </c>
      <c r="N4330">
        <v>10</v>
      </c>
    </row>
    <row r="4331" spans="1:14" x14ac:dyDescent="0.35">
      <c r="A4331" s="1">
        <v>3813</v>
      </c>
      <c r="B4331">
        <v>3</v>
      </c>
      <c r="C4331">
        <v>67</v>
      </c>
      <c r="D4331">
        <v>3</v>
      </c>
      <c r="E4331">
        <v>0</v>
      </c>
      <c r="F4331">
        <v>1</v>
      </c>
      <c r="G4331">
        <v>12</v>
      </c>
      <c r="H4331">
        <v>0</v>
      </c>
      <c r="I4331">
        <v>6000</v>
      </c>
      <c r="J4331">
        <v>8</v>
      </c>
      <c r="K4331">
        <v>0</v>
      </c>
      <c r="L4331" s="4">
        <v>0.96978870955628926</v>
      </c>
      <c r="M4331" s="4">
        <v>3.0211290443710691E-2</v>
      </c>
      <c r="N4331">
        <v>10</v>
      </c>
    </row>
    <row r="4332" spans="1:14" x14ac:dyDescent="0.35">
      <c r="A4332" s="1">
        <v>804</v>
      </c>
      <c r="B4332">
        <v>5</v>
      </c>
      <c r="C4332">
        <v>75</v>
      </c>
      <c r="D4332">
        <v>0</v>
      </c>
      <c r="E4332">
        <v>0</v>
      </c>
      <c r="F4332">
        <v>3</v>
      </c>
      <c r="G4332">
        <v>3</v>
      </c>
      <c r="H4332">
        <v>2</v>
      </c>
      <c r="I4332">
        <v>4800</v>
      </c>
      <c r="J4332">
        <v>16</v>
      </c>
      <c r="K4332">
        <v>0</v>
      </c>
      <c r="L4332" s="4">
        <v>0.9698521985269184</v>
      </c>
      <c r="M4332" s="4">
        <v>3.0147801473081579E-2</v>
      </c>
      <c r="N4332">
        <v>10</v>
      </c>
    </row>
    <row r="4333" spans="1:14" x14ac:dyDescent="0.35">
      <c r="A4333" s="1">
        <v>2954</v>
      </c>
      <c r="B4333">
        <v>6</v>
      </c>
      <c r="C4333">
        <v>73</v>
      </c>
      <c r="D4333">
        <v>4</v>
      </c>
      <c r="E4333">
        <v>1</v>
      </c>
      <c r="F4333">
        <v>3</v>
      </c>
      <c r="G4333">
        <v>8</v>
      </c>
      <c r="H4333">
        <v>1</v>
      </c>
      <c r="I4333">
        <v>21000</v>
      </c>
      <c r="J4333">
        <v>6</v>
      </c>
      <c r="K4333">
        <v>0</v>
      </c>
      <c r="L4333" s="4">
        <v>0.97005056602424555</v>
      </c>
      <c r="M4333" s="4">
        <v>2.9949433975754471E-2</v>
      </c>
      <c r="N4333">
        <v>10</v>
      </c>
    </row>
    <row r="4334" spans="1:14" x14ac:dyDescent="0.35">
      <c r="A4334" s="1">
        <v>3342</v>
      </c>
      <c r="B4334">
        <v>7</v>
      </c>
      <c r="C4334">
        <v>73</v>
      </c>
      <c r="D4334">
        <v>0</v>
      </c>
      <c r="E4334">
        <v>2</v>
      </c>
      <c r="F4334">
        <v>3</v>
      </c>
      <c r="G4334">
        <v>3</v>
      </c>
      <c r="H4334">
        <v>2</v>
      </c>
      <c r="I4334">
        <v>2000</v>
      </c>
      <c r="J4334">
        <v>1</v>
      </c>
      <c r="K4334">
        <v>0</v>
      </c>
      <c r="L4334" s="4">
        <v>0.97005498592334927</v>
      </c>
      <c r="M4334" s="4">
        <v>2.994501407665074E-2</v>
      </c>
      <c r="N4334">
        <v>10</v>
      </c>
    </row>
    <row r="4335" spans="1:14" x14ac:dyDescent="0.35">
      <c r="A4335" s="1">
        <v>3179</v>
      </c>
      <c r="B4335">
        <v>7</v>
      </c>
      <c r="C4335">
        <v>71</v>
      </c>
      <c r="D4335">
        <v>3</v>
      </c>
      <c r="E4335">
        <v>2</v>
      </c>
      <c r="F4335">
        <v>4</v>
      </c>
      <c r="G4335">
        <v>9</v>
      </c>
      <c r="H4335">
        <v>2</v>
      </c>
      <c r="I4335">
        <v>3000</v>
      </c>
      <c r="J4335">
        <v>14</v>
      </c>
      <c r="K4335">
        <v>0</v>
      </c>
      <c r="L4335" s="4">
        <v>0.97010156209516885</v>
      </c>
      <c r="M4335" s="4">
        <v>2.989843790483113E-2</v>
      </c>
      <c r="N4335">
        <v>10</v>
      </c>
    </row>
    <row r="4336" spans="1:14" x14ac:dyDescent="0.35">
      <c r="A4336" s="1">
        <v>950</v>
      </c>
      <c r="B4336">
        <v>7</v>
      </c>
      <c r="C4336">
        <v>79</v>
      </c>
      <c r="D4336">
        <v>1</v>
      </c>
      <c r="E4336">
        <v>1</v>
      </c>
      <c r="F4336">
        <v>0</v>
      </c>
      <c r="G4336">
        <v>2</v>
      </c>
      <c r="H4336">
        <v>2</v>
      </c>
      <c r="I4336">
        <v>480</v>
      </c>
      <c r="J4336">
        <v>2</v>
      </c>
      <c r="K4336">
        <v>0</v>
      </c>
      <c r="L4336" s="4">
        <v>0.97012083691280671</v>
      </c>
      <c r="M4336" s="4">
        <v>2.9879163087193291E-2</v>
      </c>
      <c r="N4336">
        <v>10</v>
      </c>
    </row>
    <row r="4337" spans="1:14" x14ac:dyDescent="0.35">
      <c r="A4337" s="1">
        <v>1623</v>
      </c>
      <c r="B4337">
        <v>6</v>
      </c>
      <c r="C4337">
        <v>78</v>
      </c>
      <c r="D4337">
        <v>1</v>
      </c>
      <c r="E4337">
        <v>0</v>
      </c>
      <c r="F4337">
        <v>3</v>
      </c>
      <c r="G4337">
        <v>8</v>
      </c>
      <c r="H4337">
        <v>2</v>
      </c>
      <c r="I4337">
        <v>1000</v>
      </c>
      <c r="J4337">
        <v>4</v>
      </c>
      <c r="K4337">
        <v>0</v>
      </c>
      <c r="L4337" s="4">
        <v>0.97020392280662593</v>
      </c>
      <c r="M4337" s="4">
        <v>2.9796077193374019E-2</v>
      </c>
      <c r="N4337">
        <v>10</v>
      </c>
    </row>
    <row r="4338" spans="1:14" x14ac:dyDescent="0.35">
      <c r="A4338" s="1">
        <v>3722</v>
      </c>
      <c r="B4338">
        <v>5</v>
      </c>
      <c r="C4338">
        <v>74</v>
      </c>
      <c r="D4338">
        <v>1</v>
      </c>
      <c r="E4338">
        <v>0</v>
      </c>
      <c r="F4338">
        <v>3</v>
      </c>
      <c r="G4338">
        <v>8</v>
      </c>
      <c r="H4338">
        <v>2</v>
      </c>
      <c r="I4338">
        <v>3000</v>
      </c>
      <c r="J4338">
        <v>2</v>
      </c>
      <c r="K4338">
        <v>0</v>
      </c>
      <c r="L4338" s="4">
        <v>0.97027234107039417</v>
      </c>
      <c r="M4338" s="4">
        <v>2.9727658929605778E-2</v>
      </c>
      <c r="N4338">
        <v>10</v>
      </c>
    </row>
    <row r="4339" spans="1:14" x14ac:dyDescent="0.35">
      <c r="A4339" s="1">
        <v>1222</v>
      </c>
      <c r="B4339">
        <v>6</v>
      </c>
      <c r="C4339">
        <v>77</v>
      </c>
      <c r="D4339">
        <v>5</v>
      </c>
      <c r="E4339">
        <v>0</v>
      </c>
      <c r="F4339">
        <v>1</v>
      </c>
      <c r="G4339">
        <v>12</v>
      </c>
      <c r="H4339">
        <v>2</v>
      </c>
      <c r="I4339">
        <v>4000</v>
      </c>
      <c r="J4339">
        <v>5</v>
      </c>
      <c r="K4339">
        <v>0</v>
      </c>
      <c r="L4339" s="4">
        <v>0.97032008459612529</v>
      </c>
      <c r="M4339" s="4">
        <v>2.9679915403874681E-2</v>
      </c>
      <c r="N4339">
        <v>10</v>
      </c>
    </row>
    <row r="4340" spans="1:14" x14ac:dyDescent="0.35">
      <c r="A4340" s="1">
        <v>3842</v>
      </c>
      <c r="B4340">
        <v>5</v>
      </c>
      <c r="C4340">
        <v>73</v>
      </c>
      <c r="D4340">
        <v>5</v>
      </c>
      <c r="E4340">
        <v>0</v>
      </c>
      <c r="F4340">
        <v>1</v>
      </c>
      <c r="G4340">
        <v>12</v>
      </c>
      <c r="H4340">
        <v>2</v>
      </c>
      <c r="I4340">
        <v>500</v>
      </c>
      <c r="J4340">
        <v>9</v>
      </c>
      <c r="K4340">
        <v>0</v>
      </c>
      <c r="L4340" s="4">
        <v>0.97042131377611329</v>
      </c>
      <c r="M4340" s="4">
        <v>2.9578686223886649E-2</v>
      </c>
      <c r="N4340">
        <v>10</v>
      </c>
    </row>
    <row r="4341" spans="1:14" x14ac:dyDescent="0.35">
      <c r="A4341" s="1">
        <v>3584</v>
      </c>
      <c r="B4341">
        <v>6</v>
      </c>
      <c r="C4341">
        <v>76</v>
      </c>
      <c r="D4341">
        <v>1</v>
      </c>
      <c r="E4341">
        <v>1</v>
      </c>
      <c r="F4341">
        <v>0</v>
      </c>
      <c r="G4341">
        <v>11</v>
      </c>
      <c r="H4341">
        <v>0</v>
      </c>
      <c r="I4341">
        <v>6000</v>
      </c>
      <c r="J4341">
        <v>6</v>
      </c>
      <c r="K4341">
        <v>0</v>
      </c>
      <c r="L4341" s="4">
        <v>0.97042494173987903</v>
      </c>
      <c r="M4341" s="4">
        <v>2.9575058260120961E-2</v>
      </c>
      <c r="N4341">
        <v>10</v>
      </c>
    </row>
    <row r="4342" spans="1:14" x14ac:dyDescent="0.35">
      <c r="A4342" s="1">
        <v>1083</v>
      </c>
      <c r="B4342">
        <v>1</v>
      </c>
      <c r="C4342">
        <v>55</v>
      </c>
      <c r="D4342">
        <v>1</v>
      </c>
      <c r="E4342">
        <v>1</v>
      </c>
      <c r="F4342">
        <v>0</v>
      </c>
      <c r="G4342">
        <v>2</v>
      </c>
      <c r="H4342">
        <v>2</v>
      </c>
      <c r="I4342">
        <v>3000</v>
      </c>
      <c r="J4342">
        <v>2</v>
      </c>
      <c r="K4342">
        <v>0</v>
      </c>
      <c r="L4342" s="4">
        <v>0.9705259918510859</v>
      </c>
      <c r="M4342" s="4">
        <v>2.947400814891411E-2</v>
      </c>
      <c r="N4342">
        <v>10</v>
      </c>
    </row>
    <row r="4343" spans="1:14" x14ac:dyDescent="0.35">
      <c r="A4343" s="1">
        <v>3146</v>
      </c>
      <c r="B4343">
        <v>5</v>
      </c>
      <c r="C4343">
        <v>64</v>
      </c>
      <c r="D4343">
        <v>2</v>
      </c>
      <c r="E4343">
        <v>2</v>
      </c>
      <c r="F4343">
        <v>3</v>
      </c>
      <c r="G4343">
        <v>8</v>
      </c>
      <c r="H4343">
        <v>2</v>
      </c>
      <c r="I4343">
        <v>1000</v>
      </c>
      <c r="J4343">
        <v>8</v>
      </c>
      <c r="K4343">
        <v>0</v>
      </c>
      <c r="L4343" s="4">
        <v>0.97058881385743145</v>
      </c>
      <c r="M4343" s="4">
        <v>2.9411186142568529E-2</v>
      </c>
      <c r="N4343">
        <v>10</v>
      </c>
    </row>
    <row r="4344" spans="1:14" x14ac:dyDescent="0.35">
      <c r="A4344" s="1">
        <v>2731</v>
      </c>
      <c r="B4344">
        <v>3</v>
      </c>
      <c r="C4344">
        <v>68</v>
      </c>
      <c r="D4344">
        <v>2</v>
      </c>
      <c r="E4344">
        <v>0</v>
      </c>
      <c r="F4344">
        <v>2</v>
      </c>
      <c r="G4344">
        <v>6</v>
      </c>
      <c r="H4344">
        <v>0</v>
      </c>
      <c r="I4344">
        <v>6105.32</v>
      </c>
      <c r="J4344">
        <v>7</v>
      </c>
      <c r="K4344">
        <v>0</v>
      </c>
      <c r="L4344" s="4">
        <v>0.97066889867808559</v>
      </c>
      <c r="M4344" s="4">
        <v>2.9331101321914431E-2</v>
      </c>
      <c r="N4344">
        <v>10</v>
      </c>
    </row>
    <row r="4345" spans="1:14" x14ac:dyDescent="0.35">
      <c r="A4345" s="1">
        <v>2964</v>
      </c>
      <c r="B4345">
        <v>3</v>
      </c>
      <c r="C4345">
        <v>68</v>
      </c>
      <c r="D4345">
        <v>2</v>
      </c>
      <c r="E4345">
        <v>0</v>
      </c>
      <c r="F4345">
        <v>3</v>
      </c>
      <c r="G4345">
        <v>3</v>
      </c>
      <c r="H4345">
        <v>0</v>
      </c>
      <c r="I4345">
        <v>11000</v>
      </c>
      <c r="J4345">
        <v>7</v>
      </c>
      <c r="K4345">
        <v>0</v>
      </c>
      <c r="L4345" s="4">
        <v>0.97078454818733473</v>
      </c>
      <c r="M4345" s="4">
        <v>2.921545181266523E-2</v>
      </c>
      <c r="N4345">
        <v>10</v>
      </c>
    </row>
    <row r="4346" spans="1:14" x14ac:dyDescent="0.35">
      <c r="A4346" s="1">
        <v>4175</v>
      </c>
      <c r="B4346">
        <v>6</v>
      </c>
      <c r="C4346">
        <v>74</v>
      </c>
      <c r="D4346">
        <v>5</v>
      </c>
      <c r="E4346">
        <v>1</v>
      </c>
      <c r="F4346">
        <v>3</v>
      </c>
      <c r="G4346">
        <v>8</v>
      </c>
      <c r="H4346">
        <v>1</v>
      </c>
      <c r="I4346">
        <v>42000</v>
      </c>
      <c r="J4346">
        <v>21</v>
      </c>
      <c r="K4346">
        <v>0</v>
      </c>
      <c r="L4346" s="4">
        <v>0.97100482074210537</v>
      </c>
      <c r="M4346" s="4">
        <v>2.899517925789466E-2</v>
      </c>
      <c r="N4346">
        <v>10</v>
      </c>
    </row>
    <row r="4347" spans="1:14" x14ac:dyDescent="0.35">
      <c r="A4347" s="1">
        <v>2457</v>
      </c>
      <c r="B4347">
        <v>3</v>
      </c>
      <c r="C4347">
        <v>68</v>
      </c>
      <c r="D4347">
        <v>2</v>
      </c>
      <c r="E4347">
        <v>0</v>
      </c>
      <c r="F4347">
        <v>3</v>
      </c>
      <c r="G4347">
        <v>3</v>
      </c>
      <c r="H4347">
        <v>0</v>
      </c>
      <c r="I4347">
        <v>6000</v>
      </c>
      <c r="J4347">
        <v>5</v>
      </c>
      <c r="K4347">
        <v>1</v>
      </c>
      <c r="L4347" s="4">
        <v>0.97108442824168295</v>
      </c>
      <c r="M4347" s="4">
        <v>2.8915571758317039E-2</v>
      </c>
      <c r="N4347">
        <v>10</v>
      </c>
    </row>
    <row r="4348" spans="1:14" x14ac:dyDescent="0.35">
      <c r="A4348" s="1">
        <v>3047</v>
      </c>
      <c r="B4348">
        <v>8</v>
      </c>
      <c r="C4348">
        <v>78</v>
      </c>
      <c r="D4348">
        <v>0</v>
      </c>
      <c r="E4348">
        <v>2</v>
      </c>
      <c r="F4348">
        <v>1</v>
      </c>
      <c r="G4348">
        <v>12</v>
      </c>
      <c r="H4348">
        <v>2</v>
      </c>
      <c r="I4348">
        <v>4884.25</v>
      </c>
      <c r="J4348">
        <v>8</v>
      </c>
      <c r="K4348">
        <v>0</v>
      </c>
      <c r="L4348" s="4">
        <v>0.97108503637107757</v>
      </c>
      <c r="M4348" s="4">
        <v>2.891496362892243E-2</v>
      </c>
      <c r="N4348">
        <v>10</v>
      </c>
    </row>
    <row r="4349" spans="1:14" x14ac:dyDescent="0.35">
      <c r="A4349" s="1">
        <v>318</v>
      </c>
      <c r="B4349">
        <v>6</v>
      </c>
      <c r="C4349">
        <v>76</v>
      </c>
      <c r="D4349">
        <v>3</v>
      </c>
      <c r="E4349">
        <v>1</v>
      </c>
      <c r="F4349">
        <v>0</v>
      </c>
      <c r="G4349">
        <v>11</v>
      </c>
      <c r="H4349">
        <v>0</v>
      </c>
      <c r="I4349">
        <v>12000</v>
      </c>
      <c r="J4349">
        <v>19</v>
      </c>
      <c r="K4349">
        <v>0</v>
      </c>
      <c r="L4349" s="4">
        <v>0.97116858223783886</v>
      </c>
      <c r="M4349" s="4">
        <v>2.8831417762161089E-2</v>
      </c>
      <c r="N4349">
        <v>10</v>
      </c>
    </row>
    <row r="4350" spans="1:14" x14ac:dyDescent="0.35">
      <c r="A4350" s="1">
        <v>3279</v>
      </c>
      <c r="B4350">
        <v>6</v>
      </c>
      <c r="C4350">
        <v>74</v>
      </c>
      <c r="D4350">
        <v>2</v>
      </c>
      <c r="E4350">
        <v>1</v>
      </c>
      <c r="F4350">
        <v>1</v>
      </c>
      <c r="G4350">
        <v>12</v>
      </c>
      <c r="H4350">
        <v>2</v>
      </c>
      <c r="I4350">
        <v>3000</v>
      </c>
      <c r="J4350">
        <v>8</v>
      </c>
      <c r="K4350">
        <v>0</v>
      </c>
      <c r="L4350" s="4">
        <v>0.971278253733874</v>
      </c>
      <c r="M4350" s="4">
        <v>2.8721746266125951E-2</v>
      </c>
      <c r="N4350">
        <v>10</v>
      </c>
    </row>
    <row r="4351" spans="1:14" x14ac:dyDescent="0.35">
      <c r="A4351" s="1">
        <v>634</v>
      </c>
      <c r="B4351">
        <v>3</v>
      </c>
      <c r="C4351">
        <v>68</v>
      </c>
      <c r="D4351">
        <v>5</v>
      </c>
      <c r="E4351">
        <v>0</v>
      </c>
      <c r="F4351">
        <v>2</v>
      </c>
      <c r="G4351">
        <v>1</v>
      </c>
      <c r="H4351">
        <v>0</v>
      </c>
      <c r="I4351">
        <v>12000</v>
      </c>
      <c r="J4351">
        <v>8</v>
      </c>
      <c r="K4351">
        <v>1</v>
      </c>
      <c r="L4351" s="4">
        <v>0.97180510423900235</v>
      </c>
      <c r="M4351" s="4">
        <v>2.8194895760997658E-2</v>
      </c>
      <c r="N4351">
        <v>10</v>
      </c>
    </row>
    <row r="4352" spans="1:14" x14ac:dyDescent="0.35">
      <c r="A4352" s="1">
        <v>2572</v>
      </c>
      <c r="B4352">
        <v>4</v>
      </c>
      <c r="C4352">
        <v>61</v>
      </c>
      <c r="D4352">
        <v>2</v>
      </c>
      <c r="E4352">
        <v>2</v>
      </c>
      <c r="F4352">
        <v>3</v>
      </c>
      <c r="G4352">
        <v>3</v>
      </c>
      <c r="H4352">
        <v>2</v>
      </c>
      <c r="I4352">
        <v>1000</v>
      </c>
      <c r="J4352">
        <v>1</v>
      </c>
      <c r="K4352">
        <v>0</v>
      </c>
      <c r="L4352" s="4">
        <v>0.97183952575244281</v>
      </c>
      <c r="M4352" s="4">
        <v>2.816047424755724E-2</v>
      </c>
      <c r="N4352">
        <v>10</v>
      </c>
    </row>
    <row r="4353" spans="1:14" x14ac:dyDescent="0.35">
      <c r="A4353" s="1">
        <v>2074</v>
      </c>
      <c r="B4353">
        <v>3</v>
      </c>
      <c r="C4353">
        <v>68</v>
      </c>
      <c r="D4353">
        <v>1</v>
      </c>
      <c r="E4353">
        <v>0</v>
      </c>
      <c r="F4353">
        <v>2</v>
      </c>
      <c r="G4353">
        <v>1</v>
      </c>
      <c r="H4353">
        <v>2</v>
      </c>
      <c r="I4353">
        <v>5000</v>
      </c>
      <c r="J4353">
        <v>1</v>
      </c>
      <c r="K4353">
        <v>0</v>
      </c>
      <c r="L4353" s="4">
        <v>0.97188956382109915</v>
      </c>
      <c r="M4353" s="4">
        <v>2.811043617890082E-2</v>
      </c>
      <c r="N4353">
        <v>10</v>
      </c>
    </row>
    <row r="4354" spans="1:14" x14ac:dyDescent="0.35">
      <c r="A4354" s="1">
        <v>4192</v>
      </c>
      <c r="B4354">
        <v>4</v>
      </c>
      <c r="C4354">
        <v>71</v>
      </c>
      <c r="D4354">
        <v>2</v>
      </c>
      <c r="E4354">
        <v>0</v>
      </c>
      <c r="F4354">
        <v>3</v>
      </c>
      <c r="G4354">
        <v>3</v>
      </c>
      <c r="H4354">
        <v>2</v>
      </c>
      <c r="I4354">
        <v>3000</v>
      </c>
      <c r="J4354">
        <v>2</v>
      </c>
      <c r="K4354">
        <v>0</v>
      </c>
      <c r="L4354" s="4">
        <v>0.97201083411634437</v>
      </c>
      <c r="M4354" s="4">
        <v>2.7989165883655579E-2</v>
      </c>
      <c r="N4354">
        <v>10</v>
      </c>
    </row>
    <row r="4355" spans="1:14" x14ac:dyDescent="0.35">
      <c r="A4355" s="1">
        <v>3040</v>
      </c>
      <c r="B4355">
        <v>7</v>
      </c>
      <c r="C4355">
        <v>76</v>
      </c>
      <c r="D4355">
        <v>5</v>
      </c>
      <c r="E4355">
        <v>1</v>
      </c>
      <c r="F4355">
        <v>4</v>
      </c>
      <c r="G4355">
        <v>9</v>
      </c>
      <c r="H4355">
        <v>2</v>
      </c>
      <c r="I4355">
        <v>100.01</v>
      </c>
      <c r="J4355">
        <v>8</v>
      </c>
      <c r="K4355">
        <v>0</v>
      </c>
      <c r="L4355" s="4">
        <v>0.9720767547203073</v>
      </c>
      <c r="M4355" s="4">
        <v>2.7923245279692741E-2</v>
      </c>
      <c r="N4355">
        <v>10</v>
      </c>
    </row>
    <row r="4356" spans="1:14" x14ac:dyDescent="0.35">
      <c r="A4356" s="1">
        <v>3292</v>
      </c>
      <c r="B4356">
        <v>5</v>
      </c>
      <c r="C4356">
        <v>77</v>
      </c>
      <c r="D4356">
        <v>1</v>
      </c>
      <c r="E4356">
        <v>0</v>
      </c>
      <c r="F4356">
        <v>0</v>
      </c>
      <c r="G4356">
        <v>4</v>
      </c>
      <c r="H4356">
        <v>2</v>
      </c>
      <c r="I4356">
        <v>5000</v>
      </c>
      <c r="J4356">
        <v>4</v>
      </c>
      <c r="K4356">
        <v>0</v>
      </c>
      <c r="L4356" s="4">
        <v>0.97215860901744056</v>
      </c>
      <c r="M4356" s="4">
        <v>2.7841390982559451E-2</v>
      </c>
      <c r="N4356">
        <v>10</v>
      </c>
    </row>
    <row r="4357" spans="1:14" x14ac:dyDescent="0.35">
      <c r="A4357" s="1">
        <v>41</v>
      </c>
      <c r="B4357">
        <v>5</v>
      </c>
      <c r="C4357">
        <v>72</v>
      </c>
      <c r="D4357">
        <v>1</v>
      </c>
      <c r="E4357">
        <v>1</v>
      </c>
      <c r="F4357">
        <v>3</v>
      </c>
      <c r="G4357">
        <v>8</v>
      </c>
      <c r="H4357">
        <v>0</v>
      </c>
      <c r="I4357">
        <v>12053.35</v>
      </c>
      <c r="J4357">
        <v>5</v>
      </c>
      <c r="K4357">
        <v>0</v>
      </c>
      <c r="L4357" s="4">
        <v>0.97219016838851746</v>
      </c>
      <c r="M4357" s="4">
        <v>2.7809831611482511E-2</v>
      </c>
      <c r="N4357">
        <v>10</v>
      </c>
    </row>
    <row r="4358" spans="1:14" x14ac:dyDescent="0.35">
      <c r="A4358" s="1">
        <v>1879</v>
      </c>
      <c r="B4358">
        <v>4</v>
      </c>
      <c r="C4358">
        <v>62</v>
      </c>
      <c r="D4358">
        <v>0</v>
      </c>
      <c r="E4358">
        <v>2</v>
      </c>
      <c r="F4358">
        <v>3</v>
      </c>
      <c r="G4358">
        <v>8</v>
      </c>
      <c r="H4358">
        <v>2</v>
      </c>
      <c r="I4358">
        <v>3000</v>
      </c>
      <c r="J4358">
        <v>8</v>
      </c>
      <c r="K4358">
        <v>0</v>
      </c>
      <c r="L4358" s="4">
        <v>0.97245678310208938</v>
      </c>
      <c r="M4358" s="4">
        <v>2.7543216897910571E-2</v>
      </c>
      <c r="N4358">
        <v>10</v>
      </c>
    </row>
    <row r="4359" spans="1:14" x14ac:dyDescent="0.35">
      <c r="A4359" s="1">
        <v>3418</v>
      </c>
      <c r="B4359">
        <v>3</v>
      </c>
      <c r="C4359">
        <v>69</v>
      </c>
      <c r="D4359">
        <v>2</v>
      </c>
      <c r="E4359">
        <v>0</v>
      </c>
      <c r="F4359">
        <v>3</v>
      </c>
      <c r="G4359">
        <v>3</v>
      </c>
      <c r="H4359">
        <v>0</v>
      </c>
      <c r="I4359">
        <v>6000</v>
      </c>
      <c r="J4359">
        <v>2</v>
      </c>
      <c r="K4359">
        <v>0</v>
      </c>
      <c r="L4359" s="4">
        <v>0.97282910141098633</v>
      </c>
      <c r="M4359" s="4">
        <v>2.7170898589013701E-2</v>
      </c>
      <c r="N4359">
        <v>10</v>
      </c>
    </row>
    <row r="4360" spans="1:14" x14ac:dyDescent="0.35">
      <c r="A4360" s="1">
        <v>2016</v>
      </c>
      <c r="B4360">
        <v>7</v>
      </c>
      <c r="C4360">
        <v>73</v>
      </c>
      <c r="D4360">
        <v>4</v>
      </c>
      <c r="E4360">
        <v>2</v>
      </c>
      <c r="F4360">
        <v>3</v>
      </c>
      <c r="G4360">
        <v>3</v>
      </c>
      <c r="H4360">
        <v>2</v>
      </c>
      <c r="I4360">
        <v>2000</v>
      </c>
      <c r="J4360">
        <v>4</v>
      </c>
      <c r="K4360">
        <v>0</v>
      </c>
      <c r="L4360" s="4">
        <v>0.97286298583733266</v>
      </c>
      <c r="M4360" s="4">
        <v>2.7137014162667391E-2</v>
      </c>
      <c r="N4360">
        <v>10</v>
      </c>
    </row>
    <row r="4361" spans="1:14" x14ac:dyDescent="0.35">
      <c r="A4361" s="1">
        <v>3851</v>
      </c>
      <c r="B4361">
        <v>6</v>
      </c>
      <c r="C4361">
        <v>71</v>
      </c>
      <c r="D4361">
        <v>1</v>
      </c>
      <c r="E4361">
        <v>2</v>
      </c>
      <c r="F4361">
        <v>1</v>
      </c>
      <c r="G4361">
        <v>7</v>
      </c>
      <c r="H4361">
        <v>2</v>
      </c>
      <c r="I4361">
        <v>2000</v>
      </c>
      <c r="J4361">
        <v>5</v>
      </c>
      <c r="K4361">
        <v>0</v>
      </c>
      <c r="L4361" s="4">
        <v>0.97308085657663157</v>
      </c>
      <c r="M4361" s="4">
        <v>2.6919143423368468E-2</v>
      </c>
      <c r="N4361">
        <v>10</v>
      </c>
    </row>
    <row r="4362" spans="1:14" x14ac:dyDescent="0.35">
      <c r="A4362" s="1">
        <v>1365</v>
      </c>
      <c r="B4362">
        <v>1</v>
      </c>
      <c r="C4362">
        <v>61</v>
      </c>
      <c r="D4362">
        <v>5</v>
      </c>
      <c r="E4362">
        <v>0</v>
      </c>
      <c r="F4362">
        <v>2</v>
      </c>
      <c r="G4362">
        <v>1</v>
      </c>
      <c r="H4362">
        <v>0</v>
      </c>
      <c r="I4362">
        <v>10000</v>
      </c>
      <c r="J4362">
        <v>9</v>
      </c>
      <c r="K4362">
        <v>0</v>
      </c>
      <c r="L4362" s="4">
        <v>0.97361367789178721</v>
      </c>
      <c r="M4362" s="4">
        <v>2.6386322108212752E-2</v>
      </c>
      <c r="N4362">
        <v>10</v>
      </c>
    </row>
    <row r="4363" spans="1:14" x14ac:dyDescent="0.35">
      <c r="A4363" s="1">
        <v>2064</v>
      </c>
      <c r="B4363">
        <v>4</v>
      </c>
      <c r="C4363">
        <v>73</v>
      </c>
      <c r="D4363">
        <v>1</v>
      </c>
      <c r="E4363">
        <v>0</v>
      </c>
      <c r="F4363">
        <v>1</v>
      </c>
      <c r="G4363">
        <v>12</v>
      </c>
      <c r="H4363">
        <v>2</v>
      </c>
      <c r="I4363">
        <v>120</v>
      </c>
      <c r="J4363">
        <v>11</v>
      </c>
      <c r="K4363">
        <v>0</v>
      </c>
      <c r="L4363" s="4">
        <v>0.97409883152816068</v>
      </c>
      <c r="M4363" s="4">
        <v>2.5901168471839309E-2</v>
      </c>
      <c r="N4363">
        <v>10</v>
      </c>
    </row>
    <row r="4364" spans="1:14" x14ac:dyDescent="0.35">
      <c r="A4364" s="1">
        <v>1697</v>
      </c>
      <c r="B4364">
        <v>3</v>
      </c>
      <c r="C4364">
        <v>70</v>
      </c>
      <c r="D4364">
        <v>5</v>
      </c>
      <c r="E4364">
        <v>0</v>
      </c>
      <c r="F4364">
        <v>0</v>
      </c>
      <c r="G4364">
        <v>4</v>
      </c>
      <c r="H4364">
        <v>0</v>
      </c>
      <c r="I4364">
        <v>12000</v>
      </c>
      <c r="J4364">
        <v>2</v>
      </c>
      <c r="K4364">
        <v>0</v>
      </c>
      <c r="L4364" s="4">
        <v>0.97411058981604381</v>
      </c>
      <c r="M4364" s="4">
        <v>2.588941018395614E-2</v>
      </c>
      <c r="N4364">
        <v>10</v>
      </c>
    </row>
    <row r="4365" spans="1:14" x14ac:dyDescent="0.35">
      <c r="A4365" s="1">
        <v>3807</v>
      </c>
      <c r="B4365">
        <v>6</v>
      </c>
      <c r="C4365">
        <v>75</v>
      </c>
      <c r="D4365">
        <v>5</v>
      </c>
      <c r="E4365">
        <v>1</v>
      </c>
      <c r="F4365">
        <v>0</v>
      </c>
      <c r="G4365">
        <v>11</v>
      </c>
      <c r="H4365">
        <v>2</v>
      </c>
      <c r="I4365">
        <v>3000</v>
      </c>
      <c r="J4365">
        <v>6</v>
      </c>
      <c r="K4365">
        <v>0</v>
      </c>
      <c r="L4365" s="4">
        <v>0.97413591275271449</v>
      </c>
      <c r="M4365" s="4">
        <v>2.586408724728545E-2</v>
      </c>
      <c r="N4365">
        <v>10</v>
      </c>
    </row>
    <row r="4366" spans="1:14" x14ac:dyDescent="0.35">
      <c r="A4366" s="1">
        <v>2019</v>
      </c>
      <c r="B4366">
        <v>5</v>
      </c>
      <c r="C4366">
        <v>74</v>
      </c>
      <c r="D4366">
        <v>1</v>
      </c>
      <c r="E4366">
        <v>1</v>
      </c>
      <c r="F4366">
        <v>3</v>
      </c>
      <c r="G4366">
        <v>3</v>
      </c>
      <c r="H4366">
        <v>0</v>
      </c>
      <c r="I4366">
        <v>12000</v>
      </c>
      <c r="J4366">
        <v>1</v>
      </c>
      <c r="K4366">
        <v>0</v>
      </c>
      <c r="L4366" s="4">
        <v>0.97472372717261724</v>
      </c>
      <c r="M4366" s="4">
        <v>2.5276272827382741E-2</v>
      </c>
      <c r="N4366">
        <v>10</v>
      </c>
    </row>
    <row r="4367" spans="1:14" x14ac:dyDescent="0.35">
      <c r="A4367" s="1">
        <v>523</v>
      </c>
      <c r="B4367">
        <v>6</v>
      </c>
      <c r="C4367">
        <v>79</v>
      </c>
      <c r="D4367">
        <v>5</v>
      </c>
      <c r="E4367">
        <v>0</v>
      </c>
      <c r="F4367">
        <v>1</v>
      </c>
      <c r="G4367">
        <v>12</v>
      </c>
      <c r="H4367">
        <v>3</v>
      </c>
      <c r="I4367">
        <v>0.01</v>
      </c>
      <c r="J4367">
        <v>6</v>
      </c>
      <c r="K4367">
        <v>0</v>
      </c>
      <c r="L4367" s="4">
        <v>0.97483156056598796</v>
      </c>
      <c r="M4367" s="4">
        <v>2.516843943401206E-2</v>
      </c>
      <c r="N4367">
        <v>10</v>
      </c>
    </row>
    <row r="4368" spans="1:14" x14ac:dyDescent="0.35">
      <c r="A4368" s="1">
        <v>3339</v>
      </c>
      <c r="B4368">
        <v>6</v>
      </c>
      <c r="C4368">
        <v>76</v>
      </c>
      <c r="D4368">
        <v>2</v>
      </c>
      <c r="E4368">
        <v>1</v>
      </c>
      <c r="F4368">
        <v>1</v>
      </c>
      <c r="G4368">
        <v>7</v>
      </c>
      <c r="H4368">
        <v>3</v>
      </c>
      <c r="I4368">
        <v>0.01</v>
      </c>
      <c r="J4368">
        <v>4</v>
      </c>
      <c r="K4368">
        <v>0</v>
      </c>
      <c r="L4368" s="4">
        <v>0.97510416291396917</v>
      </c>
      <c r="M4368" s="4">
        <v>2.489583708603078E-2</v>
      </c>
      <c r="N4368">
        <v>10</v>
      </c>
    </row>
    <row r="4369" spans="1:14" x14ac:dyDescent="0.35">
      <c r="A4369" s="1">
        <v>2636</v>
      </c>
      <c r="B4369">
        <v>4</v>
      </c>
      <c r="C4369">
        <v>62</v>
      </c>
      <c r="D4369">
        <v>3</v>
      </c>
      <c r="E4369">
        <v>2</v>
      </c>
      <c r="F4369">
        <v>3</v>
      </c>
      <c r="G4369">
        <v>3</v>
      </c>
      <c r="H4369">
        <v>3</v>
      </c>
      <c r="I4369">
        <v>0.01</v>
      </c>
      <c r="J4369">
        <v>5</v>
      </c>
      <c r="K4369">
        <v>0</v>
      </c>
      <c r="L4369" s="4">
        <v>0.97511353290101832</v>
      </c>
      <c r="M4369" s="4">
        <v>2.488646709898162E-2</v>
      </c>
      <c r="N4369">
        <v>10</v>
      </c>
    </row>
    <row r="4370" spans="1:14" x14ac:dyDescent="0.35">
      <c r="A4370" s="1">
        <v>3234</v>
      </c>
      <c r="B4370">
        <v>6</v>
      </c>
      <c r="C4370">
        <v>77</v>
      </c>
      <c r="D4370">
        <v>4</v>
      </c>
      <c r="E4370">
        <v>1</v>
      </c>
      <c r="F4370">
        <v>3</v>
      </c>
      <c r="G4370">
        <v>8</v>
      </c>
      <c r="H4370">
        <v>0</v>
      </c>
      <c r="I4370">
        <v>12000</v>
      </c>
      <c r="J4370">
        <v>18</v>
      </c>
      <c r="K4370">
        <v>0</v>
      </c>
      <c r="L4370" s="4">
        <v>0.97524355229660009</v>
      </c>
      <c r="M4370" s="4">
        <v>2.475644770339994E-2</v>
      </c>
      <c r="N4370">
        <v>10</v>
      </c>
    </row>
    <row r="4371" spans="1:14" x14ac:dyDescent="0.35">
      <c r="A4371" s="1">
        <v>2190</v>
      </c>
      <c r="B4371">
        <v>4</v>
      </c>
      <c r="C4371">
        <v>71</v>
      </c>
      <c r="D4371">
        <v>0</v>
      </c>
      <c r="E4371">
        <v>1</v>
      </c>
      <c r="F4371">
        <v>1</v>
      </c>
      <c r="G4371">
        <v>12</v>
      </c>
      <c r="H4371">
        <v>0</v>
      </c>
      <c r="I4371">
        <v>6000</v>
      </c>
      <c r="J4371">
        <v>12</v>
      </c>
      <c r="K4371">
        <v>0</v>
      </c>
      <c r="L4371" s="4">
        <v>0.97533193299277277</v>
      </c>
      <c r="M4371" s="4">
        <v>2.4668067007227248E-2</v>
      </c>
      <c r="N4371">
        <v>10</v>
      </c>
    </row>
    <row r="4372" spans="1:14" x14ac:dyDescent="0.35">
      <c r="A4372" s="1">
        <v>1246</v>
      </c>
      <c r="B4372">
        <v>6</v>
      </c>
      <c r="C4372">
        <v>77</v>
      </c>
      <c r="D4372">
        <v>4</v>
      </c>
      <c r="E4372">
        <v>1</v>
      </c>
      <c r="F4372">
        <v>0</v>
      </c>
      <c r="G4372">
        <v>4</v>
      </c>
      <c r="H4372">
        <v>2</v>
      </c>
      <c r="I4372">
        <v>5000</v>
      </c>
      <c r="J4372">
        <v>4</v>
      </c>
      <c r="K4372">
        <v>0</v>
      </c>
      <c r="L4372" s="4">
        <v>0.97548528701191406</v>
      </c>
      <c r="M4372" s="4">
        <v>2.4514712988085888E-2</v>
      </c>
      <c r="N4372">
        <v>10</v>
      </c>
    </row>
    <row r="4373" spans="1:14" x14ac:dyDescent="0.35">
      <c r="A4373" s="1">
        <v>3013</v>
      </c>
      <c r="B4373">
        <v>2</v>
      </c>
      <c r="C4373">
        <v>67</v>
      </c>
      <c r="D4373">
        <v>1</v>
      </c>
      <c r="E4373">
        <v>0</v>
      </c>
      <c r="F4373">
        <v>3</v>
      </c>
      <c r="G4373">
        <v>8</v>
      </c>
      <c r="H4373">
        <v>0</v>
      </c>
      <c r="I4373">
        <v>12000</v>
      </c>
      <c r="J4373">
        <v>8</v>
      </c>
      <c r="K4373">
        <v>0</v>
      </c>
      <c r="L4373" s="4">
        <v>0.97552199743131451</v>
      </c>
      <c r="M4373" s="4">
        <v>2.44780025686855E-2</v>
      </c>
      <c r="N4373">
        <v>10</v>
      </c>
    </row>
    <row r="4374" spans="1:14" x14ac:dyDescent="0.35">
      <c r="A4374" s="1">
        <v>1720</v>
      </c>
      <c r="B4374">
        <v>5</v>
      </c>
      <c r="C4374">
        <v>73</v>
      </c>
      <c r="D4374">
        <v>4</v>
      </c>
      <c r="E4374">
        <v>1</v>
      </c>
      <c r="F4374">
        <v>3</v>
      </c>
      <c r="G4374">
        <v>8</v>
      </c>
      <c r="H4374">
        <v>0</v>
      </c>
      <c r="I4374">
        <v>14000</v>
      </c>
      <c r="J4374">
        <v>8</v>
      </c>
      <c r="K4374">
        <v>0</v>
      </c>
      <c r="L4374" s="4">
        <v>0.97554713583320951</v>
      </c>
      <c r="M4374" s="4">
        <v>2.4452864166790479E-2</v>
      </c>
      <c r="N4374">
        <v>10</v>
      </c>
    </row>
    <row r="4375" spans="1:14" x14ac:dyDescent="0.35">
      <c r="A4375" s="1">
        <v>3738</v>
      </c>
      <c r="B4375">
        <v>6</v>
      </c>
      <c r="C4375">
        <v>77</v>
      </c>
      <c r="D4375">
        <v>5</v>
      </c>
      <c r="E4375">
        <v>1</v>
      </c>
      <c r="F4375">
        <v>0</v>
      </c>
      <c r="G4375">
        <v>2</v>
      </c>
      <c r="H4375">
        <v>2</v>
      </c>
      <c r="I4375">
        <v>3099.71</v>
      </c>
      <c r="J4375">
        <v>11</v>
      </c>
      <c r="K4375">
        <v>0</v>
      </c>
      <c r="L4375" s="4">
        <v>0.97570883657169738</v>
      </c>
      <c r="M4375" s="4">
        <v>2.4291163428302641E-2</v>
      </c>
      <c r="N4375">
        <v>10</v>
      </c>
    </row>
    <row r="4376" spans="1:14" x14ac:dyDescent="0.35">
      <c r="A4376" s="1">
        <v>1928</v>
      </c>
      <c r="B4376">
        <v>4</v>
      </c>
      <c r="C4376">
        <v>67</v>
      </c>
      <c r="D4376">
        <v>4</v>
      </c>
      <c r="E4376">
        <v>1</v>
      </c>
      <c r="F4376">
        <v>4</v>
      </c>
      <c r="G4376">
        <v>9</v>
      </c>
      <c r="H4376">
        <v>2</v>
      </c>
      <c r="I4376">
        <v>1000</v>
      </c>
      <c r="J4376">
        <v>12</v>
      </c>
      <c r="K4376">
        <v>0</v>
      </c>
      <c r="L4376" s="4">
        <v>0.97602948969457592</v>
      </c>
      <c r="M4376" s="4">
        <v>2.397051030542412E-2</v>
      </c>
      <c r="N4376">
        <v>10</v>
      </c>
    </row>
    <row r="4377" spans="1:14" x14ac:dyDescent="0.35">
      <c r="A4377" s="1">
        <v>351</v>
      </c>
      <c r="B4377">
        <v>4</v>
      </c>
      <c r="C4377">
        <v>76</v>
      </c>
      <c r="D4377">
        <v>3</v>
      </c>
      <c r="E4377">
        <v>0</v>
      </c>
      <c r="F4377">
        <v>0</v>
      </c>
      <c r="G4377">
        <v>11</v>
      </c>
      <c r="H4377">
        <v>0</v>
      </c>
      <c r="I4377">
        <v>19944.93</v>
      </c>
      <c r="J4377">
        <v>3</v>
      </c>
      <c r="K4377">
        <v>0</v>
      </c>
      <c r="L4377" s="4">
        <v>0.97626425709250142</v>
      </c>
      <c r="M4377" s="4">
        <v>2.3735742907498612E-2</v>
      </c>
      <c r="N4377">
        <v>10</v>
      </c>
    </row>
    <row r="4378" spans="1:14" x14ac:dyDescent="0.35">
      <c r="A4378" s="1">
        <v>4167</v>
      </c>
      <c r="B4378">
        <v>4</v>
      </c>
      <c r="C4378">
        <v>69</v>
      </c>
      <c r="D4378">
        <v>2</v>
      </c>
      <c r="E4378">
        <v>1</v>
      </c>
      <c r="F4378">
        <v>3</v>
      </c>
      <c r="G4378">
        <v>3</v>
      </c>
      <c r="H4378">
        <v>2</v>
      </c>
      <c r="I4378">
        <v>2000</v>
      </c>
      <c r="J4378">
        <v>1</v>
      </c>
      <c r="K4378">
        <v>0</v>
      </c>
      <c r="L4378" s="4">
        <v>0.9764678376007786</v>
      </c>
      <c r="M4378" s="4">
        <v>2.3532162399221349E-2</v>
      </c>
      <c r="N4378">
        <v>10</v>
      </c>
    </row>
    <row r="4379" spans="1:14" x14ac:dyDescent="0.35">
      <c r="A4379" s="1">
        <v>2685</v>
      </c>
      <c r="B4379">
        <v>5</v>
      </c>
      <c r="C4379">
        <v>72</v>
      </c>
      <c r="D4379">
        <v>0</v>
      </c>
      <c r="E4379">
        <v>2</v>
      </c>
      <c r="F4379">
        <v>0</v>
      </c>
      <c r="G4379">
        <v>4</v>
      </c>
      <c r="H4379">
        <v>0</v>
      </c>
      <c r="I4379">
        <v>6000</v>
      </c>
      <c r="J4379">
        <v>2</v>
      </c>
      <c r="K4379">
        <v>0</v>
      </c>
      <c r="L4379" s="4">
        <v>0.97656272268179478</v>
      </c>
      <c r="M4379" s="4">
        <v>2.3437277318205212E-2</v>
      </c>
      <c r="N4379">
        <v>10</v>
      </c>
    </row>
    <row r="4380" spans="1:14" x14ac:dyDescent="0.35">
      <c r="A4380" s="1">
        <v>1198</v>
      </c>
      <c r="B4380">
        <v>4</v>
      </c>
      <c r="C4380">
        <v>76</v>
      </c>
      <c r="D4380">
        <v>2</v>
      </c>
      <c r="E4380">
        <v>0</v>
      </c>
      <c r="F4380">
        <v>3</v>
      </c>
      <c r="G4380">
        <v>3</v>
      </c>
      <c r="H4380">
        <v>0</v>
      </c>
      <c r="I4380">
        <v>10053.35</v>
      </c>
      <c r="J4380">
        <v>17</v>
      </c>
      <c r="K4380">
        <v>0</v>
      </c>
      <c r="L4380" s="4">
        <v>0.97656370637408807</v>
      </c>
      <c r="M4380" s="4">
        <v>2.3436293625911951E-2</v>
      </c>
      <c r="N4380">
        <v>10</v>
      </c>
    </row>
    <row r="4381" spans="1:14" x14ac:dyDescent="0.35">
      <c r="A4381" s="1">
        <v>4221</v>
      </c>
      <c r="B4381">
        <v>5</v>
      </c>
      <c r="C4381">
        <v>73</v>
      </c>
      <c r="D4381">
        <v>2</v>
      </c>
      <c r="E4381">
        <v>1</v>
      </c>
      <c r="F4381">
        <v>3</v>
      </c>
      <c r="G4381">
        <v>8</v>
      </c>
      <c r="H4381">
        <v>2</v>
      </c>
      <c r="I4381">
        <v>1200</v>
      </c>
      <c r="J4381">
        <v>12</v>
      </c>
      <c r="K4381">
        <v>0</v>
      </c>
      <c r="L4381" s="4">
        <v>0.97673243853061664</v>
      </c>
      <c r="M4381" s="4">
        <v>2.3267561469383299E-2</v>
      </c>
      <c r="N4381">
        <v>10</v>
      </c>
    </row>
    <row r="4382" spans="1:14" x14ac:dyDescent="0.35">
      <c r="A4382" s="1">
        <v>2095</v>
      </c>
      <c r="B4382">
        <v>3</v>
      </c>
      <c r="C4382">
        <v>70</v>
      </c>
      <c r="D4382">
        <v>2</v>
      </c>
      <c r="E4382">
        <v>0</v>
      </c>
      <c r="F4382">
        <v>1</v>
      </c>
      <c r="G4382">
        <v>7</v>
      </c>
      <c r="H4382">
        <v>3</v>
      </c>
      <c r="I4382">
        <v>0.01</v>
      </c>
      <c r="J4382">
        <v>5</v>
      </c>
      <c r="K4382">
        <v>0</v>
      </c>
      <c r="L4382" s="4">
        <v>0.97682402388010903</v>
      </c>
      <c r="M4382" s="4">
        <v>2.3175976119890931E-2</v>
      </c>
      <c r="N4382">
        <v>10</v>
      </c>
    </row>
    <row r="4383" spans="1:14" x14ac:dyDescent="0.35">
      <c r="A4383" s="1">
        <v>214</v>
      </c>
      <c r="B4383">
        <v>2</v>
      </c>
      <c r="C4383">
        <v>67</v>
      </c>
      <c r="D4383">
        <v>0</v>
      </c>
      <c r="E4383">
        <v>0</v>
      </c>
      <c r="F4383">
        <v>3</v>
      </c>
      <c r="G4383">
        <v>3</v>
      </c>
      <c r="H4383">
        <v>2</v>
      </c>
      <c r="I4383">
        <v>3000</v>
      </c>
      <c r="J4383">
        <v>2</v>
      </c>
      <c r="K4383">
        <v>1</v>
      </c>
      <c r="L4383" s="4">
        <v>0.97683516177646112</v>
      </c>
      <c r="M4383" s="4">
        <v>2.3164838223538889E-2</v>
      </c>
      <c r="N4383">
        <v>10</v>
      </c>
    </row>
    <row r="4384" spans="1:14" x14ac:dyDescent="0.35">
      <c r="A4384" s="1">
        <v>2017</v>
      </c>
      <c r="B4384">
        <v>5</v>
      </c>
      <c r="C4384">
        <v>76</v>
      </c>
      <c r="D4384">
        <v>2</v>
      </c>
      <c r="E4384">
        <v>1</v>
      </c>
      <c r="F4384">
        <v>1</v>
      </c>
      <c r="G4384">
        <v>7</v>
      </c>
      <c r="H4384">
        <v>0</v>
      </c>
      <c r="I4384">
        <v>12000</v>
      </c>
      <c r="J4384">
        <v>2</v>
      </c>
      <c r="K4384">
        <v>0</v>
      </c>
      <c r="L4384" s="4">
        <v>0.97730736912619054</v>
      </c>
      <c r="M4384" s="4">
        <v>2.2692630873809429E-2</v>
      </c>
      <c r="N4384">
        <v>10</v>
      </c>
    </row>
    <row r="4385" spans="1:14" x14ac:dyDescent="0.35">
      <c r="A4385" s="1">
        <v>2475</v>
      </c>
      <c r="B4385">
        <v>4</v>
      </c>
      <c r="C4385">
        <v>75</v>
      </c>
      <c r="D4385">
        <v>0</v>
      </c>
      <c r="E4385">
        <v>0</v>
      </c>
      <c r="F4385">
        <v>3</v>
      </c>
      <c r="G4385">
        <v>3</v>
      </c>
      <c r="H4385">
        <v>3</v>
      </c>
      <c r="I4385">
        <v>0.01</v>
      </c>
      <c r="J4385">
        <v>8</v>
      </c>
      <c r="K4385">
        <v>0</v>
      </c>
      <c r="L4385" s="4">
        <v>0.97761606747472918</v>
      </c>
      <c r="M4385" s="4">
        <v>2.2383932525270829E-2</v>
      </c>
      <c r="N4385">
        <v>10</v>
      </c>
    </row>
    <row r="4386" spans="1:14" x14ac:dyDescent="0.35">
      <c r="A4386" s="1">
        <v>1457</v>
      </c>
      <c r="B4386">
        <v>6</v>
      </c>
      <c r="C4386">
        <v>79</v>
      </c>
      <c r="D4386">
        <v>0</v>
      </c>
      <c r="E4386">
        <v>1</v>
      </c>
      <c r="F4386">
        <v>3</v>
      </c>
      <c r="G4386">
        <v>3</v>
      </c>
      <c r="H4386">
        <v>2</v>
      </c>
      <c r="I4386">
        <v>3000</v>
      </c>
      <c r="J4386">
        <v>5</v>
      </c>
      <c r="K4386">
        <v>0</v>
      </c>
      <c r="L4386" s="4">
        <v>0.97769792463453309</v>
      </c>
      <c r="M4386" s="4">
        <v>2.2302075365466859E-2</v>
      </c>
      <c r="N4386">
        <v>10</v>
      </c>
    </row>
    <row r="4387" spans="1:14" x14ac:dyDescent="0.35">
      <c r="A4387" s="1">
        <v>2541</v>
      </c>
      <c r="B4387">
        <v>4</v>
      </c>
      <c r="C4387">
        <v>68</v>
      </c>
      <c r="D4387">
        <v>2</v>
      </c>
      <c r="E4387">
        <v>2</v>
      </c>
      <c r="F4387">
        <v>0</v>
      </c>
      <c r="G4387">
        <v>2</v>
      </c>
      <c r="H4387">
        <v>1</v>
      </c>
      <c r="I4387">
        <v>22107.64</v>
      </c>
      <c r="J4387">
        <v>10</v>
      </c>
      <c r="K4387">
        <v>0</v>
      </c>
      <c r="L4387" s="4">
        <v>0.97773312311884453</v>
      </c>
      <c r="M4387" s="4">
        <v>2.2266876881155431E-2</v>
      </c>
      <c r="N4387">
        <v>10</v>
      </c>
    </row>
    <row r="4388" spans="1:14" x14ac:dyDescent="0.35">
      <c r="A4388" s="1">
        <v>3979</v>
      </c>
      <c r="B4388">
        <v>6</v>
      </c>
      <c r="C4388">
        <v>76</v>
      </c>
      <c r="D4388">
        <v>3</v>
      </c>
      <c r="E4388">
        <v>2</v>
      </c>
      <c r="F4388">
        <v>0</v>
      </c>
      <c r="G4388">
        <v>2</v>
      </c>
      <c r="H4388">
        <v>0</v>
      </c>
      <c r="I4388">
        <v>9200</v>
      </c>
      <c r="J4388">
        <v>6</v>
      </c>
      <c r="K4388">
        <v>0</v>
      </c>
      <c r="L4388" s="4">
        <v>0.97778064778052054</v>
      </c>
      <c r="M4388" s="4">
        <v>2.2219352219479471E-2</v>
      </c>
      <c r="N4388">
        <v>10</v>
      </c>
    </row>
    <row r="4389" spans="1:14" x14ac:dyDescent="0.35">
      <c r="A4389" s="1">
        <v>1062</v>
      </c>
      <c r="B4389">
        <v>1</v>
      </c>
      <c r="C4389">
        <v>64</v>
      </c>
      <c r="D4389">
        <v>4</v>
      </c>
      <c r="E4389">
        <v>0</v>
      </c>
      <c r="F4389">
        <v>1</v>
      </c>
      <c r="G4389">
        <v>12</v>
      </c>
      <c r="H4389">
        <v>0</v>
      </c>
      <c r="I4389">
        <v>18000</v>
      </c>
      <c r="J4389">
        <v>2</v>
      </c>
      <c r="K4389">
        <v>0</v>
      </c>
      <c r="L4389" s="4">
        <v>0.97791344072130149</v>
      </c>
      <c r="M4389" s="4">
        <v>2.2086559278698539E-2</v>
      </c>
      <c r="N4389">
        <v>10</v>
      </c>
    </row>
    <row r="4390" spans="1:14" x14ac:dyDescent="0.35">
      <c r="A4390" s="1">
        <v>2965</v>
      </c>
      <c r="B4390">
        <v>3</v>
      </c>
      <c r="C4390">
        <v>69</v>
      </c>
      <c r="D4390">
        <v>2</v>
      </c>
      <c r="E4390">
        <v>1</v>
      </c>
      <c r="F4390">
        <v>1</v>
      </c>
      <c r="G4390">
        <v>5</v>
      </c>
      <c r="H4390">
        <v>0</v>
      </c>
      <c r="I4390">
        <v>10053.35</v>
      </c>
      <c r="J4390">
        <v>21</v>
      </c>
      <c r="K4390">
        <v>0</v>
      </c>
      <c r="L4390" s="4">
        <v>0.97804840834495765</v>
      </c>
      <c r="M4390" s="4">
        <v>2.1951591655042402E-2</v>
      </c>
      <c r="N4390">
        <v>10</v>
      </c>
    </row>
    <row r="4391" spans="1:14" x14ac:dyDescent="0.35">
      <c r="A4391" s="1">
        <v>3119</v>
      </c>
      <c r="B4391">
        <v>2</v>
      </c>
      <c r="C4391">
        <v>65</v>
      </c>
      <c r="D4391">
        <v>5</v>
      </c>
      <c r="E4391">
        <v>0</v>
      </c>
      <c r="F4391">
        <v>3</v>
      </c>
      <c r="G4391">
        <v>3</v>
      </c>
      <c r="H4391">
        <v>3</v>
      </c>
      <c r="I4391">
        <v>0.01</v>
      </c>
      <c r="J4391">
        <v>4</v>
      </c>
      <c r="K4391">
        <v>0</v>
      </c>
      <c r="L4391" s="4">
        <v>0.97809994038313075</v>
      </c>
      <c r="M4391" s="4">
        <v>2.1900059616869218E-2</v>
      </c>
      <c r="N4391">
        <v>10</v>
      </c>
    </row>
    <row r="4392" spans="1:14" x14ac:dyDescent="0.35">
      <c r="A4392" s="1">
        <v>467</v>
      </c>
      <c r="B4392">
        <v>5</v>
      </c>
      <c r="C4392">
        <v>76</v>
      </c>
      <c r="D4392">
        <v>2</v>
      </c>
      <c r="E4392">
        <v>1</v>
      </c>
      <c r="F4392">
        <v>0</v>
      </c>
      <c r="G4392">
        <v>2</v>
      </c>
      <c r="H4392">
        <v>2</v>
      </c>
      <c r="I4392">
        <v>3000</v>
      </c>
      <c r="J4392">
        <v>5</v>
      </c>
      <c r="K4392">
        <v>0</v>
      </c>
      <c r="L4392" s="4">
        <v>0.97823736260566507</v>
      </c>
      <c r="M4392" s="4">
        <v>2.1762637394334889E-2</v>
      </c>
      <c r="N4392">
        <v>10</v>
      </c>
    </row>
    <row r="4393" spans="1:14" x14ac:dyDescent="0.35">
      <c r="A4393" s="1">
        <v>4244</v>
      </c>
      <c r="B4393">
        <v>2</v>
      </c>
      <c r="C4393">
        <v>64</v>
      </c>
      <c r="D4393">
        <v>2</v>
      </c>
      <c r="E4393">
        <v>1</v>
      </c>
      <c r="F4393">
        <v>3</v>
      </c>
      <c r="G4393">
        <v>3</v>
      </c>
      <c r="H4393">
        <v>0</v>
      </c>
      <c r="I4393">
        <v>10600</v>
      </c>
      <c r="J4393">
        <v>4</v>
      </c>
      <c r="K4393">
        <v>1</v>
      </c>
      <c r="L4393" s="4">
        <v>0.97825535888431314</v>
      </c>
      <c r="M4393" s="4">
        <v>2.174464111568682E-2</v>
      </c>
      <c r="N4393">
        <v>10</v>
      </c>
    </row>
    <row r="4394" spans="1:14" x14ac:dyDescent="0.35">
      <c r="A4394" s="1">
        <v>693</v>
      </c>
      <c r="B4394">
        <v>4</v>
      </c>
      <c r="C4394">
        <v>72</v>
      </c>
      <c r="D4394">
        <v>2</v>
      </c>
      <c r="E4394">
        <v>1</v>
      </c>
      <c r="F4394">
        <v>0</v>
      </c>
      <c r="G4394">
        <v>2</v>
      </c>
      <c r="H4394">
        <v>2</v>
      </c>
      <c r="I4394">
        <v>3000</v>
      </c>
      <c r="J4394">
        <v>3</v>
      </c>
      <c r="K4394">
        <v>0</v>
      </c>
      <c r="L4394" s="4">
        <v>0.97835609002619262</v>
      </c>
      <c r="M4394" s="4">
        <v>2.1643909973807419E-2</v>
      </c>
      <c r="N4394">
        <v>10</v>
      </c>
    </row>
    <row r="4395" spans="1:14" x14ac:dyDescent="0.35">
      <c r="A4395" s="1">
        <v>486</v>
      </c>
      <c r="B4395">
        <v>4</v>
      </c>
      <c r="C4395">
        <v>65</v>
      </c>
      <c r="D4395">
        <v>4</v>
      </c>
      <c r="E4395">
        <v>2</v>
      </c>
      <c r="F4395">
        <v>3</v>
      </c>
      <c r="G4395">
        <v>3</v>
      </c>
      <c r="H4395">
        <v>2</v>
      </c>
      <c r="I4395">
        <v>250</v>
      </c>
      <c r="J4395">
        <v>19</v>
      </c>
      <c r="K4395">
        <v>0</v>
      </c>
      <c r="L4395" s="4">
        <v>0.9783877971509799</v>
      </c>
      <c r="M4395" s="4">
        <v>2.1612202849020139E-2</v>
      </c>
      <c r="N4395">
        <v>10</v>
      </c>
    </row>
    <row r="4396" spans="1:14" x14ac:dyDescent="0.35">
      <c r="A4396" s="1">
        <v>3869</v>
      </c>
      <c r="B4396">
        <v>4</v>
      </c>
      <c r="C4396">
        <v>72</v>
      </c>
      <c r="D4396">
        <v>2</v>
      </c>
      <c r="E4396">
        <v>1</v>
      </c>
      <c r="F4396">
        <v>0</v>
      </c>
      <c r="G4396">
        <v>4</v>
      </c>
      <c r="H4396">
        <v>2</v>
      </c>
      <c r="I4396">
        <v>1500</v>
      </c>
      <c r="J4396">
        <v>5</v>
      </c>
      <c r="K4396">
        <v>0</v>
      </c>
      <c r="L4396" s="4">
        <v>0.97858414484545209</v>
      </c>
      <c r="M4396" s="4">
        <v>2.1415855154547941E-2</v>
      </c>
      <c r="N4396">
        <v>10</v>
      </c>
    </row>
    <row r="4397" spans="1:14" x14ac:dyDescent="0.35">
      <c r="A4397" s="1">
        <v>1345</v>
      </c>
      <c r="B4397">
        <v>5</v>
      </c>
      <c r="C4397">
        <v>72</v>
      </c>
      <c r="D4397">
        <v>1</v>
      </c>
      <c r="E4397">
        <v>2</v>
      </c>
      <c r="F4397">
        <v>3</v>
      </c>
      <c r="G4397">
        <v>3</v>
      </c>
      <c r="H4397">
        <v>1</v>
      </c>
      <c r="I4397">
        <v>32050</v>
      </c>
      <c r="J4397">
        <v>12</v>
      </c>
      <c r="K4397">
        <v>0</v>
      </c>
      <c r="L4397" s="4">
        <v>0.97864715557967097</v>
      </c>
      <c r="M4397" s="4">
        <v>2.1352844420329021E-2</v>
      </c>
      <c r="N4397">
        <v>10</v>
      </c>
    </row>
    <row r="4398" spans="1:14" x14ac:dyDescent="0.35">
      <c r="A4398" s="1">
        <v>1312</v>
      </c>
      <c r="B4398">
        <v>3</v>
      </c>
      <c r="C4398">
        <v>74</v>
      </c>
      <c r="D4398">
        <v>1</v>
      </c>
      <c r="E4398">
        <v>0</v>
      </c>
      <c r="F4398">
        <v>3</v>
      </c>
      <c r="G4398">
        <v>3</v>
      </c>
      <c r="H4398">
        <v>0</v>
      </c>
      <c r="I4398">
        <v>6053.35</v>
      </c>
      <c r="J4398">
        <v>5</v>
      </c>
      <c r="K4398">
        <v>0</v>
      </c>
      <c r="L4398" s="4">
        <v>0.97913683662784479</v>
      </c>
      <c r="M4398" s="4">
        <v>2.0863163372155259E-2</v>
      </c>
      <c r="N4398">
        <v>10</v>
      </c>
    </row>
    <row r="4399" spans="1:14" x14ac:dyDescent="0.35">
      <c r="A4399" s="1">
        <v>2148</v>
      </c>
      <c r="B4399">
        <v>4</v>
      </c>
      <c r="C4399">
        <v>69</v>
      </c>
      <c r="D4399">
        <v>2</v>
      </c>
      <c r="E4399">
        <v>2</v>
      </c>
      <c r="F4399">
        <v>1</v>
      </c>
      <c r="G4399">
        <v>7</v>
      </c>
      <c r="H4399">
        <v>0</v>
      </c>
      <c r="I4399">
        <v>16053.34</v>
      </c>
      <c r="J4399">
        <v>6</v>
      </c>
      <c r="K4399">
        <v>0</v>
      </c>
      <c r="L4399" s="4">
        <v>0.97954910887030011</v>
      </c>
      <c r="M4399" s="4">
        <v>2.0450891129699861E-2</v>
      </c>
      <c r="N4399">
        <v>10</v>
      </c>
    </row>
    <row r="4400" spans="1:14" x14ac:dyDescent="0.35">
      <c r="A4400" s="1">
        <v>1003</v>
      </c>
      <c r="B4400">
        <v>2</v>
      </c>
      <c r="C4400">
        <v>72</v>
      </c>
      <c r="D4400">
        <v>2</v>
      </c>
      <c r="E4400">
        <v>0</v>
      </c>
      <c r="F4400">
        <v>0</v>
      </c>
      <c r="G4400">
        <v>2</v>
      </c>
      <c r="H4400">
        <v>0</v>
      </c>
      <c r="I4400">
        <v>9600</v>
      </c>
      <c r="J4400">
        <v>28</v>
      </c>
      <c r="K4400">
        <v>0</v>
      </c>
      <c r="L4400" s="4">
        <v>0.97961426029301446</v>
      </c>
      <c r="M4400" s="4">
        <v>2.0385739706985571E-2</v>
      </c>
      <c r="N4400">
        <v>10</v>
      </c>
    </row>
    <row r="4401" spans="1:14" x14ac:dyDescent="0.35">
      <c r="A4401" s="1">
        <v>3151</v>
      </c>
      <c r="B4401">
        <v>2</v>
      </c>
      <c r="C4401">
        <v>67</v>
      </c>
      <c r="D4401">
        <v>5</v>
      </c>
      <c r="E4401">
        <v>0</v>
      </c>
      <c r="F4401">
        <v>3</v>
      </c>
      <c r="G4401">
        <v>3</v>
      </c>
      <c r="H4401">
        <v>2</v>
      </c>
      <c r="I4401">
        <v>1000</v>
      </c>
      <c r="J4401">
        <v>5</v>
      </c>
      <c r="K4401">
        <v>0</v>
      </c>
      <c r="L4401" s="4">
        <v>0.9796190282872671</v>
      </c>
      <c r="M4401" s="4">
        <v>2.038097171273287E-2</v>
      </c>
      <c r="N4401">
        <v>10</v>
      </c>
    </row>
    <row r="4402" spans="1:14" x14ac:dyDescent="0.35">
      <c r="A4402" s="1">
        <v>692</v>
      </c>
      <c r="B4402">
        <v>4</v>
      </c>
      <c r="C4402">
        <v>73</v>
      </c>
      <c r="D4402">
        <v>3</v>
      </c>
      <c r="E4402">
        <v>1</v>
      </c>
      <c r="F4402">
        <v>0</v>
      </c>
      <c r="G4402">
        <v>2</v>
      </c>
      <c r="H4402">
        <v>2</v>
      </c>
      <c r="I4402">
        <v>3000</v>
      </c>
      <c r="J4402">
        <v>18</v>
      </c>
      <c r="K4402">
        <v>0</v>
      </c>
      <c r="L4402" s="4">
        <v>0.97973426305791422</v>
      </c>
      <c r="M4402" s="4">
        <v>2.0265736942085819E-2</v>
      </c>
      <c r="N4402">
        <v>10</v>
      </c>
    </row>
    <row r="4403" spans="1:14" x14ac:dyDescent="0.35">
      <c r="A4403" s="1">
        <v>1518</v>
      </c>
      <c r="B4403">
        <v>4</v>
      </c>
      <c r="C4403">
        <v>68</v>
      </c>
      <c r="D4403">
        <v>4</v>
      </c>
      <c r="E4403">
        <v>2</v>
      </c>
      <c r="F4403">
        <v>1</v>
      </c>
      <c r="G4403">
        <v>7</v>
      </c>
      <c r="H4403">
        <v>0</v>
      </c>
      <c r="I4403">
        <v>5998.22</v>
      </c>
      <c r="J4403">
        <v>4</v>
      </c>
      <c r="K4403">
        <v>0</v>
      </c>
      <c r="L4403" s="4">
        <v>0.97977232712457729</v>
      </c>
      <c r="M4403" s="4">
        <v>2.022767287542265E-2</v>
      </c>
      <c r="N4403">
        <v>10</v>
      </c>
    </row>
    <row r="4404" spans="1:14" x14ac:dyDescent="0.35">
      <c r="A4404" s="1">
        <v>2610</v>
      </c>
      <c r="B4404">
        <v>4</v>
      </c>
      <c r="C4404">
        <v>74</v>
      </c>
      <c r="D4404">
        <v>1</v>
      </c>
      <c r="E4404">
        <v>1</v>
      </c>
      <c r="F4404">
        <v>3</v>
      </c>
      <c r="G4404">
        <v>3</v>
      </c>
      <c r="H4404">
        <v>0</v>
      </c>
      <c r="I4404">
        <v>12000</v>
      </c>
      <c r="J4404">
        <v>5</v>
      </c>
      <c r="K4404">
        <v>0</v>
      </c>
      <c r="L4404" s="4">
        <v>0.97998124499202244</v>
      </c>
      <c r="M4404" s="4">
        <v>2.001875500797759E-2</v>
      </c>
      <c r="N4404">
        <v>10</v>
      </c>
    </row>
    <row r="4405" spans="1:14" x14ac:dyDescent="0.35">
      <c r="A4405" s="1">
        <v>4237</v>
      </c>
      <c r="B4405">
        <v>6</v>
      </c>
      <c r="C4405">
        <v>76</v>
      </c>
      <c r="D4405">
        <v>4</v>
      </c>
      <c r="E4405">
        <v>2</v>
      </c>
      <c r="F4405">
        <v>3</v>
      </c>
      <c r="G4405">
        <v>3</v>
      </c>
      <c r="H4405">
        <v>0</v>
      </c>
      <c r="I4405">
        <v>12053.35</v>
      </c>
      <c r="J4405">
        <v>6</v>
      </c>
      <c r="K4405">
        <v>0</v>
      </c>
      <c r="L4405" s="4">
        <v>0.98009718056330919</v>
      </c>
      <c r="M4405" s="4">
        <v>1.9902819436690849E-2</v>
      </c>
      <c r="N4405">
        <v>10</v>
      </c>
    </row>
    <row r="4406" spans="1:14" x14ac:dyDescent="0.35">
      <c r="A4406" s="1">
        <v>3594</v>
      </c>
      <c r="B4406">
        <v>3</v>
      </c>
      <c r="C4406">
        <v>69</v>
      </c>
      <c r="D4406">
        <v>3</v>
      </c>
      <c r="E4406">
        <v>1</v>
      </c>
      <c r="F4406">
        <v>0</v>
      </c>
      <c r="G4406">
        <v>4</v>
      </c>
      <c r="H4406">
        <v>2</v>
      </c>
      <c r="I4406">
        <v>1000</v>
      </c>
      <c r="J4406">
        <v>8</v>
      </c>
      <c r="K4406">
        <v>0</v>
      </c>
      <c r="L4406" s="4">
        <v>0.98032284213284349</v>
      </c>
      <c r="M4406" s="4">
        <v>1.9677157867156521E-2</v>
      </c>
      <c r="N4406">
        <v>10</v>
      </c>
    </row>
    <row r="4407" spans="1:14" x14ac:dyDescent="0.35">
      <c r="A4407" s="1">
        <v>4210</v>
      </c>
      <c r="B4407">
        <v>4</v>
      </c>
      <c r="C4407">
        <v>72</v>
      </c>
      <c r="D4407">
        <v>1</v>
      </c>
      <c r="E4407">
        <v>1</v>
      </c>
      <c r="F4407">
        <v>3</v>
      </c>
      <c r="G4407">
        <v>3</v>
      </c>
      <c r="H4407">
        <v>3</v>
      </c>
      <c r="I4407">
        <v>0.01</v>
      </c>
      <c r="J4407">
        <v>8</v>
      </c>
      <c r="K4407">
        <v>0</v>
      </c>
      <c r="L4407" s="4">
        <v>0.98050730767297123</v>
      </c>
      <c r="M4407" s="4">
        <v>1.9492692327028761E-2</v>
      </c>
      <c r="N4407">
        <v>10</v>
      </c>
    </row>
    <row r="4408" spans="1:14" x14ac:dyDescent="0.35">
      <c r="A4408" s="1">
        <v>3735</v>
      </c>
      <c r="B4408">
        <v>5</v>
      </c>
      <c r="C4408">
        <v>75</v>
      </c>
      <c r="D4408">
        <v>5</v>
      </c>
      <c r="E4408">
        <v>1</v>
      </c>
      <c r="F4408">
        <v>3</v>
      </c>
      <c r="G4408">
        <v>3</v>
      </c>
      <c r="H4408">
        <v>2</v>
      </c>
      <c r="I4408">
        <v>1000</v>
      </c>
      <c r="J4408">
        <v>5</v>
      </c>
      <c r="K4408">
        <v>0</v>
      </c>
      <c r="L4408" s="4">
        <v>0.98051203053855762</v>
      </c>
      <c r="M4408" s="4">
        <v>1.9487969461442371E-2</v>
      </c>
      <c r="N4408">
        <v>10</v>
      </c>
    </row>
    <row r="4409" spans="1:14" x14ac:dyDescent="0.35">
      <c r="A4409" s="1">
        <v>3517</v>
      </c>
      <c r="B4409">
        <v>4</v>
      </c>
      <c r="C4409">
        <v>73</v>
      </c>
      <c r="D4409">
        <v>1</v>
      </c>
      <c r="E4409">
        <v>1</v>
      </c>
      <c r="F4409">
        <v>3</v>
      </c>
      <c r="G4409">
        <v>3</v>
      </c>
      <c r="H4409">
        <v>2</v>
      </c>
      <c r="I4409">
        <v>500</v>
      </c>
      <c r="J4409">
        <v>12</v>
      </c>
      <c r="K4409">
        <v>0</v>
      </c>
      <c r="L4409" s="4">
        <v>0.9807016151740362</v>
      </c>
      <c r="M4409" s="4">
        <v>1.9298384825963761E-2</v>
      </c>
      <c r="N4409">
        <v>10</v>
      </c>
    </row>
    <row r="4410" spans="1:14" x14ac:dyDescent="0.35">
      <c r="A4410" s="1">
        <v>3441</v>
      </c>
      <c r="B4410">
        <v>5</v>
      </c>
      <c r="C4410">
        <v>79</v>
      </c>
      <c r="D4410">
        <v>2</v>
      </c>
      <c r="E4410">
        <v>1</v>
      </c>
      <c r="F4410">
        <v>0</v>
      </c>
      <c r="G4410">
        <v>11</v>
      </c>
      <c r="H4410">
        <v>0</v>
      </c>
      <c r="I4410">
        <v>12000</v>
      </c>
      <c r="J4410">
        <v>1</v>
      </c>
      <c r="K4410">
        <v>0</v>
      </c>
      <c r="L4410" s="4">
        <v>0.98088721381018484</v>
      </c>
      <c r="M4410" s="4">
        <v>1.9112786189815111E-2</v>
      </c>
      <c r="N4410">
        <v>10</v>
      </c>
    </row>
    <row r="4411" spans="1:14" x14ac:dyDescent="0.35">
      <c r="A4411" s="1">
        <v>3495</v>
      </c>
      <c r="B4411">
        <v>4</v>
      </c>
      <c r="C4411">
        <v>74</v>
      </c>
      <c r="D4411">
        <v>2</v>
      </c>
      <c r="E4411">
        <v>1</v>
      </c>
      <c r="F4411">
        <v>3</v>
      </c>
      <c r="G4411">
        <v>8</v>
      </c>
      <c r="H4411">
        <v>0</v>
      </c>
      <c r="I4411">
        <v>6000</v>
      </c>
      <c r="J4411">
        <v>2</v>
      </c>
      <c r="K4411">
        <v>0</v>
      </c>
      <c r="L4411" s="4">
        <v>0.98125924679881216</v>
      </c>
      <c r="M4411" s="4">
        <v>1.8740753201187791E-2</v>
      </c>
      <c r="N4411">
        <v>10</v>
      </c>
    </row>
    <row r="4412" spans="1:14" x14ac:dyDescent="0.35">
      <c r="A4412" s="1">
        <v>1361</v>
      </c>
      <c r="B4412">
        <v>4</v>
      </c>
      <c r="C4412">
        <v>75</v>
      </c>
      <c r="D4412">
        <v>3</v>
      </c>
      <c r="E4412">
        <v>1</v>
      </c>
      <c r="F4412">
        <v>1</v>
      </c>
      <c r="G4412">
        <v>7</v>
      </c>
      <c r="H4412">
        <v>0</v>
      </c>
      <c r="I4412">
        <v>15000</v>
      </c>
      <c r="J4412">
        <v>5</v>
      </c>
      <c r="K4412">
        <v>0</v>
      </c>
      <c r="L4412" s="4">
        <v>0.98136525862201052</v>
      </c>
      <c r="M4412" s="4">
        <v>1.8634741377989511E-2</v>
      </c>
      <c r="N4412">
        <v>10</v>
      </c>
    </row>
    <row r="4413" spans="1:14" x14ac:dyDescent="0.35">
      <c r="A4413" s="1">
        <v>4322</v>
      </c>
      <c r="B4413">
        <v>5</v>
      </c>
      <c r="C4413">
        <v>77</v>
      </c>
      <c r="D4413">
        <v>4</v>
      </c>
      <c r="E4413">
        <v>1</v>
      </c>
      <c r="F4413">
        <v>3</v>
      </c>
      <c r="G4413">
        <v>3</v>
      </c>
      <c r="H4413">
        <v>2</v>
      </c>
      <c r="I4413">
        <v>3000</v>
      </c>
      <c r="J4413">
        <v>23</v>
      </c>
      <c r="K4413">
        <v>0</v>
      </c>
      <c r="L4413" s="4">
        <v>0.98176427675285127</v>
      </c>
      <c r="M4413" s="4">
        <v>1.8235723247148741E-2</v>
      </c>
      <c r="N4413">
        <v>10</v>
      </c>
    </row>
    <row r="4414" spans="1:14" x14ac:dyDescent="0.35">
      <c r="A4414" s="1">
        <v>2111</v>
      </c>
      <c r="B4414">
        <v>3</v>
      </c>
      <c r="C4414">
        <v>66</v>
      </c>
      <c r="D4414">
        <v>3</v>
      </c>
      <c r="E4414">
        <v>2</v>
      </c>
      <c r="F4414">
        <v>3</v>
      </c>
      <c r="G4414">
        <v>3</v>
      </c>
      <c r="H4414">
        <v>0</v>
      </c>
      <c r="I4414">
        <v>10053.35</v>
      </c>
      <c r="J4414">
        <v>8</v>
      </c>
      <c r="K4414">
        <v>0</v>
      </c>
      <c r="L4414" s="4">
        <v>0.98202354852915896</v>
      </c>
      <c r="M4414" s="4">
        <v>1.7976451470840999E-2</v>
      </c>
      <c r="N4414">
        <v>10</v>
      </c>
    </row>
    <row r="4415" spans="1:14" x14ac:dyDescent="0.35">
      <c r="A4415" s="1">
        <v>3036</v>
      </c>
      <c r="B4415">
        <v>3</v>
      </c>
      <c r="C4415">
        <v>72</v>
      </c>
      <c r="D4415">
        <v>3</v>
      </c>
      <c r="E4415">
        <v>1</v>
      </c>
      <c r="F4415">
        <v>0</v>
      </c>
      <c r="G4415">
        <v>4</v>
      </c>
      <c r="H4415">
        <v>1</v>
      </c>
      <c r="I4415">
        <v>25001.7</v>
      </c>
      <c r="J4415">
        <v>4</v>
      </c>
      <c r="K4415">
        <v>0</v>
      </c>
      <c r="L4415" s="4">
        <v>0.98221405287227936</v>
      </c>
      <c r="M4415" s="4">
        <v>1.7785947127720591E-2</v>
      </c>
      <c r="N4415">
        <v>10</v>
      </c>
    </row>
    <row r="4416" spans="1:14" x14ac:dyDescent="0.35">
      <c r="A4416" s="1">
        <v>1535</v>
      </c>
      <c r="B4416">
        <v>6</v>
      </c>
      <c r="C4416">
        <v>78</v>
      </c>
      <c r="D4416">
        <v>2</v>
      </c>
      <c r="E4416">
        <v>2</v>
      </c>
      <c r="F4416">
        <v>0</v>
      </c>
      <c r="G4416">
        <v>11</v>
      </c>
      <c r="H4416">
        <v>2</v>
      </c>
      <c r="I4416">
        <v>3000</v>
      </c>
      <c r="J4416">
        <v>2</v>
      </c>
      <c r="K4416">
        <v>0</v>
      </c>
      <c r="L4416" s="4">
        <v>0.98255193098392968</v>
      </c>
      <c r="M4416" s="4">
        <v>1.7448069016070371E-2</v>
      </c>
      <c r="N4416">
        <v>10</v>
      </c>
    </row>
    <row r="4417" spans="1:14" x14ac:dyDescent="0.35">
      <c r="A4417" s="1">
        <v>4431</v>
      </c>
      <c r="B4417">
        <v>4</v>
      </c>
      <c r="C4417">
        <v>75</v>
      </c>
      <c r="D4417">
        <v>0</v>
      </c>
      <c r="E4417">
        <v>1</v>
      </c>
      <c r="F4417">
        <v>3</v>
      </c>
      <c r="G4417">
        <v>3</v>
      </c>
      <c r="H4417">
        <v>3</v>
      </c>
      <c r="I4417">
        <v>0.01</v>
      </c>
      <c r="J4417">
        <v>8</v>
      </c>
      <c r="K4417">
        <v>0</v>
      </c>
      <c r="L4417" s="4">
        <v>0.98324643616647867</v>
      </c>
      <c r="M4417" s="4">
        <v>1.6753563833521341E-2</v>
      </c>
      <c r="N4417">
        <v>10</v>
      </c>
    </row>
    <row r="4418" spans="1:14" x14ac:dyDescent="0.35">
      <c r="A4418" s="1">
        <v>448</v>
      </c>
      <c r="B4418">
        <v>3</v>
      </c>
      <c r="C4418">
        <v>75</v>
      </c>
      <c r="D4418">
        <v>5</v>
      </c>
      <c r="E4418">
        <v>0</v>
      </c>
      <c r="F4418">
        <v>4</v>
      </c>
      <c r="G4418">
        <v>9</v>
      </c>
      <c r="H4418">
        <v>0</v>
      </c>
      <c r="I4418">
        <v>6000</v>
      </c>
      <c r="J4418">
        <v>2</v>
      </c>
      <c r="K4418">
        <v>0</v>
      </c>
      <c r="L4418" s="4">
        <v>0.98336337909162064</v>
      </c>
      <c r="M4418" s="4">
        <v>1.6636620908379401E-2</v>
      </c>
      <c r="N4418">
        <v>10</v>
      </c>
    </row>
    <row r="4419" spans="1:14" x14ac:dyDescent="0.35">
      <c r="A4419" s="1">
        <v>656</v>
      </c>
      <c r="B4419">
        <v>4</v>
      </c>
      <c r="C4419">
        <v>77</v>
      </c>
      <c r="D4419">
        <v>1</v>
      </c>
      <c r="E4419">
        <v>1</v>
      </c>
      <c r="F4419">
        <v>3</v>
      </c>
      <c r="G4419">
        <v>3</v>
      </c>
      <c r="H4419">
        <v>0</v>
      </c>
      <c r="I4419">
        <v>6000</v>
      </c>
      <c r="J4419">
        <v>5</v>
      </c>
      <c r="K4419">
        <v>0</v>
      </c>
      <c r="L4419" s="4">
        <v>0.98339083696685281</v>
      </c>
      <c r="M4419" s="4">
        <v>1.66091630331472E-2</v>
      </c>
      <c r="N4419">
        <v>10</v>
      </c>
    </row>
    <row r="4420" spans="1:14" x14ac:dyDescent="0.35">
      <c r="A4420" s="1">
        <v>42</v>
      </c>
      <c r="B4420">
        <v>4</v>
      </c>
      <c r="C4420">
        <v>74</v>
      </c>
      <c r="D4420">
        <v>5</v>
      </c>
      <c r="E4420">
        <v>1</v>
      </c>
      <c r="F4420">
        <v>3</v>
      </c>
      <c r="G4420">
        <v>3</v>
      </c>
      <c r="H4420">
        <v>2</v>
      </c>
      <c r="I4420">
        <v>1500</v>
      </c>
      <c r="J4420">
        <v>13</v>
      </c>
      <c r="K4420">
        <v>0</v>
      </c>
      <c r="L4420" s="4">
        <v>0.9835482368060241</v>
      </c>
      <c r="M4420" s="4">
        <v>1.645176319397593E-2</v>
      </c>
      <c r="N4420">
        <v>10</v>
      </c>
    </row>
    <row r="4421" spans="1:14" x14ac:dyDescent="0.35">
      <c r="A4421" s="1">
        <v>1379</v>
      </c>
      <c r="B4421">
        <v>4</v>
      </c>
      <c r="C4421">
        <v>77</v>
      </c>
      <c r="D4421">
        <v>1</v>
      </c>
      <c r="E4421">
        <v>1</v>
      </c>
      <c r="F4421">
        <v>3</v>
      </c>
      <c r="G4421">
        <v>8</v>
      </c>
      <c r="H4421">
        <v>0</v>
      </c>
      <c r="I4421">
        <v>12000</v>
      </c>
      <c r="J4421">
        <v>9</v>
      </c>
      <c r="K4421">
        <v>0</v>
      </c>
      <c r="L4421" s="4">
        <v>0.98359602646903088</v>
      </c>
      <c r="M4421" s="4">
        <v>1.6403973530969122E-2</v>
      </c>
      <c r="N4421">
        <v>10</v>
      </c>
    </row>
    <row r="4422" spans="1:14" x14ac:dyDescent="0.35">
      <c r="A4422" s="1">
        <v>1156</v>
      </c>
      <c r="B4422">
        <v>3</v>
      </c>
      <c r="C4422">
        <v>78</v>
      </c>
      <c r="D4422">
        <v>3</v>
      </c>
      <c r="E4422">
        <v>0</v>
      </c>
      <c r="F4422">
        <v>1</v>
      </c>
      <c r="G4422">
        <v>12</v>
      </c>
      <c r="H4422">
        <v>0</v>
      </c>
      <c r="I4422">
        <v>9035.4599999999991</v>
      </c>
      <c r="J4422">
        <v>8</v>
      </c>
      <c r="K4422">
        <v>0</v>
      </c>
      <c r="L4422" s="4">
        <v>0.98410739696220206</v>
      </c>
      <c r="M4422" s="4">
        <v>1.5892603037797989E-2</v>
      </c>
      <c r="N4422">
        <v>10</v>
      </c>
    </row>
    <row r="4423" spans="1:14" x14ac:dyDescent="0.35">
      <c r="A4423" s="1">
        <v>1714</v>
      </c>
      <c r="B4423">
        <v>3</v>
      </c>
      <c r="C4423">
        <v>77</v>
      </c>
      <c r="D4423">
        <v>2</v>
      </c>
      <c r="E4423">
        <v>0</v>
      </c>
      <c r="F4423">
        <v>3</v>
      </c>
      <c r="G4423">
        <v>3</v>
      </c>
      <c r="H4423">
        <v>2</v>
      </c>
      <c r="I4423">
        <v>3000</v>
      </c>
      <c r="J4423">
        <v>19</v>
      </c>
      <c r="K4423">
        <v>0</v>
      </c>
      <c r="L4423" s="4">
        <v>0.98417886831347723</v>
      </c>
      <c r="M4423" s="4">
        <v>1.5821131686522719E-2</v>
      </c>
      <c r="N4423">
        <v>10</v>
      </c>
    </row>
    <row r="4424" spans="1:14" x14ac:dyDescent="0.35">
      <c r="A4424" s="1">
        <v>3670</v>
      </c>
      <c r="B4424">
        <v>5</v>
      </c>
      <c r="C4424">
        <v>76</v>
      </c>
      <c r="D4424">
        <v>4</v>
      </c>
      <c r="E4424">
        <v>2</v>
      </c>
      <c r="F4424">
        <v>0</v>
      </c>
      <c r="G4424">
        <v>4</v>
      </c>
      <c r="H4424">
        <v>2</v>
      </c>
      <c r="I4424">
        <v>3000</v>
      </c>
      <c r="J4424">
        <v>11</v>
      </c>
      <c r="K4424">
        <v>0</v>
      </c>
      <c r="L4424" s="4">
        <v>0.98458541289597012</v>
      </c>
      <c r="M4424" s="4">
        <v>1.5414587104029841E-2</v>
      </c>
      <c r="N4424">
        <v>10</v>
      </c>
    </row>
    <row r="4425" spans="1:14" x14ac:dyDescent="0.35">
      <c r="A4425" s="1">
        <v>50</v>
      </c>
      <c r="B4425">
        <v>4</v>
      </c>
      <c r="C4425">
        <v>71</v>
      </c>
      <c r="D4425">
        <v>5</v>
      </c>
      <c r="E4425">
        <v>2</v>
      </c>
      <c r="F4425">
        <v>0</v>
      </c>
      <c r="G4425">
        <v>11</v>
      </c>
      <c r="H4425">
        <v>2</v>
      </c>
      <c r="I4425">
        <v>2500</v>
      </c>
      <c r="J4425">
        <v>6</v>
      </c>
      <c r="K4425">
        <v>0</v>
      </c>
      <c r="L4425" s="4">
        <v>0.98480854397763007</v>
      </c>
      <c r="M4425" s="4">
        <v>1.519145602236995E-2</v>
      </c>
      <c r="N4425">
        <v>10</v>
      </c>
    </row>
    <row r="4426" spans="1:14" x14ac:dyDescent="0.35">
      <c r="A4426" s="1">
        <v>1354</v>
      </c>
      <c r="B4426">
        <v>3</v>
      </c>
      <c r="C4426">
        <v>73</v>
      </c>
      <c r="D4426">
        <v>0</v>
      </c>
      <c r="E4426">
        <v>1</v>
      </c>
      <c r="F4426">
        <v>3</v>
      </c>
      <c r="G4426">
        <v>8</v>
      </c>
      <c r="H4426">
        <v>2</v>
      </c>
      <c r="I4426">
        <v>1000</v>
      </c>
      <c r="J4426">
        <v>4</v>
      </c>
      <c r="K4426">
        <v>0</v>
      </c>
      <c r="L4426" s="4">
        <v>0.98497029108132028</v>
      </c>
      <c r="M4426" s="4">
        <v>1.5029708918679739E-2</v>
      </c>
      <c r="N4426">
        <v>10</v>
      </c>
    </row>
    <row r="4427" spans="1:14" x14ac:dyDescent="0.35">
      <c r="A4427" s="1">
        <v>3959</v>
      </c>
      <c r="B4427">
        <v>5</v>
      </c>
      <c r="C4427">
        <v>78</v>
      </c>
      <c r="D4427">
        <v>3</v>
      </c>
      <c r="E4427">
        <v>2</v>
      </c>
      <c r="F4427">
        <v>0</v>
      </c>
      <c r="G4427">
        <v>4</v>
      </c>
      <c r="H4427">
        <v>2</v>
      </c>
      <c r="I4427">
        <v>1000</v>
      </c>
      <c r="J4427">
        <v>18</v>
      </c>
      <c r="K4427">
        <v>0</v>
      </c>
      <c r="L4427" s="4">
        <v>0.98586935730648106</v>
      </c>
      <c r="M4427" s="4">
        <v>1.413064269351891E-2</v>
      </c>
      <c r="N4427">
        <v>10</v>
      </c>
    </row>
    <row r="4428" spans="1:14" x14ac:dyDescent="0.35">
      <c r="A4428" s="1">
        <v>2651</v>
      </c>
      <c r="B4428">
        <v>2</v>
      </c>
      <c r="C4428">
        <v>75</v>
      </c>
      <c r="D4428">
        <v>4</v>
      </c>
      <c r="E4428">
        <v>0</v>
      </c>
      <c r="F4428">
        <v>2</v>
      </c>
      <c r="G4428">
        <v>1</v>
      </c>
      <c r="H4428">
        <v>2</v>
      </c>
      <c r="I4428">
        <v>4085</v>
      </c>
      <c r="J4428">
        <v>23</v>
      </c>
      <c r="K4428">
        <v>0</v>
      </c>
      <c r="L4428" s="4">
        <v>0.98607632307785942</v>
      </c>
      <c r="M4428" s="4">
        <v>1.3923676922140631E-2</v>
      </c>
      <c r="N4428">
        <v>10</v>
      </c>
    </row>
    <row r="4429" spans="1:14" x14ac:dyDescent="0.35">
      <c r="A4429" s="1">
        <v>2169</v>
      </c>
      <c r="B4429">
        <v>2</v>
      </c>
      <c r="C4429">
        <v>73</v>
      </c>
      <c r="D4429">
        <v>5</v>
      </c>
      <c r="E4429">
        <v>0</v>
      </c>
      <c r="F4429">
        <v>3</v>
      </c>
      <c r="G4429">
        <v>8</v>
      </c>
      <c r="H4429">
        <v>2</v>
      </c>
      <c r="I4429">
        <v>2000</v>
      </c>
      <c r="J4429">
        <v>0</v>
      </c>
      <c r="K4429">
        <v>0</v>
      </c>
      <c r="L4429" s="4">
        <v>0.9861546666451374</v>
      </c>
      <c r="M4429" s="4">
        <v>1.3845333354862641E-2</v>
      </c>
      <c r="N4429">
        <v>10</v>
      </c>
    </row>
    <row r="4430" spans="1:14" x14ac:dyDescent="0.35">
      <c r="A4430" s="1">
        <v>2595</v>
      </c>
      <c r="B4430">
        <v>2</v>
      </c>
      <c r="C4430">
        <v>75</v>
      </c>
      <c r="D4430">
        <v>5</v>
      </c>
      <c r="E4430">
        <v>0</v>
      </c>
      <c r="F4430">
        <v>0</v>
      </c>
      <c r="G4430">
        <v>4</v>
      </c>
      <c r="H4430">
        <v>2</v>
      </c>
      <c r="I4430">
        <v>50</v>
      </c>
      <c r="J4430">
        <v>7</v>
      </c>
      <c r="K4430">
        <v>0</v>
      </c>
      <c r="L4430" s="4">
        <v>0.98625346701971117</v>
      </c>
      <c r="M4430" s="4">
        <v>1.3746532980288859E-2</v>
      </c>
      <c r="N4430">
        <v>10</v>
      </c>
    </row>
    <row r="4431" spans="1:14" x14ac:dyDescent="0.35">
      <c r="A4431" s="1">
        <v>244</v>
      </c>
      <c r="B4431">
        <v>3</v>
      </c>
      <c r="C4431">
        <v>70</v>
      </c>
      <c r="D4431">
        <v>2</v>
      </c>
      <c r="E4431">
        <v>2</v>
      </c>
      <c r="F4431">
        <v>1</v>
      </c>
      <c r="G4431">
        <v>7</v>
      </c>
      <c r="H4431">
        <v>2</v>
      </c>
      <c r="I4431">
        <v>4000</v>
      </c>
      <c r="J4431">
        <v>5</v>
      </c>
      <c r="K4431">
        <v>0</v>
      </c>
      <c r="L4431" s="4">
        <v>0.98636900516429948</v>
      </c>
      <c r="M4431" s="4">
        <v>1.3630994835700461E-2</v>
      </c>
      <c r="N4431">
        <v>10</v>
      </c>
    </row>
    <row r="4432" spans="1:14" x14ac:dyDescent="0.35">
      <c r="A4432" s="1">
        <v>2192</v>
      </c>
      <c r="B4432">
        <v>4</v>
      </c>
      <c r="C4432">
        <v>73</v>
      </c>
      <c r="D4432">
        <v>4</v>
      </c>
      <c r="E4432">
        <v>2</v>
      </c>
      <c r="F4432">
        <v>2</v>
      </c>
      <c r="G4432">
        <v>6</v>
      </c>
      <c r="H4432">
        <v>2</v>
      </c>
      <c r="I4432">
        <v>3052.66</v>
      </c>
      <c r="J4432">
        <v>9</v>
      </c>
      <c r="K4432">
        <v>0</v>
      </c>
      <c r="L4432" s="4">
        <v>0.98648589810153176</v>
      </c>
      <c r="M4432" s="4">
        <v>1.351410189846828E-2</v>
      </c>
      <c r="N4432">
        <v>10</v>
      </c>
    </row>
    <row r="4433" spans="1:14" x14ac:dyDescent="0.35">
      <c r="A4433" s="1">
        <v>2578</v>
      </c>
      <c r="B4433">
        <v>5</v>
      </c>
      <c r="C4433">
        <v>78</v>
      </c>
      <c r="D4433">
        <v>5</v>
      </c>
      <c r="E4433">
        <v>2</v>
      </c>
      <c r="F4433">
        <v>0</v>
      </c>
      <c r="G4433">
        <v>4</v>
      </c>
      <c r="H4433">
        <v>2</v>
      </c>
      <c r="I4433">
        <v>2035.1</v>
      </c>
      <c r="J4433">
        <v>5</v>
      </c>
      <c r="K4433">
        <v>0</v>
      </c>
      <c r="L4433" s="4">
        <v>0.98678136726285093</v>
      </c>
      <c r="M4433" s="4">
        <v>1.321863273714903E-2</v>
      </c>
      <c r="N4433">
        <v>10</v>
      </c>
    </row>
    <row r="4434" spans="1:14" x14ac:dyDescent="0.35">
      <c r="A4434" s="1">
        <v>1983</v>
      </c>
      <c r="B4434">
        <v>2</v>
      </c>
      <c r="C4434">
        <v>67</v>
      </c>
      <c r="D4434">
        <v>0</v>
      </c>
      <c r="E4434">
        <v>2</v>
      </c>
      <c r="F4434">
        <v>0</v>
      </c>
      <c r="G4434">
        <v>11</v>
      </c>
      <c r="H4434">
        <v>3</v>
      </c>
      <c r="I4434">
        <v>0.01</v>
      </c>
      <c r="J4434">
        <v>8</v>
      </c>
      <c r="K4434">
        <v>0</v>
      </c>
      <c r="L4434" s="4">
        <v>0.98703444793901263</v>
      </c>
      <c r="M4434" s="4">
        <v>1.2965552060987351E-2</v>
      </c>
      <c r="N4434">
        <v>10</v>
      </c>
    </row>
    <row r="4435" spans="1:14" x14ac:dyDescent="0.35">
      <c r="A4435" s="1">
        <v>543</v>
      </c>
      <c r="B4435">
        <v>4</v>
      </c>
      <c r="C4435">
        <v>74</v>
      </c>
      <c r="D4435">
        <v>4</v>
      </c>
      <c r="E4435">
        <v>2</v>
      </c>
      <c r="F4435">
        <v>3</v>
      </c>
      <c r="G4435">
        <v>3</v>
      </c>
      <c r="H4435">
        <v>2</v>
      </c>
      <c r="I4435">
        <v>1452.75</v>
      </c>
      <c r="J4435">
        <v>31</v>
      </c>
      <c r="K4435">
        <v>0</v>
      </c>
      <c r="L4435" s="4">
        <v>0.98709118188330103</v>
      </c>
      <c r="M4435" s="4">
        <v>1.290881811669899E-2</v>
      </c>
      <c r="N4435">
        <v>10</v>
      </c>
    </row>
    <row r="4436" spans="1:14" x14ac:dyDescent="0.35">
      <c r="A4436" s="1">
        <v>1317</v>
      </c>
      <c r="B4436">
        <v>4</v>
      </c>
      <c r="C4436">
        <v>74</v>
      </c>
      <c r="D4436">
        <v>3</v>
      </c>
      <c r="E4436">
        <v>2</v>
      </c>
      <c r="F4436">
        <v>3</v>
      </c>
      <c r="G4436">
        <v>3</v>
      </c>
      <c r="H4436">
        <v>2</v>
      </c>
      <c r="I4436">
        <v>4035.57</v>
      </c>
      <c r="J4436">
        <v>6</v>
      </c>
      <c r="K4436">
        <v>0</v>
      </c>
      <c r="L4436" s="4">
        <v>0.98711234845402251</v>
      </c>
      <c r="M4436" s="4">
        <v>1.288765154597751E-2</v>
      </c>
      <c r="N4436">
        <v>10</v>
      </c>
    </row>
    <row r="4437" spans="1:14" x14ac:dyDescent="0.35">
      <c r="A4437" s="1">
        <v>664</v>
      </c>
      <c r="B4437">
        <v>3</v>
      </c>
      <c r="C4437">
        <v>77</v>
      </c>
      <c r="D4437">
        <v>2</v>
      </c>
      <c r="E4437">
        <v>1</v>
      </c>
      <c r="F4437">
        <v>3</v>
      </c>
      <c r="G4437">
        <v>3</v>
      </c>
      <c r="H4437">
        <v>0</v>
      </c>
      <c r="I4437">
        <v>12000</v>
      </c>
      <c r="J4437">
        <v>2</v>
      </c>
      <c r="K4437">
        <v>0</v>
      </c>
      <c r="L4437" s="4">
        <v>0.9871978637858394</v>
      </c>
      <c r="M4437" s="4">
        <v>1.2802136214160599E-2</v>
      </c>
      <c r="N4437">
        <v>10</v>
      </c>
    </row>
    <row r="4438" spans="1:14" x14ac:dyDescent="0.35">
      <c r="A4438" s="1">
        <v>4328</v>
      </c>
      <c r="B4438">
        <v>2</v>
      </c>
      <c r="C4438">
        <v>66</v>
      </c>
      <c r="D4438">
        <v>3</v>
      </c>
      <c r="E4438">
        <v>2</v>
      </c>
      <c r="F4438">
        <v>3</v>
      </c>
      <c r="G4438">
        <v>8</v>
      </c>
      <c r="H4438">
        <v>2</v>
      </c>
      <c r="I4438">
        <v>1000</v>
      </c>
      <c r="J4438">
        <v>5</v>
      </c>
      <c r="K4438">
        <v>0</v>
      </c>
      <c r="L4438" s="4">
        <v>0.98760734331240807</v>
      </c>
      <c r="M4438" s="4">
        <v>1.2392656687591879E-2</v>
      </c>
      <c r="N4438">
        <v>10</v>
      </c>
    </row>
    <row r="4439" spans="1:14" x14ac:dyDescent="0.35">
      <c r="A4439" s="1">
        <v>2299</v>
      </c>
      <c r="B4439">
        <v>3</v>
      </c>
      <c r="C4439">
        <v>73</v>
      </c>
      <c r="D4439">
        <v>4</v>
      </c>
      <c r="E4439">
        <v>2</v>
      </c>
      <c r="F4439">
        <v>0</v>
      </c>
      <c r="G4439">
        <v>4</v>
      </c>
      <c r="H4439">
        <v>0</v>
      </c>
      <c r="I4439">
        <v>6000</v>
      </c>
      <c r="J4439">
        <v>2</v>
      </c>
      <c r="K4439">
        <v>0</v>
      </c>
      <c r="L4439" s="4">
        <v>0.98766041985720787</v>
      </c>
      <c r="M4439" s="4">
        <v>1.233958014279209E-2</v>
      </c>
      <c r="N4439">
        <v>10</v>
      </c>
    </row>
    <row r="4440" spans="1:14" x14ac:dyDescent="0.35">
      <c r="A4440" s="1">
        <v>3059</v>
      </c>
      <c r="B4440">
        <v>3</v>
      </c>
      <c r="C4440">
        <v>79</v>
      </c>
      <c r="D4440">
        <v>4</v>
      </c>
      <c r="E4440">
        <v>1</v>
      </c>
      <c r="F4440">
        <v>3</v>
      </c>
      <c r="G4440">
        <v>3</v>
      </c>
      <c r="H4440">
        <v>0</v>
      </c>
      <c r="I4440">
        <v>5420</v>
      </c>
      <c r="J4440">
        <v>20</v>
      </c>
      <c r="K4440">
        <v>0</v>
      </c>
      <c r="L4440" s="4">
        <v>0.98907462234273502</v>
      </c>
      <c r="M4440" s="4">
        <v>1.0925377657264951E-2</v>
      </c>
      <c r="N4440">
        <v>10</v>
      </c>
    </row>
    <row r="4441" spans="1:14" x14ac:dyDescent="0.35">
      <c r="A4441" s="1">
        <v>3173</v>
      </c>
      <c r="B4441">
        <v>4</v>
      </c>
      <c r="C4441">
        <v>79</v>
      </c>
      <c r="D4441">
        <v>3</v>
      </c>
      <c r="E4441">
        <v>2</v>
      </c>
      <c r="F4441">
        <v>1</v>
      </c>
      <c r="G4441">
        <v>7</v>
      </c>
      <c r="H4441">
        <v>0</v>
      </c>
      <c r="I4441">
        <v>10136</v>
      </c>
      <c r="J4441">
        <v>2</v>
      </c>
      <c r="K4441">
        <v>0</v>
      </c>
      <c r="L4441" s="4">
        <v>0.98914031509853284</v>
      </c>
      <c r="M4441" s="4">
        <v>1.085968490146721E-2</v>
      </c>
      <c r="N4441">
        <v>10</v>
      </c>
    </row>
    <row r="4442" spans="1:14" x14ac:dyDescent="0.35">
      <c r="A4442" s="1">
        <v>567</v>
      </c>
      <c r="B4442">
        <v>2</v>
      </c>
      <c r="C4442">
        <v>67</v>
      </c>
      <c r="D4442">
        <v>5</v>
      </c>
      <c r="E4442">
        <v>2</v>
      </c>
      <c r="F4442">
        <v>4</v>
      </c>
      <c r="G4442">
        <v>9</v>
      </c>
      <c r="H4442">
        <v>2</v>
      </c>
      <c r="I4442">
        <v>1300</v>
      </c>
      <c r="J4442">
        <v>9</v>
      </c>
      <c r="K4442">
        <v>0</v>
      </c>
      <c r="L4442" s="4">
        <v>0.98922027722219086</v>
      </c>
      <c r="M4442" s="4">
        <v>1.0779722777809111E-2</v>
      </c>
      <c r="N4442">
        <v>10</v>
      </c>
    </row>
    <row r="4443" spans="1:14" x14ac:dyDescent="0.35">
      <c r="A4443" s="1">
        <v>398</v>
      </c>
      <c r="B4443">
        <v>2</v>
      </c>
      <c r="C4443">
        <v>74</v>
      </c>
      <c r="D4443">
        <v>1</v>
      </c>
      <c r="E4443">
        <v>2</v>
      </c>
      <c r="F4443">
        <v>0</v>
      </c>
      <c r="G4443">
        <v>11</v>
      </c>
      <c r="H4443">
        <v>0</v>
      </c>
      <c r="I4443">
        <v>13648.19</v>
      </c>
      <c r="J4443">
        <v>17</v>
      </c>
      <c r="K4443">
        <v>0</v>
      </c>
      <c r="L4443" s="4">
        <v>0.99018846392704196</v>
      </c>
      <c r="M4443" s="4">
        <v>9.8115360729580711E-3</v>
      </c>
      <c r="N4443">
        <v>10</v>
      </c>
    </row>
    <row r="4444" spans="1:14" x14ac:dyDescent="0.35">
      <c r="A4444" s="1">
        <v>1112</v>
      </c>
      <c r="B4444">
        <v>3</v>
      </c>
      <c r="C4444">
        <v>78</v>
      </c>
      <c r="D4444">
        <v>0</v>
      </c>
      <c r="E4444">
        <v>2</v>
      </c>
      <c r="F4444">
        <v>3</v>
      </c>
      <c r="G4444">
        <v>3</v>
      </c>
      <c r="H4444">
        <v>0</v>
      </c>
      <c r="I4444">
        <v>6000.01</v>
      </c>
      <c r="J4444">
        <v>16</v>
      </c>
      <c r="K4444">
        <v>0</v>
      </c>
      <c r="L4444" s="4">
        <v>0.99043448102397813</v>
      </c>
      <c r="M4444" s="4">
        <v>9.5655189760219025E-3</v>
      </c>
      <c r="N4444">
        <v>10</v>
      </c>
    </row>
    <row r="4445" spans="1:14" x14ac:dyDescent="0.35">
      <c r="A4445" s="1">
        <v>1911</v>
      </c>
      <c r="B4445">
        <v>2</v>
      </c>
      <c r="C4445">
        <v>75</v>
      </c>
      <c r="D4445">
        <v>2</v>
      </c>
      <c r="E4445">
        <v>2</v>
      </c>
      <c r="F4445">
        <v>2</v>
      </c>
      <c r="G4445">
        <v>6</v>
      </c>
      <c r="H4445">
        <v>0</v>
      </c>
      <c r="I4445">
        <v>7000</v>
      </c>
      <c r="J4445">
        <v>7</v>
      </c>
      <c r="K4445">
        <v>0</v>
      </c>
      <c r="L4445" s="4">
        <v>0.99145457525698866</v>
      </c>
      <c r="M4445" s="4">
        <v>8.5454247430113411E-3</v>
      </c>
      <c r="N4445">
        <v>10</v>
      </c>
    </row>
    <row r="4446" spans="1:14" x14ac:dyDescent="0.35">
      <c r="A4446" s="1">
        <v>281</v>
      </c>
      <c r="B4446">
        <v>0</v>
      </c>
      <c r="C4446">
        <v>72</v>
      </c>
      <c r="D4446">
        <v>0</v>
      </c>
      <c r="E4446">
        <v>1</v>
      </c>
      <c r="F4446">
        <v>3</v>
      </c>
      <c r="G4446">
        <v>3</v>
      </c>
      <c r="H4446">
        <v>2</v>
      </c>
      <c r="I4446">
        <v>1250</v>
      </c>
      <c r="J4446">
        <v>9</v>
      </c>
      <c r="K4446">
        <v>0</v>
      </c>
      <c r="L4446" s="4">
        <v>0.99199206417367114</v>
      </c>
      <c r="M4446" s="4">
        <v>8.0079358263288568E-3</v>
      </c>
      <c r="N4446">
        <v>10</v>
      </c>
    </row>
  </sheetData>
  <autoFilter ref="A1:N1" xr:uid="{00000000-0001-0000-0000-000000000000}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82F6C-4099-4466-9962-4F28A7977B32}">
  <sheetPr codeName="Sheet2"/>
  <dimension ref="B2:M19"/>
  <sheetViews>
    <sheetView zoomScale="70" zoomScaleNormal="70" workbookViewId="0">
      <selection activeCell="H28" sqref="H28"/>
    </sheetView>
  </sheetViews>
  <sheetFormatPr defaultRowHeight="14.5" x14ac:dyDescent="0.35"/>
  <cols>
    <col min="2" max="2" width="10.7265625" bestFit="1" customWidth="1"/>
    <col min="3" max="3" width="5.08984375" bestFit="1" customWidth="1"/>
    <col min="4" max="4" width="31.1796875" bestFit="1" customWidth="1"/>
    <col min="5" max="5" width="18.08984375" bestFit="1" customWidth="1"/>
    <col min="6" max="6" width="35.6328125" customWidth="1"/>
    <col min="7" max="7" width="17" customWidth="1"/>
    <col min="8" max="8" width="12.90625" bestFit="1" customWidth="1"/>
    <col min="9" max="9" width="18.7265625" style="4" bestFit="1" customWidth="1"/>
    <col min="10" max="10" width="12.36328125" bestFit="1" customWidth="1"/>
    <col min="11" max="11" width="14.36328125" style="4" bestFit="1" customWidth="1"/>
    <col min="12" max="12" width="9.453125" bestFit="1" customWidth="1"/>
    <col min="13" max="15" width="15.26953125" bestFit="1" customWidth="1"/>
    <col min="16" max="16" width="10.7265625" bestFit="1" customWidth="1"/>
  </cols>
  <sheetData>
    <row r="2" spans="2:13" x14ac:dyDescent="0.35">
      <c r="B2" s="6" t="s">
        <v>3</v>
      </c>
      <c r="C2" s="5" t="s">
        <v>7</v>
      </c>
      <c r="D2" s="5" t="s">
        <v>6</v>
      </c>
      <c r="E2" s="5" t="s">
        <v>5</v>
      </c>
      <c r="F2" s="7" t="s">
        <v>8</v>
      </c>
      <c r="G2" s="5" t="s">
        <v>15</v>
      </c>
      <c r="H2" s="5" t="s">
        <v>13</v>
      </c>
      <c r="I2" s="7" t="s">
        <v>16</v>
      </c>
      <c r="J2" s="5" t="s">
        <v>14</v>
      </c>
      <c r="K2" s="7" t="s">
        <v>17</v>
      </c>
      <c r="L2" s="5" t="s">
        <v>10</v>
      </c>
    </row>
    <row r="3" spans="2:13" x14ac:dyDescent="0.35">
      <c r="B3" s="5">
        <v>1</v>
      </c>
      <c r="C3" s="5">
        <v>445</v>
      </c>
      <c r="D3" s="7">
        <v>0.5192321671896778</v>
      </c>
      <c r="E3" s="5">
        <v>330</v>
      </c>
      <c r="F3" s="7">
        <f>GETPIVOTDATA("Correct Prediction",$B$2,"Decile",1)/GETPIVOTDATA("Total",$B$2,"Decile",1)</f>
        <v>0.7415730337078652</v>
      </c>
      <c r="G3" s="5">
        <f>GETPIVOTDATA("Total",$B$2,"Decile",1)</f>
        <v>445</v>
      </c>
      <c r="H3" s="5">
        <f>GETPIVOTDATA("Correct Prediction",$B$2,"Decile",1)</f>
        <v>330</v>
      </c>
      <c r="I3" s="7">
        <f>H3/GETPIVOTDATA("Correct Prediction",$B$2)</f>
        <v>0.30612244897959184</v>
      </c>
      <c r="J3" s="5">
        <f>GETPIVOTDATA("Total",$B$2,"Decile",1)-GETPIVOTDATA("Correct Prediction",$B$2,"Decile",1)</f>
        <v>115</v>
      </c>
      <c r="K3" s="7">
        <f>J3/J$12</f>
        <v>3.4155034155034153E-2</v>
      </c>
      <c r="L3" s="5">
        <f t="shared" ref="L3:L12" si="0">H3*E$16-(H3+J3)*E$17</f>
        <v>29055.75</v>
      </c>
    </row>
    <row r="4" spans="2:13" x14ac:dyDescent="0.35">
      <c r="B4" s="5">
        <v>2</v>
      </c>
      <c r="C4" s="5">
        <v>445</v>
      </c>
      <c r="D4" s="7">
        <v>0.37435288532608307</v>
      </c>
      <c r="E4" s="5">
        <v>200</v>
      </c>
      <c r="F4" s="7">
        <f>GETPIVOTDATA("Correct Prediction",$B$2,"Decile",2)/GETPIVOTDATA("Total",$B$2,"Decile",2)</f>
        <v>0.449438202247191</v>
      </c>
      <c r="G4" s="5">
        <f>SUM(C$3:C4)</f>
        <v>890</v>
      </c>
      <c r="H4" s="5">
        <f>GETPIVOTDATA("Correct Prediction",$B$2,"Decile",1)+GETPIVOTDATA("Correct Prediction",$B$2,"Decile",2)</f>
        <v>530</v>
      </c>
      <c r="I4" s="7">
        <f t="shared" ref="I4:I12" si="1">H4/GETPIVOTDATA("Correct Prediction",$B$2)</f>
        <v>0.49165120593692024</v>
      </c>
      <c r="J4" s="5">
        <f>GETPIVOTDATA("Total",$B$2,"Decile",2)+GETPIVOTDATA("Total",$B$2,"Decile",1)-H4</f>
        <v>360</v>
      </c>
      <c r="K4" s="7">
        <f t="shared" ref="K4:K12" si="2">J4/J$12</f>
        <v>0.10692010692010692</v>
      </c>
      <c r="L4" s="5">
        <f t="shared" si="0"/>
        <v>39118.5</v>
      </c>
    </row>
    <row r="5" spans="2:13" s="12" customFormat="1" x14ac:dyDescent="0.35">
      <c r="B5" s="8">
        <v>3</v>
      </c>
      <c r="C5" s="8">
        <v>445</v>
      </c>
      <c r="D5" s="9">
        <v>0.28735978935868611</v>
      </c>
      <c r="E5" s="8">
        <v>137</v>
      </c>
      <c r="F5" s="9">
        <f>GETPIVOTDATA("Correct Prediction",$B$2,"Decile",3)/GETPIVOTDATA("Total",$B$2,"Decile",3)</f>
        <v>0.30786516853932583</v>
      </c>
      <c r="G5" s="8">
        <f>SUM(C$3:C5)</f>
        <v>1335</v>
      </c>
      <c r="H5" s="8">
        <f>H4+GETPIVOTDATA("Correct Prediction",$B$2,"Decile",3)</f>
        <v>667</v>
      </c>
      <c r="I5" s="9">
        <f t="shared" si="1"/>
        <v>0.61873840445269013</v>
      </c>
      <c r="J5" s="8">
        <f>GETPIVOTDATA("Total",$B$2,"Decile",3)+GETPIVOTDATA("Total",$B$2,"Decile",2)+GETPIVOTDATA("Total",$B$2,"Decile",1)-H5</f>
        <v>668</v>
      </c>
      <c r="K5" s="9">
        <f t="shared" si="2"/>
        <v>0.1983961983961984</v>
      </c>
      <c r="L5" s="8">
        <f t="shared" si="0"/>
        <v>39976.950000000004</v>
      </c>
      <c r="M5" s="12" t="s">
        <v>11</v>
      </c>
    </row>
    <row r="6" spans="2:13" s="13" customFormat="1" x14ac:dyDescent="0.35">
      <c r="B6" s="10">
        <v>4</v>
      </c>
      <c r="C6" s="10">
        <v>445</v>
      </c>
      <c r="D6" s="11">
        <v>0.22459223974133219</v>
      </c>
      <c r="E6" s="10">
        <v>104</v>
      </c>
      <c r="F6" s="11">
        <f>GETPIVOTDATA("Correct Prediction",$B$2,"Decile",4)/GETPIVOTDATA("Total",$B$2,"Decile",4)</f>
        <v>0.23370786516853934</v>
      </c>
      <c r="G6" s="10">
        <f>SUM(C$3:C6)</f>
        <v>1780</v>
      </c>
      <c r="H6" s="10">
        <f>H5+GETPIVOTDATA("Correct Prediction",$B$2,"Decile",4)</f>
        <v>771</v>
      </c>
      <c r="I6" s="11">
        <f t="shared" si="1"/>
        <v>0.7152133580705009</v>
      </c>
      <c r="J6" s="10">
        <f>SUM(C$3:C6)-H6</f>
        <v>1009</v>
      </c>
      <c r="K6" s="11">
        <f t="shared" si="2"/>
        <v>0.2996732996732997</v>
      </c>
      <c r="L6" s="10">
        <f t="shared" si="0"/>
        <v>36014.099999999991</v>
      </c>
      <c r="M6" s="13" t="s">
        <v>12</v>
      </c>
    </row>
    <row r="7" spans="2:13" x14ac:dyDescent="0.35">
      <c r="B7" s="5">
        <v>5</v>
      </c>
      <c r="C7" s="5">
        <v>445</v>
      </c>
      <c r="D7" s="7">
        <v>0.18315239275719419</v>
      </c>
      <c r="E7" s="5">
        <v>93</v>
      </c>
      <c r="F7" s="7">
        <f>GETPIVOTDATA("Correct Prediction",$B$2,"Decile",5)/GETPIVOTDATA("Total",$B$2,"Decile",5)</f>
        <v>0.20898876404494382</v>
      </c>
      <c r="G7" s="5">
        <f>SUM(C$3:C7)</f>
        <v>2225</v>
      </c>
      <c r="H7" s="5">
        <f>H6+GETPIVOTDATA("Correct Prediction",$B$2,"Decile",5)</f>
        <v>864</v>
      </c>
      <c r="I7" s="7">
        <f t="shared" si="1"/>
        <v>0.80148423005565861</v>
      </c>
      <c r="J7" s="5">
        <f>SUM(C$3:C7)-H7</f>
        <v>1361</v>
      </c>
      <c r="K7" s="7">
        <f t="shared" si="2"/>
        <v>0.40421740421740421</v>
      </c>
      <c r="L7" s="5">
        <f t="shared" si="0"/>
        <v>30444.149999999994</v>
      </c>
    </row>
    <row r="8" spans="2:13" x14ac:dyDescent="0.35">
      <c r="B8" s="5">
        <v>6</v>
      </c>
      <c r="C8" s="5">
        <v>444</v>
      </c>
      <c r="D8" s="7">
        <v>0.14367784759781649</v>
      </c>
      <c r="E8" s="5">
        <v>54</v>
      </c>
      <c r="F8" s="7">
        <f>GETPIVOTDATA("Correct Prediction",$B$2,"Decile",6)/GETPIVOTDATA("Total",$B$2,"Decile",6)</f>
        <v>0.12162162162162163</v>
      </c>
      <c r="G8" s="5">
        <f>SUM(C$3:C8)</f>
        <v>2669</v>
      </c>
      <c r="H8" s="5">
        <f>H7+GETPIVOTDATA("Correct Prediction",$B$2,"Decile",6)</f>
        <v>918</v>
      </c>
      <c r="I8" s="7">
        <f t="shared" si="1"/>
        <v>0.85157699443413726</v>
      </c>
      <c r="J8" s="5">
        <f>SUM(C$3:C8)-H8</f>
        <v>1751</v>
      </c>
      <c r="K8" s="7">
        <f t="shared" si="2"/>
        <v>0.52004752004752008</v>
      </c>
      <c r="L8" s="5">
        <f t="shared" si="0"/>
        <v>19219.349999999991</v>
      </c>
    </row>
    <row r="9" spans="2:13" x14ac:dyDescent="0.35">
      <c r="B9" s="5">
        <v>7</v>
      </c>
      <c r="C9" s="5">
        <v>444</v>
      </c>
      <c r="D9" s="7">
        <v>0.10991880828742361</v>
      </c>
      <c r="E9" s="5">
        <v>45</v>
      </c>
      <c r="F9" s="7">
        <f>GETPIVOTDATA("Correct Prediction",$B$2,"Decile",7)/GETPIVOTDATA("Total",$B$2,"Decile",7)</f>
        <v>0.10135135135135136</v>
      </c>
      <c r="G9" s="5">
        <f>SUM(C$3:C9)</f>
        <v>3113</v>
      </c>
      <c r="H9" s="5">
        <f>H8+GETPIVOTDATA("Correct Prediction",$B$2,"Decile",7)</f>
        <v>963</v>
      </c>
      <c r="I9" s="7">
        <f t="shared" si="1"/>
        <v>0.89332096474953615</v>
      </c>
      <c r="J9" s="5">
        <f>SUM(C$3:C9)-H9</f>
        <v>2150</v>
      </c>
      <c r="K9" s="7">
        <f t="shared" si="2"/>
        <v>0.63855063855063854</v>
      </c>
      <c r="L9" s="5">
        <f t="shared" si="0"/>
        <v>6679.6499999999942</v>
      </c>
    </row>
    <row r="10" spans="2:13" x14ac:dyDescent="0.35">
      <c r="B10" s="5">
        <v>8</v>
      </c>
      <c r="C10" s="5">
        <v>444</v>
      </c>
      <c r="D10" s="7">
        <v>8.0331651282163644E-2</v>
      </c>
      <c r="E10" s="5">
        <v>56</v>
      </c>
      <c r="F10" s="7">
        <f>GETPIVOTDATA("Correct Prediction",$B$2,"Decile",8)/GETPIVOTDATA("Total",$B$2,"Decile",8)</f>
        <v>0.12612612612612611</v>
      </c>
      <c r="G10" s="5">
        <f>SUM(C$3:C10)</f>
        <v>3557</v>
      </c>
      <c r="H10" s="5">
        <f>H9+GETPIVOTDATA("Correct Prediction",$B$2,"Decile",8)</f>
        <v>1019</v>
      </c>
      <c r="I10" s="7">
        <f t="shared" si="1"/>
        <v>0.94526901669758812</v>
      </c>
      <c r="J10" s="5">
        <f>SUM(C$3:C10)-H10</f>
        <v>2538</v>
      </c>
      <c r="K10" s="7">
        <f t="shared" si="2"/>
        <v>0.75378675378675375</v>
      </c>
      <c r="L10" s="5">
        <f t="shared" si="0"/>
        <v>-4252.9499999999825</v>
      </c>
    </row>
    <row r="11" spans="2:13" x14ac:dyDescent="0.35">
      <c r="B11" s="5">
        <v>9</v>
      </c>
      <c r="C11" s="5">
        <v>444</v>
      </c>
      <c r="D11" s="7">
        <v>5.2473129619546241E-2</v>
      </c>
      <c r="E11" s="5">
        <v>36</v>
      </c>
      <c r="F11" s="7">
        <f>GETPIVOTDATA("Correct Prediction",$B$2,"Decile",9)/GETPIVOTDATA("Total",$B$2,"Decile",9)</f>
        <v>8.1081081081081086E-2</v>
      </c>
      <c r="G11" s="5">
        <f>SUM(C$3:C11)</f>
        <v>4001</v>
      </c>
      <c r="H11" s="5">
        <f>H10+GETPIVOTDATA("Correct Prediction",$B$2,"Decile",9)</f>
        <v>1055</v>
      </c>
      <c r="I11" s="7">
        <f t="shared" si="1"/>
        <v>0.97866419294990725</v>
      </c>
      <c r="J11" s="5">
        <f>SUM(C$3:C11)-H11</f>
        <v>2946</v>
      </c>
      <c r="K11" s="7">
        <f t="shared" si="2"/>
        <v>0.87496287496287495</v>
      </c>
      <c r="L11" s="5">
        <f t="shared" si="0"/>
        <v>-18107.549999999988</v>
      </c>
    </row>
    <row r="12" spans="2:13" x14ac:dyDescent="0.35">
      <c r="B12" s="5">
        <v>10</v>
      </c>
      <c r="C12" s="5">
        <v>444</v>
      </c>
      <c r="D12" s="7">
        <v>8.0079358263288568E-3</v>
      </c>
      <c r="E12" s="5">
        <v>23</v>
      </c>
      <c r="F12" s="7">
        <f>GETPIVOTDATA("Correct Prediction",$B$2,"Decile",10)/GETPIVOTDATA("Total",$B$2,"Decile",10)</f>
        <v>5.18018018018018E-2</v>
      </c>
      <c r="G12" s="5">
        <f>SUM(C$3:C12)</f>
        <v>4445</v>
      </c>
      <c r="H12" s="5">
        <f>H11+GETPIVOTDATA("Correct Prediction",$B$2,"Decile",10)</f>
        <v>1078</v>
      </c>
      <c r="I12" s="7">
        <f t="shared" si="1"/>
        <v>1</v>
      </c>
      <c r="J12" s="5">
        <f>SUM(C$3:C12)-H12</f>
        <v>3367</v>
      </c>
      <c r="K12" s="7">
        <f t="shared" si="2"/>
        <v>1</v>
      </c>
      <c r="L12" s="5">
        <f t="shared" si="0"/>
        <v>-33861.450000000012</v>
      </c>
    </row>
    <row r="13" spans="2:13" x14ac:dyDescent="0.35">
      <c r="B13" s="5" t="s">
        <v>4</v>
      </c>
      <c r="C13" s="5">
        <v>4445</v>
      </c>
      <c r="D13" s="7">
        <v>8.0079358263288568E-3</v>
      </c>
      <c r="E13" s="5">
        <v>1078</v>
      </c>
      <c r="G13" s="5"/>
      <c r="I13" s="7"/>
      <c r="K13" s="7"/>
    </row>
    <row r="16" spans="2:13" x14ac:dyDescent="0.35">
      <c r="D16" t="s">
        <v>9</v>
      </c>
      <c r="E16">
        <v>146.1</v>
      </c>
    </row>
    <row r="17" spans="4:6" x14ac:dyDescent="0.35">
      <c r="D17" t="s">
        <v>27</v>
      </c>
      <c r="E17">
        <v>43.05</v>
      </c>
    </row>
    <row r="19" spans="4:6" x14ac:dyDescent="0.35">
      <c r="F19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29E5F-95DB-4F8F-99F5-DA97A740DB15}">
  <sheetPr codeName="Sheet3"/>
  <dimension ref="A1:G5"/>
  <sheetViews>
    <sheetView tabSelected="1" workbookViewId="0">
      <selection activeCell="D12" sqref="D12"/>
    </sheetView>
  </sheetViews>
  <sheetFormatPr defaultRowHeight="14.5" x14ac:dyDescent="0.35"/>
  <cols>
    <col min="1" max="1" width="14.1796875" bestFit="1" customWidth="1"/>
    <col min="2" max="2" width="18.08984375" bestFit="1" customWidth="1"/>
    <col min="3" max="3" width="29" bestFit="1" customWidth="1"/>
    <col min="4" max="4" width="20.7265625" bestFit="1" customWidth="1"/>
    <col min="5" max="5" width="24.453125" bestFit="1" customWidth="1"/>
    <col min="6" max="6" width="18.7265625" bestFit="1" customWidth="1"/>
    <col min="7" max="7" width="12.453125" bestFit="1" customWidth="1"/>
  </cols>
  <sheetData>
    <row r="1" spans="1:7" x14ac:dyDescent="0.35">
      <c r="A1" s="5" t="s">
        <v>18</v>
      </c>
      <c r="B1" s="5" t="s">
        <v>19</v>
      </c>
      <c r="C1" s="5" t="s">
        <v>25</v>
      </c>
      <c r="D1" s="5" t="s">
        <v>26</v>
      </c>
      <c r="E1" s="5" t="s">
        <v>20</v>
      </c>
      <c r="F1" s="7" t="s">
        <v>21</v>
      </c>
      <c r="G1" s="5" t="s">
        <v>10</v>
      </c>
    </row>
    <row r="2" spans="1:7" x14ac:dyDescent="0.35">
      <c r="A2" s="5" t="s">
        <v>22</v>
      </c>
      <c r="B2" s="5">
        <v>225000</v>
      </c>
      <c r="C2" s="7">
        <f>GETPIVOTDATA("Correct Prediction",'pivot table'!$B$2)/GETPIVOTDATA("Total",'pivot table'!$B$2)</f>
        <v>0.24251968503937008</v>
      </c>
      <c r="D2" s="7">
        <f>'pivot table'!H12/'pivot table'!H$12</f>
        <v>1</v>
      </c>
      <c r="E2" s="7">
        <f>('pivot table'!J12-'pivot table'!J12)/'pivot table'!J12</f>
        <v>0</v>
      </c>
      <c r="F2" s="7">
        <v>0</v>
      </c>
      <c r="G2" s="5">
        <f>B2*C2*'pivot table'!E$16-B2*'pivot table'!E$17</f>
        <v>-1714021.6535433074</v>
      </c>
    </row>
    <row r="3" spans="1:7" x14ac:dyDescent="0.35">
      <c r="A3" s="5" t="s">
        <v>23</v>
      </c>
      <c r="B3" s="5">
        <f>0.4*B2</f>
        <v>90000</v>
      </c>
      <c r="C3" s="7">
        <f>'pivot table'!H6/'pivot table'!G6</f>
        <v>0.43314606741573036</v>
      </c>
      <c r="D3" s="7">
        <f>'pivot table'!H6/'pivot table'!H12</f>
        <v>0.7152133580705009</v>
      </c>
      <c r="E3" s="7">
        <f>('pivot table'!J12-'pivot table'!J6)/'pivot table'!J12</f>
        <v>0.7003267003267003</v>
      </c>
      <c r="F3" s="7">
        <f>GETPIVOTDATA("Prob Threshold",'pivot table'!$B$2,"Decile",4)</f>
        <v>0.22459223974133219</v>
      </c>
      <c r="G3" s="5">
        <f>B3*C3*'pivot table'!E$16-B3*'pivot table'!E$17</f>
        <v>1820937.6404494387</v>
      </c>
    </row>
    <row r="4" spans="1:7" x14ac:dyDescent="0.35">
      <c r="A4" s="5" t="s">
        <v>24</v>
      </c>
      <c r="B4" s="5">
        <f>0.3*B2</f>
        <v>67500</v>
      </c>
      <c r="C4" s="7">
        <f>'pivot table'!H5/'pivot table'!G5</f>
        <v>0.49962546816479403</v>
      </c>
      <c r="D4" s="7">
        <f>'pivot table'!H5/'pivot table'!H12</f>
        <v>0.61873840445269013</v>
      </c>
      <c r="E4" s="7">
        <f>('pivot table'!J12-'pivot table'!J5)/'pivot table'!J12</f>
        <v>0.80160380160380162</v>
      </c>
      <c r="F4" s="7">
        <f>GETPIVOTDATA("Prob Threshold",'pivot table'!$B$2,"Decile",3)</f>
        <v>0.28735978935868611</v>
      </c>
      <c r="G4" s="5">
        <f>B4*C4*'pivot table'!E$16-B4*'pivot table'!E$17</f>
        <v>2021306.4606741574</v>
      </c>
    </row>
    <row r="5" spans="1:7" x14ac:dyDescent="0.35">
      <c r="A5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10Percent Output</vt:lpstr>
      <vt:lpstr>pivot table</vt:lpstr>
      <vt:lpstr>10%+90%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Lisaxjy</cp:lastModifiedBy>
  <dcterms:created xsi:type="dcterms:W3CDTF">2023-05-25T16:06:54Z</dcterms:created>
  <dcterms:modified xsi:type="dcterms:W3CDTF">2023-06-05T13:53:50Z</dcterms:modified>
</cp:coreProperties>
</file>